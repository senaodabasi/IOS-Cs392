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431" codeName="{B1203076-2D4D-A25B-A398-973B695A806A}"/>
  <workbookPr codeName="ThisWorkbook" autoCompressPictures="0" defaultThemeVersion="124226"/>
  <mc:AlternateContent xmlns:mc="http://schemas.openxmlformats.org/markup-compatibility/2006">
    <mc:Choice Requires="x15">
      <x15ac:absPath xmlns:x15ac="http://schemas.microsoft.com/office/spreadsheetml/2010/11/ac" url="C:\Users\ercum\Desktop\HW3\Templates\"/>
    </mc:Choice>
  </mc:AlternateContent>
  <bookViews>
    <workbookView xWindow="0" yWindow="0" windowWidth="20490" windowHeight="7530" xr2:uid="{00000000-000D-0000-FFFF-FFFF00000000}"/>
  </bookViews>
  <sheets>
    <sheet name="Instructions" sheetId="9" r:id="rId1"/>
    <sheet name="Data" sheetId="16" r:id="rId2"/>
    <sheet name="Answers" sheetId="3" state="veryHidden" r:id="rId3"/>
    <sheet name="KEY" sheetId="15" state="veryHidden" r:id="rId4"/>
  </sheets>
  <definedNames>
    <definedName name="_xlnm._FilterDatabase" localSheetId="1" hidden="1">Data!$A$1:$H$1</definedName>
  </definedNames>
  <calcPr calcId="171027"/>
  <extLst>
    <ext xmlns:mx="http://schemas.microsoft.com/office/mac/excel/2008/main" uri="{7523E5D3-25F3-A5E0-1632-64F254C22452}">
      <mx:ArchID Flags="2"/>
    </ext>
  </extLst>
</workbook>
</file>

<file path=xl/calcChain.xml><?xml version="1.0" encoding="utf-8"?>
<calcChain xmlns="http://schemas.openxmlformats.org/spreadsheetml/2006/main">
  <c r="J12" i="15" l="1"/>
  <c r="N16" i="15" l="1"/>
  <c r="J34" i="15" l="1"/>
  <c r="J11" i="15" l="1"/>
  <c r="C9" i="15" l="1"/>
  <c r="J35" i="15"/>
  <c r="K35" i="15" s="1"/>
  <c r="K12" i="15"/>
  <c r="A43" i="3"/>
  <c r="J33" i="15"/>
  <c r="K33" i="15" s="1"/>
  <c r="J32" i="15"/>
  <c r="K32" i="15" s="1"/>
  <c r="J31" i="15"/>
  <c r="K31" i="15" s="1"/>
  <c r="J30" i="15"/>
  <c r="K30" i="15" s="1"/>
  <c r="J29" i="15"/>
  <c r="K29" i="15" s="1"/>
  <c r="J28" i="15"/>
  <c r="K28" i="15" s="1"/>
  <c r="J27" i="15"/>
  <c r="K27" i="15" s="1"/>
  <c r="J26" i="15"/>
  <c r="K26" i="15" s="1"/>
  <c r="J25" i="15"/>
  <c r="K25" i="15" s="1"/>
  <c r="J24" i="15"/>
  <c r="K24" i="15" s="1"/>
  <c r="J23" i="15"/>
  <c r="K23" i="15" s="1"/>
  <c r="J22" i="15"/>
  <c r="K22" i="15" s="1"/>
  <c r="J21" i="15"/>
  <c r="K21" i="15" s="1"/>
  <c r="J20" i="15"/>
  <c r="K20" i="15" s="1"/>
  <c r="J19" i="15"/>
  <c r="K19" i="15" s="1"/>
  <c r="J18" i="15"/>
  <c r="K18" i="15" s="1"/>
  <c r="J17" i="15"/>
  <c r="K17" i="15" s="1"/>
  <c r="J16" i="15"/>
  <c r="K16" i="15" s="1"/>
  <c r="J15" i="15"/>
  <c r="K15" i="15" s="1"/>
  <c r="J14" i="15"/>
  <c r="K14" i="15" s="1"/>
  <c r="J13" i="15"/>
  <c r="K13" i="15" s="1"/>
  <c r="K11" i="15"/>
  <c r="J10" i="15"/>
  <c r="K10" i="15"/>
  <c r="J9" i="15"/>
  <c r="K9" i="15"/>
  <c r="J8" i="15"/>
  <c r="K8" i="15" s="1"/>
  <c r="K34" i="15"/>
  <c r="O15" i="15"/>
  <c r="P15" i="15"/>
  <c r="Q15" i="15"/>
  <c r="R15" i="15"/>
  <c r="N15" i="15"/>
  <c r="R14" i="15"/>
  <c r="Q14" i="15"/>
  <c r="P14" i="15"/>
  <c r="O14" i="15"/>
  <c r="N14" i="15"/>
  <c r="R13" i="15"/>
  <c r="Q13" i="15"/>
  <c r="P13" i="15"/>
  <c r="O13" i="15"/>
  <c r="N13" i="15"/>
  <c r="R12" i="15"/>
  <c r="R11" i="15"/>
  <c r="R10" i="15"/>
  <c r="Q12" i="15"/>
  <c r="Q11" i="15"/>
  <c r="Q10" i="15"/>
  <c r="P12" i="15"/>
  <c r="P11" i="15"/>
  <c r="P10" i="15"/>
  <c r="O12" i="15"/>
  <c r="O11" i="15"/>
  <c r="O10" i="15"/>
  <c r="N12" i="15"/>
  <c r="N11" i="15"/>
  <c r="N10" i="15"/>
  <c r="Q9" i="15"/>
  <c r="Q8" i="15"/>
  <c r="O9" i="15"/>
  <c r="O8" i="15"/>
  <c r="N9" i="15"/>
  <c r="N8" i="15"/>
  <c r="P8" i="15"/>
  <c r="P9" i="15"/>
  <c r="R9" i="15"/>
  <c r="R8" i="15"/>
  <c r="C7" i="15"/>
  <c r="C10" i="15"/>
  <c r="IN2206" i="9"/>
  <c r="IM2206" i="9"/>
  <c r="IL2206" i="9"/>
</calcChain>
</file>

<file path=xl/sharedStrings.xml><?xml version="1.0" encoding="utf-8"?>
<sst xmlns="http://schemas.openxmlformats.org/spreadsheetml/2006/main" count="24092" uniqueCount="5016">
  <si>
    <t>Points</t>
  </si>
  <si>
    <t>Statistics</t>
  </si>
  <si>
    <t>HW3</t>
  </si>
  <si>
    <t>Part 1</t>
  </si>
  <si>
    <t>a)</t>
  </si>
  <si>
    <t>b)</t>
  </si>
  <si>
    <t>c)</t>
  </si>
  <si>
    <t>d)</t>
  </si>
  <si>
    <t>e)</t>
  </si>
  <si>
    <t>Part 2</t>
  </si>
  <si>
    <t>Bins</t>
  </si>
  <si>
    <t>1c</t>
  </si>
  <si>
    <t>1b</t>
  </si>
  <si>
    <t>Answer</t>
  </si>
  <si>
    <t>Number</t>
  </si>
  <si>
    <t>DATA</t>
  </si>
  <si>
    <t>.</t>
  </si>
  <si>
    <t>1a</t>
  </si>
  <si>
    <t>Section</t>
  </si>
  <si>
    <t>Link Cell</t>
  </si>
  <si>
    <t>SB:</t>
  </si>
  <si>
    <t>CF:</t>
  </si>
  <si>
    <t>YEAR:</t>
  </si>
  <si>
    <t>Part 3</t>
  </si>
  <si>
    <t>Report the slope.</t>
  </si>
  <si>
    <t>Moodle ID:</t>
  </si>
  <si>
    <t>2a</t>
  </si>
  <si>
    <t>2b</t>
  </si>
  <si>
    <t>2c</t>
  </si>
  <si>
    <t>4a</t>
  </si>
  <si>
    <t>4b</t>
  </si>
  <si>
    <t>4c</t>
  </si>
  <si>
    <t>3a</t>
  </si>
  <si>
    <t>3b</t>
  </si>
  <si>
    <t>Report the intercept.</t>
  </si>
  <si>
    <t>Part 4</t>
  </si>
  <si>
    <t>f)</t>
  </si>
  <si>
    <t>Rand</t>
  </si>
  <si>
    <t>ANSWER</t>
  </si>
  <si>
    <t>Username:</t>
  </si>
  <si>
    <t>What is the range?</t>
  </si>
  <si>
    <t>1d</t>
  </si>
  <si>
    <t>Based on the data and context provided, interpret the slope in one sentence (must be less than 250 characters).</t>
  </si>
  <si>
    <t>Based on the data and context provided, interpret the intercept in one sentence (must be less than 250 characters).</t>
  </si>
  <si>
    <t>Country</t>
  </si>
  <si>
    <t>1e</t>
  </si>
  <si>
    <t>Country:</t>
  </si>
  <si>
    <t>g)</t>
  </si>
  <si>
    <t>h)</t>
  </si>
  <si>
    <t>2f</t>
  </si>
  <si>
    <t>2g</t>
  </si>
  <si>
    <t>2h</t>
  </si>
  <si>
    <t>4f</t>
  </si>
  <si>
    <t>What is the standard deviation?</t>
  </si>
  <si>
    <t>Prb 1</t>
  </si>
  <si>
    <t>Left Click</t>
  </si>
  <si>
    <t>2d</t>
  </si>
  <si>
    <t>2e</t>
  </si>
  <si>
    <t>4d</t>
  </si>
  <si>
    <t>4e</t>
  </si>
  <si>
    <t>Total</t>
  </si>
  <si>
    <t>HotelName</t>
  </si>
  <si>
    <t>HotelChainName</t>
  </si>
  <si>
    <t>TotalRooms</t>
  </si>
  <si>
    <t>AnnualRevenue</t>
  </si>
  <si>
    <t>AnnualGrossProfit</t>
  </si>
  <si>
    <t>CountryName</t>
  </si>
  <si>
    <t>RegionCode</t>
  </si>
  <si>
    <t>EuropeanUnionIndicator</t>
  </si>
  <si>
    <t>Utell Connect</t>
  </si>
  <si>
    <t>Spain</t>
  </si>
  <si>
    <t>EUR</t>
  </si>
  <si>
    <t>Y</t>
  </si>
  <si>
    <t>Hotel.de AG</t>
  </si>
  <si>
    <t>Sercotel Hotels</t>
  </si>
  <si>
    <t>SynXis</t>
  </si>
  <si>
    <t>Bella Sky Comwell Hotel Copenhagen</t>
  </si>
  <si>
    <t>TravelCLICK</t>
  </si>
  <si>
    <t>Denmark</t>
  </si>
  <si>
    <t>Barcelo Hotels</t>
  </si>
  <si>
    <t>CABINN METRO</t>
  </si>
  <si>
    <t>Pegasus Connect</t>
  </si>
  <si>
    <t>SOKOS HOTEL PRESIDENTTI</t>
  </si>
  <si>
    <t>MyFidelio</t>
  </si>
  <si>
    <t>Finland</t>
  </si>
  <si>
    <t>Pegasus Connect Plus</t>
  </si>
  <si>
    <t>Melia Hotels International</t>
  </si>
  <si>
    <t>Turkey</t>
  </si>
  <si>
    <t>N</t>
  </si>
  <si>
    <t>Booking Services by Trust</t>
  </si>
  <si>
    <t>Vantis Hotel Group</t>
  </si>
  <si>
    <t>Rantasipi Ikaalinen Spa</t>
  </si>
  <si>
    <t>Supranational Hotels</t>
  </si>
  <si>
    <t>Reconline</t>
  </si>
  <si>
    <t>CONSTANCE EPHELIA</t>
  </si>
  <si>
    <t>Seychelles</t>
  </si>
  <si>
    <t>AFR</t>
  </si>
  <si>
    <t>Hotusa</t>
  </si>
  <si>
    <t>W Hotels</t>
  </si>
  <si>
    <t>FIRST HOTEL VESTERBRO</t>
  </si>
  <si>
    <t>GLOBAL ALLIANCE</t>
  </si>
  <si>
    <t>Hilton International</t>
  </si>
  <si>
    <t>Idiso Hotel Distribution</t>
  </si>
  <si>
    <t>FastBooking</t>
  </si>
  <si>
    <t>Novotel Amsterdam City</t>
  </si>
  <si>
    <t>Accor Hotels</t>
  </si>
  <si>
    <t>Netherlands</t>
  </si>
  <si>
    <t>HOTUSA</t>
  </si>
  <si>
    <t>RECONLINE</t>
  </si>
  <si>
    <t>Fletcher Hotel Restaurant De Dikke van Dale</t>
  </si>
  <si>
    <t>HUSA Hoteles</t>
  </si>
  <si>
    <t>Swissotel Hotels and Resorts</t>
  </si>
  <si>
    <t>N H Hotels</t>
  </si>
  <si>
    <t>Preferred Hotels And Resorts</t>
  </si>
  <si>
    <t>Scandic Simonkentta Helsinki</t>
  </si>
  <si>
    <t>Scandic Hotels</t>
  </si>
  <si>
    <t>Sokos hotel Hamburger Bors Turku</t>
  </si>
  <si>
    <t>Copenhagen Marriott Hotel</t>
  </si>
  <si>
    <t>Marriott Hotels</t>
  </si>
  <si>
    <t>AC Hotels</t>
  </si>
  <si>
    <t>Scandic Continental</t>
  </si>
  <si>
    <t>WAKEUP COPENHAGEN</t>
  </si>
  <si>
    <t>Sokos Hotel Ilves</t>
  </si>
  <si>
    <t>Nh Conf. Centre Koningshof</t>
  </si>
  <si>
    <t>Alesia Distribution</t>
  </si>
  <si>
    <t>Scandic Grand Marina Helsinki</t>
  </si>
  <si>
    <t>HOTEL CASA 400</t>
  </si>
  <si>
    <t>Great Hotels Of The World</t>
  </si>
  <si>
    <t>NAANTALI SPA HOTEL</t>
  </si>
  <si>
    <t>Copenhagen Admiral Hotel</t>
  </si>
  <si>
    <t>Sheraton Hotels</t>
  </si>
  <si>
    <t>Crowne Plaza Copenhagen Towers</t>
  </si>
  <si>
    <t>Crowne Plaza Hotels</t>
  </si>
  <si>
    <t>Ramada Worldwide</t>
  </si>
  <si>
    <t>Copenhagen Island Hotel</t>
  </si>
  <si>
    <t>Steigenberger Airport Hotel Amsterdam</t>
  </si>
  <si>
    <t>Steigenberger Hotel Group</t>
  </si>
  <si>
    <t>DoubleTree by Hilton Hotel Amsterdam Centraal Station</t>
  </si>
  <si>
    <t>Ibis Amsterdam Airport</t>
  </si>
  <si>
    <t>Design Hotels</t>
  </si>
  <si>
    <t>Mercure Hotel Amsterdam City</t>
  </si>
  <si>
    <t>Renaissance Hotels</t>
  </si>
  <si>
    <t>Radisson Blu Scandinavia Hotel Copenhagen</t>
  </si>
  <si>
    <t>Radisson Hotels And Resorts</t>
  </si>
  <si>
    <t>Ramada Apollo Amsterdam Centre</t>
  </si>
  <si>
    <t>SERCOTEL HOTELS</t>
  </si>
  <si>
    <t>Park Inn By Radisson Copenhagen Airport</t>
  </si>
  <si>
    <t>Park Inn</t>
  </si>
  <si>
    <t>TIVOLI HOTEL CONGRESS CENTER</t>
  </si>
  <si>
    <t>Worldhotels</t>
  </si>
  <si>
    <t>Movenpick Hotel Amsterdam City Centre</t>
  </si>
  <si>
    <t>Moevenpick Hotels And Resorts</t>
  </si>
  <si>
    <t>Scandic Marski</t>
  </si>
  <si>
    <t>Sheraton Amsterdam Airport Hotel and Conference Center</t>
  </si>
  <si>
    <t>Scandic Copenhagen City</t>
  </si>
  <si>
    <t>Reservhotel International</t>
  </si>
  <si>
    <t>Cumulus Airport Hotel</t>
  </si>
  <si>
    <t>Pullman Eindhoven Cocagne</t>
  </si>
  <si>
    <t>Pullman Hotels and Resorts</t>
  </si>
  <si>
    <t>Holiday Inn Helsinki Vantaa Aairport</t>
  </si>
  <si>
    <t>Holiday Inn</t>
  </si>
  <si>
    <t>Hilton Helsinki-Vantaa Airport Hotel</t>
  </si>
  <si>
    <t>TRYP by Wyndham</t>
  </si>
  <si>
    <t>CABINN City</t>
  </si>
  <si>
    <t>Hilton Copenhagen Airport</t>
  </si>
  <si>
    <t>NH Grand Hotel Krasnapolsky</t>
  </si>
  <si>
    <t>Intercontinental Hotels</t>
  </si>
  <si>
    <t>Park Plaza Victoria Amsterdam</t>
  </si>
  <si>
    <t>Park Plaza Hotels And Resorts</t>
  </si>
  <si>
    <t>Radisson Blu Seaside Hotel Helsinki</t>
  </si>
  <si>
    <t>Confortel Hoteles</t>
  </si>
  <si>
    <t>NH Schiphol Airport</t>
  </si>
  <si>
    <t>Crowne Plaza Helsinki</t>
  </si>
  <si>
    <t>SOKOS HOTEL ALEXANDRA</t>
  </si>
  <si>
    <t>SOKOS HOTEL FLAMINGO</t>
  </si>
  <si>
    <t>BEST WESTERN Nyborg Strand</t>
  </si>
  <si>
    <t>Best Western Intl</t>
  </si>
  <si>
    <t>ABSALON HOTEL AND ANNEX APS</t>
  </si>
  <si>
    <t>Van Der Valk Hotel Haarlem Zuid</t>
  </si>
  <si>
    <t>Leading Hotels Of The World</t>
  </si>
  <si>
    <t>Radisson Blu Hotel Amsterdam Airport</t>
  </si>
  <si>
    <t>SOKOS HOTEL VAAKUNA HELSINKI</t>
  </si>
  <si>
    <t>Wyndham Hotels and Resorts</t>
  </si>
  <si>
    <t>Holiday Inn Helsinki City West</t>
  </si>
  <si>
    <t>Scandic Sydhavnen</t>
  </si>
  <si>
    <t>SOKOS HOTEL ARINA</t>
  </si>
  <si>
    <t>Hilton Amsterdam</t>
  </si>
  <si>
    <t>Van Der Valk Hotel Eindhoven</t>
  </si>
  <si>
    <t>Radisson Blu Plaza Hotel Helsinki</t>
  </si>
  <si>
    <t>Hilton Amsterdam Airport Schiphol</t>
  </si>
  <si>
    <t>Radisson Blu Royal Hotel Copenhagen</t>
  </si>
  <si>
    <t>Ibis Amsterdam Centre</t>
  </si>
  <si>
    <t>Radisson Blu Royal Hotel Vaasa</t>
  </si>
  <si>
    <t>Omena Hotel Yrjonkatu</t>
  </si>
  <si>
    <t>NH Utrecht</t>
  </si>
  <si>
    <t>Renaissance Amsterdam Hotel</t>
  </si>
  <si>
    <t>Amsterdam Marriott Hotel</t>
  </si>
  <si>
    <t>Berjaya Beau Vallon  Resort and  Casino</t>
  </si>
  <si>
    <t>Crowne Plaza City Centre</t>
  </si>
  <si>
    <t>SS Rotterdam</t>
  </si>
  <si>
    <t>Radisson Blu Royal Hotel Helsinki</t>
  </si>
  <si>
    <t>NH Barbizon Palace</t>
  </si>
  <si>
    <t>Magellan Group</t>
  </si>
  <si>
    <t>CABINN Aalborg</t>
  </si>
  <si>
    <t>Summit Hotels And Resorts</t>
  </si>
  <si>
    <t>Room Mate Aitana</t>
  </si>
  <si>
    <t>Inntel Hotels Amsterdam Centre</t>
  </si>
  <si>
    <t>Holiday Inn Helsinki</t>
  </si>
  <si>
    <t>Hilton Helsinki Kalastajatorppa Hotel</t>
  </si>
  <si>
    <t>Scandic Aarhus City</t>
  </si>
  <si>
    <t>Travelodge Uk And Europe</t>
  </si>
  <si>
    <t>Keytel</t>
  </si>
  <si>
    <t>Radisson Blu Hotel Amsterdam</t>
  </si>
  <si>
    <t>Park Plaza Amsterdam Airport</t>
  </si>
  <si>
    <t>Nh Maastricht</t>
  </si>
  <si>
    <t>Hotel Imperial</t>
  </si>
  <si>
    <t>Scandic Hvidovre</t>
  </si>
  <si>
    <t>Hyatt Hotels And Resorts</t>
  </si>
  <si>
    <t>Radisson Blu Scandinavia Hotel Aarhus</t>
  </si>
  <si>
    <t>Le Meridien</t>
  </si>
  <si>
    <t>Sokos Hotel Vantaa</t>
  </si>
  <si>
    <t>Hostel Domus Academica</t>
  </si>
  <si>
    <t>Hotel Pulitzer Amsterdam</t>
  </si>
  <si>
    <t>Luxury Collection</t>
  </si>
  <si>
    <t>Van der Valk Hotel Vianen Utrecht</t>
  </si>
  <si>
    <t>Nh Conference Centre Leeuwenhorst</t>
  </si>
  <si>
    <t>WestCort Fashion Hotel Amsterdam</t>
  </si>
  <si>
    <t>Hotel Skt  Petri</t>
  </si>
  <si>
    <t>Sokos Hotel Helsinki</t>
  </si>
  <si>
    <t>Abba Hoteles</t>
  </si>
  <si>
    <t>SANTA S HOTEL TUNTURI</t>
  </si>
  <si>
    <t>Rantasipi Airport Hotel</t>
  </si>
  <si>
    <t>SUPRANATIONAL HOTELS</t>
  </si>
  <si>
    <t>HTEL SERVICED APT</t>
  </si>
  <si>
    <t>Epoque Hotels</t>
  </si>
  <si>
    <t>KYLPYLAHOTELLI PEURUNKA</t>
  </si>
  <si>
    <t>Hotelzon</t>
  </si>
  <si>
    <t>Hampton by Hilton Amsterdam Arena Boulevard</t>
  </si>
  <si>
    <t>Hampton Inn</t>
  </si>
  <si>
    <t>Cumulus Hotel Koskikatu</t>
  </si>
  <si>
    <t>Scandic Kajanus</t>
  </si>
  <si>
    <t>Mainport</t>
  </si>
  <si>
    <t>Worldhotel Grand Winston The Hague - Rijswijk</t>
  </si>
  <si>
    <t>Luxe Worldwide Hotels</t>
  </si>
  <si>
    <t>CABINN ODENSE</t>
  </si>
  <si>
    <t>Cumulus Hameenpuisto</t>
  </si>
  <si>
    <t>Hotel Schiphol A4 Amsterdam Airport</t>
  </si>
  <si>
    <t>Lapland Hotels Riekonlinna</t>
  </si>
  <si>
    <t>Resort Citta Romana</t>
  </si>
  <si>
    <t>Sokos Hotel Puijonsarvi</t>
  </si>
  <si>
    <t>Hotel Okura Amsterdam</t>
  </si>
  <si>
    <t>WORLDHOTEL BEL AIR THE HAGUE</t>
  </si>
  <si>
    <t>Genares Resrv Svc</t>
  </si>
  <si>
    <t>Scandic Oulu</t>
  </si>
  <si>
    <t>Scandic Rosendahl</t>
  </si>
  <si>
    <t>Holiday Inn Express Rotterdam - Central Station</t>
  </si>
  <si>
    <t>GOLDEN TULIP AMSTERDAM WEST</t>
  </si>
  <si>
    <t>Golden Tulip Hotels</t>
  </si>
  <si>
    <t>Novotel Rotterdam Brainpark</t>
  </si>
  <si>
    <t>Holiday Inn Express Sloterdijk</t>
  </si>
  <si>
    <t>SOKOS HOTEL PASILA</t>
  </si>
  <si>
    <t>SOKOS HOTEL KAARLE</t>
  </si>
  <si>
    <t>HEM Hotel Amsterdam</t>
  </si>
  <si>
    <t>Hotel Regina</t>
  </si>
  <si>
    <t>Spa Hotel Rantasipi Laajavuori</t>
  </si>
  <si>
    <t>Amadeus Linkhotel</t>
  </si>
  <si>
    <t>GENERATOR COPENHAGEN</t>
  </si>
  <si>
    <t>HotelRez</t>
  </si>
  <si>
    <t>Lapland Hotels Olos</t>
  </si>
  <si>
    <t>KEYTEL</t>
  </si>
  <si>
    <t>Hotel Levi Panorama</t>
  </si>
  <si>
    <t>Sokos Hotel Eden</t>
  </si>
  <si>
    <t>Solo Sokos Hotel Paviljonki</t>
  </si>
  <si>
    <t>CUMULUS HAKANIEMI</t>
  </si>
  <si>
    <t>Radisson Blu Limfjord HotelAalborg</t>
  </si>
  <si>
    <t>Scandic Oscar</t>
  </si>
  <si>
    <t>Inntel Hotels Rotterdam Centre</t>
  </si>
  <si>
    <t>Kempinski Hotels</t>
  </si>
  <si>
    <t>SOKOS HOTEL LAPPEE</t>
  </si>
  <si>
    <t>Hotel Neptuno</t>
  </si>
  <si>
    <t>Lapland Hotels Sirkantahti</t>
  </si>
  <si>
    <t>NH Musica</t>
  </si>
  <si>
    <t>HOTEL GLO HELSINKI KLUUVI</t>
  </si>
  <si>
    <t>Sokos Hotel Vaakuna Rovaniemi</t>
  </si>
  <si>
    <t>SOKOS HOTEL VUOKATTI</t>
  </si>
  <si>
    <t>CitizenM Amsterdam Airport</t>
  </si>
  <si>
    <t>Hetras</t>
  </si>
  <si>
    <t>Scandic Tampere Station</t>
  </si>
  <si>
    <t>CABINN Scandinavia</t>
  </si>
  <si>
    <t>Courtyard By Marriott</t>
  </si>
  <si>
    <t>EDEN HOTEL HAMPSHIRE EDEN</t>
  </si>
  <si>
    <t>Hampshire Hotels</t>
  </si>
  <si>
    <t>SOKOS HOTEL VAAKUNA KOUVOLA</t>
  </si>
  <si>
    <t>First Hotel Twentyseven</t>
  </si>
  <si>
    <t>Rantasipi Sveitsi</t>
  </si>
  <si>
    <t>Omena Hotel Tampere II</t>
  </si>
  <si>
    <t>SOKOS HOTEL TORNI</t>
  </si>
  <si>
    <t>Van der Valk Hotel Gilze Rijen</t>
  </si>
  <si>
    <t>Scandic Tampere City</t>
  </si>
  <si>
    <t>Hotel Korpilampi</t>
  </si>
  <si>
    <t>SOKOS HOTEL LAHDEN SEURAHUONE</t>
  </si>
  <si>
    <t>Hilton Helsinki Strand</t>
  </si>
  <si>
    <t>Scandic Vierumaki</t>
  </si>
  <si>
    <t>Utell</t>
  </si>
  <si>
    <t>Grand Hotel Huis Ter Duin</t>
  </si>
  <si>
    <t>Scandic Kuopio</t>
  </si>
  <si>
    <t>SOKOS HOTEL KIMMEL</t>
  </si>
  <si>
    <t>Helnan Hvide Hus Hotel</t>
  </si>
  <si>
    <t>Scandic The Reef Frederikshavn</t>
  </si>
  <si>
    <t>Omena Hotel Copenhagen</t>
  </si>
  <si>
    <t>Wyndham Apollo Amsterdam</t>
  </si>
  <si>
    <t>Palace Hotel Part of Scandic</t>
  </si>
  <si>
    <t>Helnan Marselis Hotel</t>
  </si>
  <si>
    <t>Cumulus Jyvaskyla</t>
  </si>
  <si>
    <t>HOTEL GRIFFEN</t>
  </si>
  <si>
    <t>Holiday Club Saariselkae</t>
  </si>
  <si>
    <t>Scandic Lahti</t>
  </si>
  <si>
    <t>NH Amsterdam Centre</t>
  </si>
  <si>
    <t>Park Hotel</t>
  </si>
  <si>
    <t>Holiday Club Saimaa</t>
  </si>
  <si>
    <t>First Hotel Hoje Taastrup</t>
  </si>
  <si>
    <t>Ruissalo Spa Hotel</t>
  </si>
  <si>
    <t>IMATRAN KYLPYLA SPA</t>
  </si>
  <si>
    <t>HOTELNET</t>
  </si>
  <si>
    <t>Scandic Webers</t>
  </si>
  <si>
    <t>SOKOS HOTEL VAAKUNA</t>
  </si>
  <si>
    <t>Scandic Paasi</t>
  </si>
  <si>
    <t>Santas Hotel Santa Claus</t>
  </si>
  <si>
    <t>Koldingfjord Hotel</t>
  </si>
  <si>
    <t>Radisson Blu Hotel Oulu</t>
  </si>
  <si>
    <t>SOKOS HOTEL VAAKUNA SEINAJOKI</t>
  </si>
  <si>
    <t>NH Galaxy</t>
  </si>
  <si>
    <t>Scandic Olympic</t>
  </si>
  <si>
    <t>Novotel Den Haag World Forum</t>
  </si>
  <si>
    <t>Quality Airport Hotel Dan</t>
  </si>
  <si>
    <t>Quality Inns And Suites</t>
  </si>
  <si>
    <t>Hotel Opus Horsens</t>
  </si>
  <si>
    <t>COLUMBUS RESERVATION SERVICE</t>
  </si>
  <si>
    <t>Crowne Plaza Schiphol</t>
  </si>
  <si>
    <t>SOKOS HOTEL VAAKUNA JOENSUU</t>
  </si>
  <si>
    <t>Sokos Hotel Vaakuna</t>
  </si>
  <si>
    <t>First Hotel Copenhagen</t>
  </si>
  <si>
    <t>Bastion Amsterdam Airport</t>
  </si>
  <si>
    <t>Spa Hotel Rantasipi Tropiclandia</t>
  </si>
  <si>
    <t>CUMULUS RAUTATIENKATU</t>
  </si>
  <si>
    <t>Le Meridien Barbarons</t>
  </si>
  <si>
    <t>Holiday Club Saariselka</t>
  </si>
  <si>
    <t>BILDERBERG PARKHOTEL ROTTERDAM</t>
  </si>
  <si>
    <t>Kong Arthur Hotel</t>
  </si>
  <si>
    <t>HELNAN HVIDE HUS HOTEL KOEGE</t>
  </si>
  <si>
    <t>Holiday Inn Oulu</t>
  </si>
  <si>
    <t>HOTEL   CASINO MARIENLYST</t>
  </si>
  <si>
    <t>COMWELL REBILD BAKKER</t>
  </si>
  <si>
    <t>COPENHAGEN STAR HOTEL</t>
  </si>
  <si>
    <t>Scandic Glostrup</t>
  </si>
  <si>
    <t>NH City Centre</t>
  </si>
  <si>
    <t>BEST WESTERN Hotel Eyde</t>
  </si>
  <si>
    <t>SOKOS HOTEL SEURAHUONE KOTKA</t>
  </si>
  <si>
    <t>Tulip Inn Amsterdam Riverside</t>
  </si>
  <si>
    <t>Scandic Jarvenpaa</t>
  </si>
  <si>
    <t>Cumulus Kuopio</t>
  </si>
  <si>
    <t>Van Der Valk Hotel Maastricht A2</t>
  </si>
  <si>
    <t>citizenM hotel Amsterdam Airpor</t>
  </si>
  <si>
    <t>CitizenM Amsterdam City</t>
  </si>
  <si>
    <t>Spa hotel Kuntoranta</t>
  </si>
  <si>
    <t>BEST WESTERN Apollo Museumhotel Amsterdam City Centre</t>
  </si>
  <si>
    <t>Brisamar</t>
  </si>
  <si>
    <t>Louvre Hotels</t>
  </si>
  <si>
    <t>Rantasipi Pohjanhovi Hotel</t>
  </si>
  <si>
    <t>Hotel Ribera de Triana</t>
  </si>
  <si>
    <t>Copenhagen Strand Hotel</t>
  </si>
  <si>
    <t>Cumulus Hameenlinna</t>
  </si>
  <si>
    <t>Britannia Hotel</t>
  </si>
  <si>
    <t>Radisson Blu Hotel Espoo</t>
  </si>
  <si>
    <t>Sokos Hotel Caribia</t>
  </si>
  <si>
    <t>Cumulus Turku Hotel</t>
  </si>
  <si>
    <t>Scandic Jyvaskyla</t>
  </si>
  <si>
    <t>Holiday Inn City Center</t>
  </si>
  <si>
    <t>Small Luxury Hotels of the World</t>
  </si>
  <si>
    <t>Scandic Kongens Ege</t>
  </si>
  <si>
    <t>HOTEL GLO ESPOO SELLO</t>
  </si>
  <si>
    <t>COMWELL KELLERS PARK VEJLE</t>
  </si>
  <si>
    <t>Axel Hotel Guldsmeden</t>
  </si>
  <si>
    <t>Columbus Reservation Service</t>
  </si>
  <si>
    <t>Phoenix Copenhagen</t>
  </si>
  <si>
    <t>Omena Hotel Tampere I</t>
  </si>
  <si>
    <t>Scandic Rovaniemi</t>
  </si>
  <si>
    <t>Holiday Inn Amsterdam</t>
  </si>
  <si>
    <t>Kempinski Seychelles Resort- Baie Lazare</t>
  </si>
  <si>
    <t>ABSALON HOTEL</t>
  </si>
  <si>
    <t>Carlton Hotel Guldsmeden</t>
  </si>
  <si>
    <t>Sterling Hotels And Resorts</t>
  </si>
  <si>
    <t>Cumulus Lappeenranta</t>
  </si>
  <si>
    <t>Hilton Garden Inn</t>
  </si>
  <si>
    <t>First Hotel Grand Odense</t>
  </si>
  <si>
    <t>BEST WESTERN Hotel Hebron</t>
  </si>
  <si>
    <t>Crowne Plaza Amsterdam South</t>
  </si>
  <si>
    <t>Vejle Center Hotel</t>
  </si>
  <si>
    <t>Cumulus Pori</t>
  </si>
  <si>
    <t>Hotel Haikko Manor Spa</t>
  </si>
  <si>
    <t>Autograph Collection</t>
  </si>
  <si>
    <t>BEST WESTERN Golf Hotel Viborg</t>
  </si>
  <si>
    <t>Trinity Hotel og Konference Center</t>
  </si>
  <si>
    <t>Clarion Collection Hotel Mayfair</t>
  </si>
  <si>
    <t>Clarion Hotels</t>
  </si>
  <si>
    <t>Van Der Valk Cuijk</t>
  </si>
  <si>
    <t>Glostrup Park Hotel</t>
  </si>
  <si>
    <t>Voramar</t>
  </si>
  <si>
    <t>Remco Hotel</t>
  </si>
  <si>
    <t>VAN DER VALK HOTEL STEINURMON</t>
  </si>
  <si>
    <t>Four Seasons Hotels</t>
  </si>
  <si>
    <t>Dutch Design Hotel Artemis</t>
  </si>
  <si>
    <t>HOTEL ATLAS KUOPIO</t>
  </si>
  <si>
    <t>Bilderberghotel De Bilderberg</t>
  </si>
  <si>
    <t>Omena Hotel Lonnrotinkatu</t>
  </si>
  <si>
    <t>Sokos Hotel Albert</t>
  </si>
  <si>
    <t>HINDSGAVL SLOT</t>
  </si>
  <si>
    <t>Van der Valk Hotel Hengelo</t>
  </si>
  <si>
    <t>NH Atlanta Rotterdam</t>
  </si>
  <si>
    <t>Grand Oztanik Hotel</t>
  </si>
  <si>
    <t>Rantasipi Forssa</t>
  </si>
  <si>
    <t>Hilton Rotterdam</t>
  </si>
  <si>
    <t>First Hotel Europa</t>
  </si>
  <si>
    <t>HOTEL SAVOY</t>
  </si>
  <si>
    <t>BEST WESTERN PREMIER Art Hotel Eindhoven</t>
  </si>
  <si>
    <t>First Hotel Excelsior</t>
  </si>
  <si>
    <t>Airport Hotel Bonus Inn</t>
  </si>
  <si>
    <t>L Ambiance Resort</t>
  </si>
  <si>
    <t>Sofitel Legend The Grand Amsterdam</t>
  </si>
  <si>
    <t>Sofitel</t>
  </si>
  <si>
    <t>Hotel Esra Family Suite</t>
  </si>
  <si>
    <t>Scandic Bygholm Park</t>
  </si>
  <si>
    <t>Hotelli Alba</t>
  </si>
  <si>
    <t>Hotel Don Manuel</t>
  </si>
  <si>
    <t>WestCord Hotel Delft</t>
  </si>
  <si>
    <t>Sky Tower Hotel Akcakoca Conven</t>
  </si>
  <si>
    <t>Scandic Roskilde</t>
  </si>
  <si>
    <t>Hotel Lidya Sardes Thermal and SPA</t>
  </si>
  <si>
    <t>GO Hotel</t>
  </si>
  <si>
    <t>Classic International Hotels</t>
  </si>
  <si>
    <t>Zleep Hotel Ballerup</t>
  </si>
  <si>
    <t>Bilderberg Europa Hotel</t>
  </si>
  <si>
    <t>Flamingo Resort Bodrum</t>
  </si>
  <si>
    <t>Ramada Plaza Ankara</t>
  </si>
  <si>
    <t>Novotel Rotterdam Schiedam</t>
  </si>
  <si>
    <t>Park Plaza Vondelpark Amsterdam</t>
  </si>
  <si>
    <t>Scandic Plaza Arhus</t>
  </si>
  <si>
    <t>Hotel Blue Sky</t>
  </si>
  <si>
    <t>TAKSIM GONEN HOTEL</t>
  </si>
  <si>
    <t>Rantasipi Aulanko</t>
  </si>
  <si>
    <t>Crowne Plaza Bursa</t>
  </si>
  <si>
    <t>Atli Hotel</t>
  </si>
  <si>
    <t>Olympos Orange</t>
  </si>
  <si>
    <t>Hotel Saxildhus</t>
  </si>
  <si>
    <t>CONSTANCE LEMURIA SEYCHELLES</t>
  </si>
  <si>
    <t>Holiday Inn Turku</t>
  </si>
  <si>
    <t>IC Airport Hotel</t>
  </si>
  <si>
    <t>Cumulus Mikkeli</t>
  </si>
  <si>
    <t>De Bonte Wever</t>
  </si>
  <si>
    <t>Hotel Ambrosia</t>
  </si>
  <si>
    <t>ANEMON FUAR HOTEL</t>
  </si>
  <si>
    <t>SOKOS HOTEL KOLJONVIRTA</t>
  </si>
  <si>
    <t>Scandic Kolding</t>
  </si>
  <si>
    <t>DoubleTree by Hilton Istanbul-Avcilar</t>
  </si>
  <si>
    <t>Comfort Europa</t>
  </si>
  <si>
    <t>Kauppahotelli Grand</t>
  </si>
  <si>
    <t>ZLEEP HOTEL ASTORIA COPENHAGEN</t>
  </si>
  <si>
    <t>Ibis Amsterdam City West</t>
  </si>
  <si>
    <t>Holiday Inn Tampere</t>
  </si>
  <si>
    <t>ELITE WORLD VAN HOTEL</t>
  </si>
  <si>
    <t>Tryp Oviedo</t>
  </si>
  <si>
    <t>Apartamentos Compostela Beach Golf Club</t>
  </si>
  <si>
    <t>NH Barcelona Centro</t>
  </si>
  <si>
    <t>Scandic Front</t>
  </si>
  <si>
    <t>Anemon Eskisehir Hotel</t>
  </si>
  <si>
    <t>H10 Montcada Hotel</t>
  </si>
  <si>
    <t>Ibis Valencia Alfafar</t>
  </si>
  <si>
    <t>Rincon Sol</t>
  </si>
  <si>
    <t>Barcelo Valencia</t>
  </si>
  <si>
    <t>HI Palmanova Palace Hotel</t>
  </si>
  <si>
    <t>MACIA REAL DE LA ALHAMBRA</t>
  </si>
  <si>
    <t>Han Hostel Airport North</t>
  </si>
  <si>
    <t>AXEL HOTEL BARCELONA</t>
  </si>
  <si>
    <t>VINCCI MALAGA</t>
  </si>
  <si>
    <t>Scandic Riihimaki</t>
  </si>
  <si>
    <t>Macia Monasterio los Basilios</t>
  </si>
  <si>
    <t>Crowne Plaza Maastricht</t>
  </si>
  <si>
    <t>Van der Valk Hotel Duiven - Arnhem</t>
  </si>
  <si>
    <t>DGI Huset herning</t>
  </si>
  <si>
    <t>Wow Istanbul Hotel</t>
  </si>
  <si>
    <t>Club Las Olas Punta Elena</t>
  </si>
  <si>
    <t>Hotel Balneario de Arnedillo</t>
  </si>
  <si>
    <t>Intercontinental La Torre Golf</t>
  </si>
  <si>
    <t>Tryp Almussafes</t>
  </si>
  <si>
    <t>Burc Thermal</t>
  </si>
  <si>
    <t>NH Abascal</t>
  </si>
  <si>
    <t>Eser Premium Hotel and Spa</t>
  </si>
  <si>
    <t>Conservatorium Hotel</t>
  </si>
  <si>
    <t>AH SAN FERMIN SUITES</t>
  </si>
  <si>
    <t>Carlton Rioja Hotel</t>
  </si>
  <si>
    <t>Scandic Aalborg</t>
  </si>
  <si>
    <t>Scandic Aarhus Vest</t>
  </si>
  <si>
    <t>Elite World Prestige Hotel</t>
  </si>
  <si>
    <t>Eguzki Lore</t>
  </si>
  <si>
    <t>SEASIDE GRAND HOTEL RESIDENCIA</t>
  </si>
  <si>
    <t>Ibis Amsterdam  Centre Stopera</t>
  </si>
  <si>
    <t>Gentofte Hotel</t>
  </si>
  <si>
    <t>ORKA ROYAL HOTEL</t>
  </si>
  <si>
    <t>Van Der Valk Hotel Den Haag Gouden Leeuw</t>
  </si>
  <si>
    <t>Scandic Jacobs Gade</t>
  </si>
  <si>
    <t>Novotel Amsterdam Airport</t>
  </si>
  <si>
    <t>Aneto Hotel</t>
  </si>
  <si>
    <t>Ibis Girona Costa Brava</t>
  </si>
  <si>
    <t>Boyalik Beach Cesme Spa</t>
  </si>
  <si>
    <t>Erdilli Termal Otel</t>
  </si>
  <si>
    <t>Hotel Macia Gran Via</t>
  </si>
  <si>
    <t>HOTEL MEDIUM SITGES PARK</t>
  </si>
  <si>
    <t>NH Cristal</t>
  </si>
  <si>
    <t>Hotel SB Icaria Barcelona</t>
  </si>
  <si>
    <t>NH Aranzazu</t>
  </si>
  <si>
    <t>Sercotel Rey Sancho</t>
  </si>
  <si>
    <t>COMWELL BORUPGAARD</t>
  </si>
  <si>
    <t>POINT HOTEL BARBAROS</t>
  </si>
  <si>
    <t>InnPera Hotel</t>
  </si>
  <si>
    <t>Angora Hotel</t>
  </si>
  <si>
    <t>NH La Avanzada</t>
  </si>
  <si>
    <t>San Anton Hotel</t>
  </si>
  <si>
    <t>EL PUERTO</t>
  </si>
  <si>
    <t>Aparthotel Alcudia Beach</t>
  </si>
  <si>
    <t>Can Picafort Palace</t>
  </si>
  <si>
    <t>Fairplay Golf Hotel Spa</t>
  </si>
  <si>
    <t>Hotel Ciutat Del Prat</t>
  </si>
  <si>
    <t>SAINTE ANNE RESORT</t>
  </si>
  <si>
    <t>CELUISMA LAS LOMAS</t>
  </si>
  <si>
    <t>Hotel Legoland</t>
  </si>
  <si>
    <t>Hotel Billurcu</t>
  </si>
  <si>
    <t>Ramada Istanbul Old City</t>
  </si>
  <si>
    <t>Van der Valk Hotel Ridderkerk</t>
  </si>
  <si>
    <t>Spa Hotel Rantasipi Eden</t>
  </si>
  <si>
    <t>HOLIDAY CLUB TAMPERE SPA HOTEL</t>
  </si>
  <si>
    <t>Sol Barbacan</t>
  </si>
  <si>
    <t>Eurostars Sevilla Congresos</t>
  </si>
  <si>
    <t>Alkoclar Alacat Hotel</t>
  </si>
  <si>
    <t>GRAND HOTEL ONTUR CESME</t>
  </si>
  <si>
    <t>ABBA HUESCA HOTEL 4 S</t>
  </si>
  <si>
    <t>AC Hotel Ciutat de Palma</t>
  </si>
  <si>
    <t>HOTEL H2 GETAFE</t>
  </si>
  <si>
    <t>Reco Des Sol</t>
  </si>
  <si>
    <t>Vincci Arena</t>
  </si>
  <si>
    <t>KKHOTEL PICASSO BCN</t>
  </si>
  <si>
    <t>SAbanell Central Park</t>
  </si>
  <si>
    <t>Vincci Bit</t>
  </si>
  <si>
    <t>Golden Tulip Hotel Central</t>
  </si>
  <si>
    <t>Hampshire Hotel - Lumen Zwolle</t>
  </si>
  <si>
    <t>Eden Hotel Group</t>
  </si>
  <si>
    <t>Radisson Blu Marina Palace Hotel Turku</t>
  </si>
  <si>
    <t>Ortakoy Princess Hotel and Convention Center</t>
  </si>
  <si>
    <t>Park Hyatt Istanbul - Macka Palas</t>
  </si>
  <si>
    <t>Silken Ciudad De Vitoria Hotel</t>
  </si>
  <si>
    <t>Park Hotel Aalborg</t>
  </si>
  <si>
    <t>Barcelo Hamilton Menorca</t>
  </si>
  <si>
    <t>Olivia Balmes Hotel Sterling Design</t>
  </si>
  <si>
    <t>Zenit Sevilla</t>
  </si>
  <si>
    <t>HUSA ABAD SAN ANTONIO</t>
  </si>
  <si>
    <t>II CASTILLAS</t>
  </si>
  <si>
    <t>Senator Granada Spa Hotel</t>
  </si>
  <si>
    <t>Travelodge Barcelona Hospitalet</t>
  </si>
  <si>
    <t>DANMARK HOTEL</t>
  </si>
  <si>
    <t>Tryp Leon</t>
  </si>
  <si>
    <t>Stay Copenhagen</t>
  </si>
  <si>
    <t>Atlantic Gardens</t>
  </si>
  <si>
    <t>Hotel Apartamentos Princesa P</t>
  </si>
  <si>
    <t>Red Level at Gran Melia Palacio de Isora</t>
  </si>
  <si>
    <t>Van der Valk Hotel Assen</t>
  </si>
  <si>
    <t>La Posada Morisca</t>
  </si>
  <si>
    <t>SARAY REGENCY HOTEL</t>
  </si>
  <si>
    <t>Han Ataturk Airport Hotel</t>
  </si>
  <si>
    <t>CELIK PALAS HOTEL THERMAL SPA AND CONVENTION CENTER</t>
  </si>
  <si>
    <t>Cumulus Kemi</t>
  </si>
  <si>
    <t>Club Cala Romani</t>
  </si>
  <si>
    <t>Fuengirola Beach</t>
  </si>
  <si>
    <t>Helka Hotel</t>
  </si>
  <si>
    <t>Van Der Valk Hotel Leusden</t>
  </si>
  <si>
    <t>First Hotel G and Suites</t>
  </si>
  <si>
    <t>ANEMON AFYON HOTEL AND SPA</t>
  </si>
  <si>
    <t>Gran Hotel San Martin</t>
  </si>
  <si>
    <t>H2 JEREZ</t>
  </si>
  <si>
    <t>Ibis Zaragoza Centro</t>
  </si>
  <si>
    <t>Sokos Hotel Bomba</t>
  </si>
  <si>
    <t>Hotel Foroyar</t>
  </si>
  <si>
    <t>Montra Skaga Hotel</t>
  </si>
  <si>
    <t>Catalonia Hispalis Hotel</t>
  </si>
  <si>
    <t>Hotel Allon Mediterrania</t>
  </si>
  <si>
    <t>NH San Sebastian De Los Reyes</t>
  </si>
  <si>
    <t>Tryp Santiago</t>
  </si>
  <si>
    <t>Kecik Otel</t>
  </si>
  <si>
    <t>Hotel Kamp Helsinki</t>
  </si>
  <si>
    <t>Club Punta Prima</t>
  </si>
  <si>
    <t>HOTEL ARCEA LOS LAGOS</t>
  </si>
  <si>
    <t>NH Prisma</t>
  </si>
  <si>
    <t>Mercure Hotel Amsterdam Airport</t>
  </si>
  <si>
    <t>LUZ CASTELLON</t>
  </si>
  <si>
    <t>NH Podium</t>
  </si>
  <si>
    <t>Hotel Xon S Valencia</t>
  </si>
  <si>
    <t>Son Moll Grand Hotel</t>
  </si>
  <si>
    <t>Vincci Tenerife Golf</t>
  </si>
  <si>
    <t>Melia Olid</t>
  </si>
  <si>
    <t>Severin Lillebaelt A S</t>
  </si>
  <si>
    <t>Scandic Regina</t>
  </si>
  <si>
    <t>BEAUMONT MAASTRICHT</t>
  </si>
  <si>
    <t>Hotel Papendal</t>
  </si>
  <si>
    <t>Festival Village</t>
  </si>
  <si>
    <t>Hotel Boi Taull Resort</t>
  </si>
  <si>
    <t>Hotel Los Pueblos</t>
  </si>
  <si>
    <t>Novotel Kayseri</t>
  </si>
  <si>
    <t>Xperia Grand Bali Hotel</t>
  </si>
  <si>
    <t>Hotel Apolo</t>
  </si>
  <si>
    <t>Melia De Mar</t>
  </si>
  <si>
    <t>TITANIC BUSINESS HOTEL</t>
  </si>
  <si>
    <t>CARRIS ALMIRANTE HOTEL</t>
  </si>
  <si>
    <t>SPA TORRE PACHECO HOTEL</t>
  </si>
  <si>
    <t>Tryp Jerez</t>
  </si>
  <si>
    <t>Tach Madrid Airport</t>
  </si>
  <si>
    <t>BEST WESTERN Alfonso Xiii</t>
  </si>
  <si>
    <t>Hotel IBB Ensenada</t>
  </si>
  <si>
    <t>Palma MazasEmperador</t>
  </si>
  <si>
    <t>Hotel THB Cala Lliteras</t>
  </si>
  <si>
    <t>NH Numancia</t>
  </si>
  <si>
    <t>Ibis Kayseri</t>
  </si>
  <si>
    <t>Zorlu Grand Hotel</t>
  </si>
  <si>
    <t>Nidya Hotel Galataport</t>
  </si>
  <si>
    <t>Paloma Pasha Resort</t>
  </si>
  <si>
    <t>Sunpark Marine Hotel</t>
  </si>
  <si>
    <t>EUROSTARS LUCENTUM</t>
  </si>
  <si>
    <t>Vincci Soho</t>
  </si>
  <si>
    <t>Helnan Aarslev Hotel</t>
  </si>
  <si>
    <t>Van der Valk Hotel Venlo</t>
  </si>
  <si>
    <t>Barcelo Torre Arias</t>
  </si>
  <si>
    <t>CAMPANILE MADRID  ALCALA DE HEN</t>
  </si>
  <si>
    <t>Radisson Blu Falconer Hotel and Conference Center Copenhagen</t>
  </si>
  <si>
    <t>Albufera Aparthotel</t>
  </si>
  <si>
    <t>Hotel Ferrer Concord</t>
  </si>
  <si>
    <t>NH Villa De Bilbao</t>
  </si>
  <si>
    <t>Abba Playa Gijon Hotel</t>
  </si>
  <si>
    <t>Apartamentos Blancala</t>
  </si>
  <si>
    <t>Hotel La Carreta</t>
  </si>
  <si>
    <t>ibis barcelona Centro (Sagrada Familia)</t>
  </si>
  <si>
    <t>NH Las Rozas Aparthotel</t>
  </si>
  <si>
    <t>SIDORME BARCELONA MOLLET</t>
  </si>
  <si>
    <t>Hotel Pejagaarden</t>
  </si>
  <si>
    <t>Scandic Eremitage</t>
  </si>
  <si>
    <t>Alone</t>
  </si>
  <si>
    <t>DANIYA</t>
  </si>
  <si>
    <t>Golden Tulip Doorwerth</t>
  </si>
  <si>
    <t>Hampshire Plaza Groningen</t>
  </si>
  <si>
    <t>Gran Hotel Elba Estepona</t>
  </si>
  <si>
    <t>La Cala Resort</t>
  </si>
  <si>
    <t>Montarto</t>
  </si>
  <si>
    <t>LOS HABANEROS</t>
  </si>
  <si>
    <t>Silken Juan De Austria Hotel</t>
  </si>
  <si>
    <t>HOTEL FC VILLALBA</t>
  </si>
  <si>
    <t>BEST WESTERN Hotel Knudsens Gaard</t>
  </si>
  <si>
    <t>La Casona Del Sella</t>
  </si>
  <si>
    <t>Rafaelhoteles Orense</t>
  </si>
  <si>
    <t>Siete Islas Hotel</t>
  </si>
  <si>
    <t>Gardens of Babylon Wellbeing Resort</t>
  </si>
  <si>
    <t>Sokos Hotel Villa</t>
  </si>
  <si>
    <t>Albret</t>
  </si>
  <si>
    <t>Aparthotel Rio Mar</t>
  </si>
  <si>
    <t>CONFORTEL GOLF BADAJOZ</t>
  </si>
  <si>
    <t>REAL CIUDAD DE ZARAGOZA HOTEL</t>
  </si>
  <si>
    <t>CIUDAD DE PARLA HOTEL</t>
  </si>
  <si>
    <t>Goya Hotel</t>
  </si>
  <si>
    <t>Catalonia Atenas</t>
  </si>
  <si>
    <t>Hotel Plaza Espana</t>
  </si>
  <si>
    <t>PARADISE SUN</t>
  </si>
  <si>
    <t>Van Der Valk Hotel Volendam</t>
  </si>
  <si>
    <t>Richmond Hotel Istanbul</t>
  </si>
  <si>
    <t>Golden Tulip Apple Park Maastricht</t>
  </si>
  <si>
    <t>Silken Alfonso X</t>
  </si>
  <si>
    <t>BEST WESTERN Hotel Mayorazgo</t>
  </si>
  <si>
    <t>Grand Hotel</t>
  </si>
  <si>
    <t>Alkoclar Keban Hotel</t>
  </si>
  <si>
    <t>Alkoclar Keban Hotel  Istanbul</t>
  </si>
  <si>
    <t>AC Hotel Gijon</t>
  </si>
  <si>
    <t>APARTOTEL DRAGOS DEL SUR</t>
  </si>
  <si>
    <t>Marinem Karaca Deluxe Hotel</t>
  </si>
  <si>
    <t>TRH Jardin Del Mar</t>
  </si>
  <si>
    <t>First Hotel Atlantic</t>
  </si>
  <si>
    <t>Scandic Sonderborg</t>
  </si>
  <si>
    <t>Majesty Suzer Hotel</t>
  </si>
  <si>
    <t>EVENIA ROSSELLO</t>
  </si>
  <si>
    <t>Ortakoey Princess Hotel</t>
  </si>
  <si>
    <t>Hotel Santa Rosa</t>
  </si>
  <si>
    <t>HOTEL TORREBLANCA</t>
  </si>
  <si>
    <t>SOKOS HOTEL TAHKOVUORI</t>
  </si>
  <si>
    <t>Van der Valk Rotterdam - Blijdorp</t>
  </si>
  <si>
    <t>Hotel Playa De La Luz</t>
  </si>
  <si>
    <t>Hilton Sa Torre Mallorca</t>
  </si>
  <si>
    <t>Hotel Pinos Playa</t>
  </si>
  <si>
    <t>Divan Ankara Summit Hotels and Resorts</t>
  </si>
  <si>
    <t>Senator Gran Via 21 Hotel</t>
  </si>
  <si>
    <t>AC Hotel Atocha</t>
  </si>
  <si>
    <t>Parador de Santo Estevo</t>
  </si>
  <si>
    <t>HOTEL BOGOTA</t>
  </si>
  <si>
    <t>Ramada Hotel and Suites Istanbul Atakoy</t>
  </si>
  <si>
    <t>Balneario de Archena - Hotel Leon</t>
  </si>
  <si>
    <t>Hotel Sleep2Night</t>
  </si>
  <si>
    <t>GBB Hotel Aranea</t>
  </si>
  <si>
    <t>Hotel Gran Via 65</t>
  </si>
  <si>
    <t>Vincci Centrum Hotel</t>
  </si>
  <si>
    <t>Fira Congress Hotel</t>
  </si>
  <si>
    <t>HOTEL ABADES BENACAZON</t>
  </si>
  <si>
    <t>Scandic Odense</t>
  </si>
  <si>
    <t>Grand Unal Hotel</t>
  </si>
  <si>
    <t>The Manor Hotel Amsterdam</t>
  </si>
  <si>
    <t>BEST WESTERN Hotel City</t>
  </si>
  <si>
    <t>4C Bravo Murillo</t>
  </si>
  <si>
    <t>Ciudad De Medina</t>
  </si>
  <si>
    <t>HCC Taber Hotel</t>
  </si>
  <si>
    <t>Posadas De Espana Malaga</t>
  </si>
  <si>
    <t>Silken Zentro Zaragoza</t>
  </si>
  <si>
    <t>AC Hotel Zaragoza Los Enlaces</t>
  </si>
  <si>
    <t>Hotel Condado Barcelona</t>
  </si>
  <si>
    <t>Hotel Hotetur Belsana</t>
  </si>
  <si>
    <t>NH Ciudad De La Imagen</t>
  </si>
  <si>
    <t>Aquila Hotels and Resorts Club Kapheros</t>
  </si>
  <si>
    <t>HOTEL VEJLEFJORD</t>
  </si>
  <si>
    <t>TRAVELODGE HOSPITALET</t>
  </si>
  <si>
    <t>Playaolid</t>
  </si>
  <si>
    <t>HOTEL JUTLANDIA</t>
  </si>
  <si>
    <t>Hotel Selu</t>
  </si>
  <si>
    <t>Rio Las Marinas</t>
  </si>
  <si>
    <t>Tryp Washington Hotel</t>
  </si>
  <si>
    <t>Bilderberg Garden Hotel</t>
  </si>
  <si>
    <t>ASCOT HOTEL</t>
  </si>
  <si>
    <t>Hotetur Puerto Tahiche</t>
  </si>
  <si>
    <t>GRAN HOTEL CASINO IBIZA SA</t>
  </si>
  <si>
    <t>Hotel Js Yate</t>
  </si>
  <si>
    <t>Silken Puerta de Valencia</t>
  </si>
  <si>
    <t>Maca Kizi Hotel</t>
  </si>
  <si>
    <t>Mama Shelter Istanbul</t>
  </si>
  <si>
    <t>XN Global Res</t>
  </si>
  <si>
    <t>Andersen Hotel</t>
  </si>
  <si>
    <t>HCC St Moritz Hotel</t>
  </si>
  <si>
    <t>Grand Yavuz Hotel</t>
  </si>
  <si>
    <t>Hotel Balmes</t>
  </si>
  <si>
    <t>Amazonas</t>
  </si>
  <si>
    <t>Rafaelhoteles Forum Alcala</t>
  </si>
  <si>
    <t>Tryp Centro Norte Apartments</t>
  </si>
  <si>
    <t>Apartamentos Resitur</t>
  </si>
  <si>
    <t>AC Palacio De Santa Paula Autograph Collection</t>
  </si>
  <si>
    <t>NH Embajada</t>
  </si>
  <si>
    <t>Apartotel Ponent Mar</t>
  </si>
  <si>
    <t>Cumulus Hotel Oulu</t>
  </si>
  <si>
    <t>Marmaray Hotel</t>
  </si>
  <si>
    <t>AC Hotel La Linea by Marriott</t>
  </si>
  <si>
    <t>Parador de Merida</t>
  </si>
  <si>
    <t>IBEROSTAR PLAYA MURO VILLAGE</t>
  </si>
  <si>
    <t>Hotel Conferentiecentrum Zonheu</t>
  </si>
  <si>
    <t>OTTOMAN PALACE TAKSIM</t>
  </si>
  <si>
    <t>ByOtell Flora Residence ISTANBUL</t>
  </si>
  <si>
    <t>Renaissance Izmir Hotel</t>
  </si>
  <si>
    <t>Alfabia Nou</t>
  </si>
  <si>
    <t>Don Jaime</t>
  </si>
  <si>
    <t>Las Marismas De Corralejo</t>
  </si>
  <si>
    <t>Apartahotel Hacienda San Jorge</t>
  </si>
  <si>
    <t>Hotel Castilla Alicante</t>
  </si>
  <si>
    <t>CARRIS MARINEDA</t>
  </si>
  <si>
    <t>Crystal Hotel</t>
  </si>
  <si>
    <t>Ciudad De Cordoba</t>
  </si>
  <si>
    <t>Hotel Horus Salamanca</t>
  </si>
  <si>
    <t>La Mirada Cala Dor</t>
  </si>
  <si>
    <t>SAN SEBASTIAN HOTEL</t>
  </si>
  <si>
    <t>Sokos Hotel Levi Sirkka</t>
  </si>
  <si>
    <t>NH Lagasca</t>
  </si>
  <si>
    <t>WELCOME ROSE RESORT HOTEL</t>
  </si>
  <si>
    <t>Lapland Hotel Luostotunturi</t>
  </si>
  <si>
    <t>Ohla Hotel Preferred Boutique</t>
  </si>
  <si>
    <t>Palacio del Carmen Autograph Collection</t>
  </si>
  <si>
    <t>PRAKTIK METROPOL HOTEL</t>
  </si>
  <si>
    <t>Blue City Las Lomas Hotel</t>
  </si>
  <si>
    <t>Hotel Nuevo Vichona</t>
  </si>
  <si>
    <t>THE MANHATTAN HOTEL ROTTERDAM</t>
  </si>
  <si>
    <t>EXE CUENCA</t>
  </si>
  <si>
    <t>H2 GRANADA</t>
  </si>
  <si>
    <t>Tryp Menfis Hotel</t>
  </si>
  <si>
    <t>Bastion Deluxe Hotel Almere</t>
  </si>
  <si>
    <t>BEST WESTERN Blue Tower Hotel</t>
  </si>
  <si>
    <t>Hotel Isla Mallorca Spa</t>
  </si>
  <si>
    <t>Hotels Van Oranje</t>
  </si>
  <si>
    <t>Bastion Beneluxtunnel</t>
  </si>
  <si>
    <t>Torrejon Hotel</t>
  </si>
  <si>
    <t>Rodalquilar</t>
  </si>
  <si>
    <t>Madeira Centro</t>
  </si>
  <si>
    <t>Divan Istanbul City Sterling Hotels</t>
  </si>
  <si>
    <t>Barcelo Raval</t>
  </si>
  <si>
    <t>CABINN ESBJERG</t>
  </si>
  <si>
    <t>The Plaza Hotel</t>
  </si>
  <si>
    <t>BEST WESTERN Mercur Hotel</t>
  </si>
  <si>
    <t>Oasis DOr</t>
  </si>
  <si>
    <t>Sheraton Bursa Hotel</t>
  </si>
  <si>
    <t>CORAL STRAND</t>
  </si>
  <si>
    <t>HELLERUP PARKHOTEL</t>
  </si>
  <si>
    <t>STAYAT ESPOO</t>
  </si>
  <si>
    <t>REINA PETRONILA HOTEL</t>
  </si>
  <si>
    <t>Sol Costablanca</t>
  </si>
  <si>
    <t>Aquapark Hotel</t>
  </si>
  <si>
    <t>Gotico</t>
  </si>
  <si>
    <t>Parador de Cervera de Pisuerga</t>
  </si>
  <si>
    <t>REGENTE ARAGON</t>
  </si>
  <si>
    <t>Apartamentos Santa Rosa</t>
  </si>
  <si>
    <t>Hesperia Sant Joan</t>
  </si>
  <si>
    <t>Ibis Madrid Fuenlabrada</t>
  </si>
  <si>
    <t>PUERTO JUAN MONTIEL HOTEL</t>
  </si>
  <si>
    <t>Valentin Marieta ApartHotel</t>
  </si>
  <si>
    <t>Bitez Garden Life Hotel</t>
  </si>
  <si>
    <t>Hotel Ipek Palas</t>
  </si>
  <si>
    <t>Quality Hotel Ateljee</t>
  </si>
  <si>
    <t>NH Naarden</t>
  </si>
  <si>
    <t>Hotel Morasol Suites</t>
  </si>
  <si>
    <t>LYKIA HOTEL GOCEK</t>
  </si>
  <si>
    <t>North Point Hotel Denizli Turkey</t>
  </si>
  <si>
    <t>Club San Miguel</t>
  </si>
  <si>
    <t>Hotel Balcon de Europa</t>
  </si>
  <si>
    <t>BEST WESTERN PLUS Hotel Blue Square</t>
  </si>
  <si>
    <t>Valentin Blue Bay</t>
  </si>
  <si>
    <t>Tryp Ambassador</t>
  </si>
  <si>
    <t>BEST WESTERN Hotel Fredericia</t>
  </si>
  <si>
    <t>BEST WESTERN Kryb I Ly</t>
  </si>
  <si>
    <t>Apartments Buenos Aires</t>
  </si>
  <si>
    <t>ibis Leiden Centre (Opening February 2012)</t>
  </si>
  <si>
    <t>SOKOS HOTEL JYVASHOVI</t>
  </si>
  <si>
    <t>Crowne Plaza Denhaag Promenade</t>
  </si>
  <si>
    <t>GRAND HOTEL STRUER</t>
  </si>
  <si>
    <t>Hotel Maribo Sopark</t>
  </si>
  <si>
    <t>Agh Bartos</t>
  </si>
  <si>
    <t>Hotel Opera</t>
  </si>
  <si>
    <t>Apartamentos Monte Gorbea</t>
  </si>
  <si>
    <t>Eurostars Isla Cartuja</t>
  </si>
  <si>
    <t>Granollers</t>
  </si>
  <si>
    <t>Buyuk Velic Airport Hotel</t>
  </si>
  <si>
    <t>Sercotel Coliseo</t>
  </si>
  <si>
    <t>EXE GRAN HOTEL SOLUCAR</t>
  </si>
  <si>
    <t>SOKOS HOTEL TAPIOLA GARDEN</t>
  </si>
  <si>
    <t>Club Hotel Cala Ratjada</t>
  </si>
  <si>
    <t>Lloyd Hotel Amsterdam</t>
  </si>
  <si>
    <t>Nh Geldrop</t>
  </si>
  <si>
    <t>Van Der Valk Hotel Heerlen</t>
  </si>
  <si>
    <t>EUROPE PLAYA MARINA</t>
  </si>
  <si>
    <t>Hotel Almenara</t>
  </si>
  <si>
    <t>Mercure San Sebastian Monte Igueldo</t>
  </si>
  <si>
    <t>Copenhagen Crown Hotel</t>
  </si>
  <si>
    <t>BEST WESTERN PLUS Khan Hotel</t>
  </si>
  <si>
    <t>Dedeman Park Denizli</t>
  </si>
  <si>
    <t>Dedeman Park Denizli Hotel</t>
  </si>
  <si>
    <t>MARIGOLD THERMAL AND SPA HOTEL</t>
  </si>
  <si>
    <t>Antequera Golf</t>
  </si>
  <si>
    <t>Sol Cala Blanca</t>
  </si>
  <si>
    <t>Urbanizacion Port Saplaya</t>
  </si>
  <si>
    <t>AC Hotel Ciudad de Pamplona</t>
  </si>
  <si>
    <t>Barcelo Cadiz</t>
  </si>
  <si>
    <t>Quindos</t>
  </si>
  <si>
    <t>Amethyst Hotel</t>
  </si>
  <si>
    <t>Fantasia Hotel Marmaris</t>
  </si>
  <si>
    <t>AC Hotel Sants</t>
  </si>
  <si>
    <t>Hotel Apartamentos Los Dragos d</t>
  </si>
  <si>
    <t>NH VICTORIA PALACE</t>
  </si>
  <si>
    <t>WestCord Art Hotel Amsterdam 3-stars</t>
  </si>
  <si>
    <t>Ibis Barcelona Pza Glories 22</t>
  </si>
  <si>
    <t>Kempinski Hotel Bahia Estepona</t>
  </si>
  <si>
    <t>Cross Elorz</t>
  </si>
  <si>
    <t>Hesperia Zaragoza</t>
  </si>
  <si>
    <t>Hotel Abba Fonseca</t>
  </si>
  <si>
    <t>Sercotel G.H. Victoria</t>
  </si>
  <si>
    <t>SPA HOTEL RANTASIPI SIUNTIO</t>
  </si>
  <si>
    <t>HESPERIA MURCIA</t>
  </si>
  <si>
    <t>Rioja</t>
  </si>
  <si>
    <t>Nh Zoetermeer</t>
  </si>
  <si>
    <t>Sokos Hotel Aleksanteri</t>
  </si>
  <si>
    <t>Hotel Zenit Don Yo</t>
  </si>
  <si>
    <t>Hotel Las Vegas</t>
  </si>
  <si>
    <t>Anemon Ordu</t>
  </si>
  <si>
    <t>CASPEL</t>
  </si>
  <si>
    <t>Sercotel Subur</t>
  </si>
  <si>
    <t>Club Andria</t>
  </si>
  <si>
    <t>Holiday Inn Ijmuiden Seaport</t>
  </si>
  <si>
    <t>Hotel Balnerario Valle del Jert</t>
  </si>
  <si>
    <t>Hotel Galicia Palace</t>
  </si>
  <si>
    <t>Akol Hotel</t>
  </si>
  <si>
    <t>Royal Panacea Hotel</t>
  </si>
  <si>
    <t>BEST WESTERN PLUS The President Hotel</t>
  </si>
  <si>
    <t>H2 BOADILLA HOTEL</t>
  </si>
  <si>
    <t>Hotel Cibeles Playa</t>
  </si>
  <si>
    <t>Regency Country Club</t>
  </si>
  <si>
    <t>Confortel Fuengirola</t>
  </si>
  <si>
    <t>Holiday Club Kuusamon Tropiikki</t>
  </si>
  <si>
    <t>Eurostars Ciudad De La Coruna</t>
  </si>
  <si>
    <t>Parador de Baiona</t>
  </si>
  <si>
    <t>NH Sotogrande</t>
  </si>
  <si>
    <t>Vincci Seleccion Posada Del Patio</t>
  </si>
  <si>
    <t>Bristol Hotel</t>
  </si>
  <si>
    <t>H10 Universitat Hotel</t>
  </si>
  <si>
    <t>Golden Tulip Heerlickheijd van Ermelo</t>
  </si>
  <si>
    <t>Bilderberg Hotel T Speulderbos</t>
  </si>
  <si>
    <t>VAN DER VALK DE BILTSCHE HOEK</t>
  </si>
  <si>
    <t>PARK HOTEL</t>
  </si>
  <si>
    <t>Hotel Chagall</t>
  </si>
  <si>
    <t>Alta Beach Hotel</t>
  </si>
  <si>
    <t>The Sofa Hotel</t>
  </si>
  <si>
    <t>Aparthotel Reco des Sol</t>
  </si>
  <si>
    <t>Catalonia Diagonal Centro</t>
  </si>
  <si>
    <t>Barcelo Montecastillo Golf</t>
  </si>
  <si>
    <t>Gran Hotel Conde Duque</t>
  </si>
  <si>
    <t>AGIR HOTEL</t>
  </si>
  <si>
    <t>Blue City Merida Palace</t>
  </si>
  <si>
    <t>CAMPANILE ELCHE</t>
  </si>
  <si>
    <t>HOTEL VIME CORREGIDOR</t>
  </si>
  <si>
    <t>ibis Lleida</t>
  </si>
  <si>
    <t>Valentin Park Apartments</t>
  </si>
  <si>
    <t>Nh Canciller Ayala</t>
  </si>
  <si>
    <t>Fraser Place Anthill Istanbul</t>
  </si>
  <si>
    <t>Aparthotel Atenea Barcelona</t>
  </si>
  <si>
    <t>DON CURRO</t>
  </si>
  <si>
    <t>HAMPSHIRE HOTEL BABYLON</t>
  </si>
  <si>
    <t>Sercotel Villa de Laguardia</t>
  </si>
  <si>
    <t>Holiday Inn Express Girona</t>
  </si>
  <si>
    <t>NH Imperial Playa</t>
  </si>
  <si>
    <t>HM BALMES</t>
  </si>
  <si>
    <t>TUDANCA MIRANDA</t>
  </si>
  <si>
    <t>Grand Hilarium Hotel</t>
  </si>
  <si>
    <t>SENTIDO Goldon Bay Hotel</t>
  </si>
  <si>
    <t>BLACK BIRD HOTEL</t>
  </si>
  <si>
    <t>Kleopatra Micador Hotel</t>
  </si>
  <si>
    <t>Hotel Class Valls</t>
  </si>
  <si>
    <t>HUSA  HOTEL ODEON</t>
  </si>
  <si>
    <t>NH Herencia Rioja</t>
  </si>
  <si>
    <t>TIGAIGA</t>
  </si>
  <si>
    <t>Ayre Hotel Caspe</t>
  </si>
  <si>
    <t>Hotel Manolo</t>
  </si>
  <si>
    <t>Hoposa Villa Concha Aparthotel</t>
  </si>
  <si>
    <t>DEDEMAN SANLIURFA</t>
  </si>
  <si>
    <t>Rixos Elysium</t>
  </si>
  <si>
    <t>Hesperia Finisterre</t>
  </si>
  <si>
    <t>AIRPORT HOTEL SEVCAN</t>
  </si>
  <si>
    <t>BEST WESTERN PREMIER Hotel Katajanokka</t>
  </si>
  <si>
    <t>CABINN EXPRESS</t>
  </si>
  <si>
    <t>Benidorm Centre</t>
  </si>
  <si>
    <t>Eurostars Regina</t>
  </si>
  <si>
    <t>Husa Europa</t>
  </si>
  <si>
    <t>UR PALACIO AVENIDA</t>
  </si>
  <si>
    <t>Crowne Plaza Antalya</t>
  </si>
  <si>
    <t>Point Hotel Taksim</t>
  </si>
  <si>
    <t>Axor Barajas Hotel</t>
  </si>
  <si>
    <t>Hilton Garden Inn Konya</t>
  </si>
  <si>
    <t>Ciudad de Castelldefels</t>
  </si>
  <si>
    <t>Molina Lario</t>
  </si>
  <si>
    <t>Warwick Hotels</t>
  </si>
  <si>
    <t>Ibis Barcelona Mollet</t>
  </si>
  <si>
    <t>Parador de Vielha</t>
  </si>
  <si>
    <t>Blue Regency Airport Hotel</t>
  </si>
  <si>
    <t>Mirilayon Hotel</t>
  </si>
  <si>
    <t>THE BOSTANCI HOTEL</t>
  </si>
  <si>
    <t>Capri</t>
  </si>
  <si>
    <t>La Quinta Resort Hotel Spa</t>
  </si>
  <si>
    <t>Pasarela</t>
  </si>
  <si>
    <t>Radisson Blu Fredensborg Hotel Bornholm Ronne</t>
  </si>
  <si>
    <t>AC Hotel Palau de Bellavista</t>
  </si>
  <si>
    <t>Barcelo Jaca</t>
  </si>
  <si>
    <t>Ibis Castelldefels</t>
  </si>
  <si>
    <t>NH Ciudad de Cuenca</t>
  </si>
  <si>
    <t>Hotel Spa Senator Cadiz</t>
  </si>
  <si>
    <t>Montra Hotel Sabro Kro</t>
  </si>
  <si>
    <t>Steigenberger Kurhaus Hotel</t>
  </si>
  <si>
    <t>HOTEL RANDERS</t>
  </si>
  <si>
    <t>Menstrup Kro Resort Hotel</t>
  </si>
  <si>
    <t>ASTORIA7 HOTEL</t>
  </si>
  <si>
    <t>Gran Palas Hotel</t>
  </si>
  <si>
    <t>Kross Nuestra Senora del Rocio</t>
  </si>
  <si>
    <t>VP JARDIN METROPOLITANO HOTEL</t>
  </si>
  <si>
    <t>Catalonia Majorica Hotel</t>
  </si>
  <si>
    <t>Eurostars Cristal Palace</t>
  </si>
  <si>
    <t>Hotel Termes Montbrio</t>
  </si>
  <si>
    <t>Hotels and Preference</t>
  </si>
  <si>
    <t>Balneario de Archena - Hotel Termas</t>
  </si>
  <si>
    <t>CATALONIA PLAZA MAYOR SALAMANCA</t>
  </si>
  <si>
    <t>Hotel Suite Montana Club</t>
  </si>
  <si>
    <t>NH Playa de las Canteras</t>
  </si>
  <si>
    <t>Parador Soria</t>
  </si>
  <si>
    <t>ANEMON HOTEL IZMIR</t>
  </si>
  <si>
    <t>Hotel Du Nord</t>
  </si>
  <si>
    <t>AC Hotel Sevilla Torneo</t>
  </si>
  <si>
    <t>Hotel Vincci La Rabida</t>
  </si>
  <si>
    <t>BEST WESTERN Hotel Svendborg</t>
  </si>
  <si>
    <t>HOTEL LA PAZ</t>
  </si>
  <si>
    <t>Hotel Ritz Madrid</t>
  </si>
  <si>
    <t>Orient-Express Hotels, Ltd</t>
  </si>
  <si>
    <t>Hotetur Aquarius</t>
  </si>
  <si>
    <t>As Hoteles Bellaterra</t>
  </si>
  <si>
    <t>VAN DER VALK HOTEL NULAND</t>
  </si>
  <si>
    <t>TRH Tirant Playa</t>
  </si>
  <si>
    <t>Vilamari Hotel</t>
  </si>
  <si>
    <t>Atalay Hotel</t>
  </si>
  <si>
    <t>HM Martinique</t>
  </si>
  <si>
    <t>Hotel Husa Las Canas</t>
  </si>
  <si>
    <t>Eurostars Las Adelfas</t>
  </si>
  <si>
    <t>Ramada Tekirdag</t>
  </si>
  <si>
    <t>HI  PUEBLO ANDALUZ</t>
  </si>
  <si>
    <t>Mercure Thalasia Costa de Murcia</t>
  </si>
  <si>
    <t>SOKOS HOTEL VAAKUNA MIKKELI</t>
  </si>
  <si>
    <t>Hotel Derby Barcelona</t>
  </si>
  <si>
    <t>Hotel Urdanibia Park</t>
  </si>
  <si>
    <t>Tryp Los Gallos</t>
  </si>
  <si>
    <t>URH GIRONA</t>
  </si>
  <si>
    <t>Villa Real Hotel</t>
  </si>
  <si>
    <t>Palace Hotel</t>
  </si>
  <si>
    <t>Camelot Boutique Hotel</t>
  </si>
  <si>
    <t>The Istanbul EDITION</t>
  </si>
  <si>
    <t>Edition</t>
  </si>
  <si>
    <t>Intertur Hotel Hawaii Ibiza</t>
  </si>
  <si>
    <t>Ibis Murcia</t>
  </si>
  <si>
    <t>MEDIUM CITY HOTEL</t>
  </si>
  <si>
    <t>Melia Recoletos</t>
  </si>
  <si>
    <t>Virgen De Los Reyes</t>
  </si>
  <si>
    <t>Catalonia El Pilar</t>
  </si>
  <si>
    <t>Parador de Plasencia</t>
  </si>
  <si>
    <t>PARADOR DE SOS DEL REY CATOLICO</t>
  </si>
  <si>
    <t>Petit Palace Mayor Hotel</t>
  </si>
  <si>
    <t>Tryp Ciudad De Elche</t>
  </si>
  <si>
    <t>HOTEL MARITIME</t>
  </si>
  <si>
    <t>Mercure Hotel Den Haag Leidschendam</t>
  </si>
  <si>
    <t>Eurostars Diana Palace</t>
  </si>
  <si>
    <t>Hilton Bursa Convention Center-Spa</t>
  </si>
  <si>
    <t>Castillo Hotel Son Vida Mallorca</t>
  </si>
  <si>
    <t>Hotel Astoria Barcelona</t>
  </si>
  <si>
    <t>Hotel JS Cape Colom</t>
  </si>
  <si>
    <t>Grand Yazici Boutique Otel</t>
  </si>
  <si>
    <t>AXIS VIGO HOTEL</t>
  </si>
  <si>
    <t>Eurostars Plaza</t>
  </si>
  <si>
    <t>Hernan Cortes</t>
  </si>
  <si>
    <t>Jardin Milenio</t>
  </si>
  <si>
    <t>Parador de Tortosa Castillo de la Zuda</t>
  </si>
  <si>
    <t>Hampshire Hotel -  Crown Eindhoven</t>
  </si>
  <si>
    <t>Shangri-La Bosphorus Istanbul</t>
  </si>
  <si>
    <t>Shangri-La Hotels</t>
  </si>
  <si>
    <t>Sol La Palma Apartmentos</t>
  </si>
  <si>
    <t>Barcelo Marbella Golf</t>
  </si>
  <si>
    <t>Cordoba Center Hotel</t>
  </si>
  <si>
    <t>Hotel &amp; Spa S'Entrador Playa</t>
  </si>
  <si>
    <t>Allstar Cinar Hotel</t>
  </si>
  <si>
    <t>InnPoints Reserv</t>
  </si>
  <si>
    <t>HCC Regente Hotel</t>
  </si>
  <si>
    <t>PARADOR DE LA SEU D URGELL</t>
  </si>
  <si>
    <t>Partner L Azohia</t>
  </si>
  <si>
    <t>Vantis Hotels</t>
  </si>
  <si>
    <t>Hotel Bulvar Palace</t>
  </si>
  <si>
    <t>Cvk Hotels Taksim Istanbul</t>
  </si>
  <si>
    <t>Tryp Zaragoza</t>
  </si>
  <si>
    <t>L Ambiance Hotel</t>
  </si>
  <si>
    <t>Petit Palace Opera Garden Ramblas</t>
  </si>
  <si>
    <t>Zenit Bilbao</t>
  </si>
  <si>
    <t>NH Malaga</t>
  </si>
  <si>
    <t>SKODSBORG KURHOTEL AND SPA</t>
  </si>
  <si>
    <t>sercotel togumar</t>
  </si>
  <si>
    <t>Tryp Barcelona Aeropuerto</t>
  </si>
  <si>
    <t>HOTEL MUSTA KISSA</t>
  </si>
  <si>
    <t>Golden Tulip Amersfoort</t>
  </si>
  <si>
    <t>Hotel Blicher</t>
  </si>
  <si>
    <t>Ski Resort Dedeman Palandoken</t>
  </si>
  <si>
    <t>TITANIC CITY HOTEL</t>
  </si>
  <si>
    <t>Posadas de Espana Asset</t>
  </si>
  <si>
    <t>Park Plaza Eindhoven</t>
  </si>
  <si>
    <t>Avant Torrejon</t>
  </si>
  <si>
    <t>COMWELL SONDERBORG</t>
  </si>
  <si>
    <t>DoubleTree by Hilton Hotel &amp; Spa Emporda</t>
  </si>
  <si>
    <t>Acueducto</t>
  </si>
  <si>
    <t>NAVAL SESTAO HOTEL</t>
  </si>
  <si>
    <t>NH Villa De Coslada</t>
  </si>
  <si>
    <t>Parador de Ronda</t>
  </si>
  <si>
    <t>BEST WESTERN PLUS Hotel Konak</t>
  </si>
  <si>
    <t>Tres Reyes Hotel</t>
  </si>
  <si>
    <t>The Central Palace</t>
  </si>
  <si>
    <t>TRYP Madrid Chamartin</t>
  </si>
  <si>
    <t>City Hotel Nebo</t>
  </si>
  <si>
    <t>Cadosa</t>
  </si>
  <si>
    <t>Nh Sport</t>
  </si>
  <si>
    <t>PARADOR DE CANGAS DE ONIS</t>
  </si>
  <si>
    <t>PHW LAS CASAS DE LA JUDERIA</t>
  </si>
  <si>
    <t>Hotel Las Rampas</t>
  </si>
  <si>
    <t>Van der Valk Hotel Spier Dwingeloo</t>
  </si>
  <si>
    <t>HOTEL DE WITTE BERGEN</t>
  </si>
  <si>
    <t>Hesperia Ramblas</t>
  </si>
  <si>
    <t>PARADOR DE LERMA</t>
  </si>
  <si>
    <t>NH Principado</t>
  </si>
  <si>
    <t>Adina Hotel Copenhagen</t>
  </si>
  <si>
    <t>Golden Tulip Westduin-Koudekerke Vlissingen</t>
  </si>
  <si>
    <t>Ola Club Cala Llenya</t>
  </si>
  <si>
    <t>LOS ANGELES</t>
  </si>
  <si>
    <t>Levni Hotel Istanbul</t>
  </si>
  <si>
    <t>Opera Hotel</t>
  </si>
  <si>
    <t>NH Cornella</t>
  </si>
  <si>
    <t>Parador de Fuente De</t>
  </si>
  <si>
    <t>AC Hotel Aravaca</t>
  </si>
  <si>
    <t>Arenal Pins</t>
  </si>
  <si>
    <t>Hotel Ciutat de Granollers</t>
  </si>
  <si>
    <t>Reina Del Mar</t>
  </si>
  <si>
    <t>Sansi Lleida</t>
  </si>
  <si>
    <t>Lapland Hotel Pallas</t>
  </si>
  <si>
    <t>Villa Sunflower Hotel</t>
  </si>
  <si>
    <t>Adonis Aparthotel Castalia</t>
  </si>
  <si>
    <t>Moevenpick Hotel S Hertogenbos</t>
  </si>
  <si>
    <t>WCH STRANDHOTEL SEEDUYN V</t>
  </si>
  <si>
    <t>IBEROSTAR ROYAL PLAYA DE PALMA</t>
  </si>
  <si>
    <t>Sunway Playa Golf Sitges Hotel</t>
  </si>
  <si>
    <t>Hotel Elegance Getafe</t>
  </si>
  <si>
    <t>Hotel Moderno Puerta Del Sol</t>
  </si>
  <si>
    <t>Ibis Alicante Elche</t>
  </si>
  <si>
    <t>NH Parque Avenidas</t>
  </si>
  <si>
    <t>Hotel Ickale</t>
  </si>
  <si>
    <t>Comwell Soro Storkro</t>
  </si>
  <si>
    <t>Rantasipi Rukahovi</t>
  </si>
  <si>
    <t>FIRST SLOTSHOTEL AALBORG</t>
  </si>
  <si>
    <t>Omena Hotel Pori</t>
  </si>
  <si>
    <t>Omena Hotel Seinajoki</t>
  </si>
  <si>
    <t>Avenida</t>
  </si>
  <si>
    <t>Helnan Phonix Hotel</t>
  </si>
  <si>
    <t>Ayre Hotel Cordoba</t>
  </si>
  <si>
    <t>De Las Letras Hotel</t>
  </si>
  <si>
    <t>Holiday Inn Exp Alcobendas</t>
  </si>
  <si>
    <t>Kilimanjaro</t>
  </si>
  <si>
    <t>HOTEL PRINDSEN</t>
  </si>
  <si>
    <t>SOKOS HOTEL RIKALA</t>
  </si>
  <si>
    <t>Tredos</t>
  </si>
  <si>
    <t>HOTEL APARTAMENTOS SULTAN CLUB</t>
  </si>
  <si>
    <t>HOTEL SEMINARIO</t>
  </si>
  <si>
    <t>SANTA MARTA</t>
  </si>
  <si>
    <t>Vincci Palace</t>
  </si>
  <si>
    <t>Bilem Airport High Class Hotel</t>
  </si>
  <si>
    <t>Sokos Hotel Vesileppis</t>
  </si>
  <si>
    <t>BEST WESTERN Parkhotel Putten</t>
  </si>
  <si>
    <t>Hilton Garden Inn Kutahya</t>
  </si>
  <si>
    <t>Vita Bellavista</t>
  </si>
  <si>
    <t>The Convent Hotel Amsterdam - MGallery Collection</t>
  </si>
  <si>
    <t>Hesperia Ferrol</t>
  </si>
  <si>
    <t>Lugal Ankara</t>
  </si>
  <si>
    <t>Turquhouse Boutique Hotel</t>
  </si>
  <si>
    <t>Hesperia Cordoba</t>
  </si>
  <si>
    <t>La Llosa</t>
  </si>
  <si>
    <t>San Martin</t>
  </si>
  <si>
    <t>HOTEL ENVIA GOLF</t>
  </si>
  <si>
    <t>Nieuw Slotania Hotel</t>
  </si>
  <si>
    <t>AC Hotel Arganda</t>
  </si>
  <si>
    <t>AC Hotel Ciutat dAlcoi</t>
  </si>
  <si>
    <t>Gustavelund Hotel</t>
  </si>
  <si>
    <t>Quatro Puerta Del Sol Hotel</t>
  </si>
  <si>
    <t>Ramada Plaza Istanbul City Center</t>
  </si>
  <si>
    <t>MONTE CARMELO</t>
  </si>
  <si>
    <t>Sercotel Palacio del Mar</t>
  </si>
  <si>
    <t>Cumulus Imatra</t>
  </si>
  <si>
    <t>Berjaya Praslin Resort</t>
  </si>
  <si>
    <t>AC Hotel Zamora</t>
  </si>
  <si>
    <t>La Estacion</t>
  </si>
  <si>
    <t>NH Arguelles</t>
  </si>
  <si>
    <t>Ciudad De Burgos</t>
  </si>
  <si>
    <t>Novotel Murcia</t>
  </si>
  <si>
    <t>Tryp Medea</t>
  </si>
  <si>
    <t>whala solimar</t>
  </si>
  <si>
    <t>NH Alberto Aguilera</t>
  </si>
  <si>
    <t>Novotel Barcelona Cornella</t>
  </si>
  <si>
    <t>Aparthotel Atenea Aventura</t>
  </si>
  <si>
    <t>HOTEL SCT THOMAS</t>
  </si>
  <si>
    <t>Postillion Hotel Deventer</t>
  </si>
  <si>
    <t>Nyhavn Hotel</t>
  </si>
  <si>
    <t>Zleep Airport Hotel</t>
  </si>
  <si>
    <t>INTUR BONAIRE</t>
  </si>
  <si>
    <t>TAKSIM FERONYA HOTEL</t>
  </si>
  <si>
    <t>Hesperia Villamil</t>
  </si>
  <si>
    <t>Hotel Palace Gl</t>
  </si>
  <si>
    <t>Cartoon Hotel Istanbul</t>
  </si>
  <si>
    <t>Mavi Hotel</t>
  </si>
  <si>
    <t>WCH Hotel Noordsee Amelan</t>
  </si>
  <si>
    <t>BEST WESTERN Hotel Albahia</t>
  </si>
  <si>
    <t>Hotel Sant Cugat</t>
  </si>
  <si>
    <t>AC Hotel Badajoz by Marriott</t>
  </si>
  <si>
    <t>Bungalows Campo Golf</t>
  </si>
  <si>
    <t>Hotel Avenida Palace</t>
  </si>
  <si>
    <t>Sercotel Extremadura</t>
  </si>
  <si>
    <t>Sercotel Glories</t>
  </si>
  <si>
    <t>Anemon Adana Hotel</t>
  </si>
  <si>
    <t>Green Park Merter</t>
  </si>
  <si>
    <t>Mercure Istanbul Altunizade</t>
  </si>
  <si>
    <t>Barcelo Ankara Altinel</t>
  </si>
  <si>
    <t>SENTIDO Beldibi</t>
  </si>
  <si>
    <t>HOSTAL DE LA GAVINA</t>
  </si>
  <si>
    <t>Zenit  Borrell</t>
  </si>
  <si>
    <t>APAROTEL VALENCIA RENTALFLATS PALACIO CONGRESOS</t>
  </si>
  <si>
    <t>Hotel El Puntazo</t>
  </si>
  <si>
    <t>HOTEL RISCAL</t>
  </si>
  <si>
    <t>GOLDEN PALAS HOTEL CERKEZKOY</t>
  </si>
  <si>
    <t>Hotel D Angleterre</t>
  </si>
  <si>
    <t>H2 Mercader</t>
  </si>
  <si>
    <t>Zleep Hotel Billund</t>
  </si>
  <si>
    <t>Omena Hotel Oulu</t>
  </si>
  <si>
    <t>Next Hotel Rivoli Jardin</t>
  </si>
  <si>
    <t>Apartaments Comte d Empuries</t>
  </si>
  <si>
    <t>ERUOPE VILLA CORTES</t>
  </si>
  <si>
    <t>Las Vegas</t>
  </si>
  <si>
    <t>Aden Hotel</t>
  </si>
  <si>
    <t>Florya Konagi Airport Hotel</t>
  </si>
  <si>
    <t>Ibis Den Haag City Centre</t>
  </si>
  <si>
    <t>Melia Golf Vichy Catalan</t>
  </si>
  <si>
    <t>Radisson Blu Resort, Gran Canaria</t>
  </si>
  <si>
    <t>Bastion Deluxe Hotel Den Haag</t>
  </si>
  <si>
    <t>Mercure Hotel Amersfoort Centre</t>
  </si>
  <si>
    <t>Hotel Confortel Almirante</t>
  </si>
  <si>
    <t>Sercotel Las Rocas</t>
  </si>
  <si>
    <t>HO CIUDAD DE JAEN</t>
  </si>
  <si>
    <t>EXE Area Central</t>
  </si>
  <si>
    <t>NH Agustinos</t>
  </si>
  <si>
    <t>NOAIN PAMPLONA HOTEL</t>
  </si>
  <si>
    <t>Pax</t>
  </si>
  <si>
    <t>Hesperia Isla de La Toja</t>
  </si>
  <si>
    <t>Petit Palace President Castellana</t>
  </si>
  <si>
    <t>THB Ibiza Mar</t>
  </si>
  <si>
    <t>Top Hotel Mexico Vigo</t>
  </si>
  <si>
    <t>Top International</t>
  </si>
  <si>
    <t>Hotel Reina Cristina</t>
  </si>
  <si>
    <t>NH Les Corts</t>
  </si>
  <si>
    <t>Mercure Istanbul Taksim (Opening March 2014)</t>
  </si>
  <si>
    <t>Abba  Acteon</t>
  </si>
  <si>
    <t>Hampshire Hotel-Rembrandt Sq</t>
  </si>
  <si>
    <t>Mosaic Hotel</t>
  </si>
  <si>
    <t>Grand hotel central</t>
  </si>
  <si>
    <t>Hotel Alanda Club Marbella</t>
  </si>
  <si>
    <t>Ola Hotel Bermudas</t>
  </si>
  <si>
    <t>Allstar Aksan Hotel</t>
  </si>
  <si>
    <t>Asia City Hotel</t>
  </si>
  <si>
    <t>Van der Valk Hotel Amersfoort A1</t>
  </si>
  <si>
    <t>Partner Caceres Golf</t>
  </si>
  <si>
    <t>BEST WESTERN Eresin Taxim Hotel</t>
  </si>
  <si>
    <t>Ramada Istanbul Grand Bazaar</t>
  </si>
  <si>
    <t>Radisson Blu Papirfabrikken Hotel Silkeborg</t>
  </si>
  <si>
    <t>APOLLO HOTEL LELYSTAD CENTRE</t>
  </si>
  <si>
    <t>Hotel Ernst Sillem Hoeve</t>
  </si>
  <si>
    <t>H2 AVILA</t>
  </si>
  <si>
    <t>Hotel Palladium</t>
  </si>
  <si>
    <t>Apartamentos Goya 75</t>
  </si>
  <si>
    <t>Atel Hotels Network</t>
  </si>
  <si>
    <t>BEST WESTERN PREMIER Hotel Dante</t>
  </si>
  <si>
    <t>Holiday Inn Express Madrid Leganes</t>
  </si>
  <si>
    <t>Hotel Martin Alonso Pinzon</t>
  </si>
  <si>
    <t>Annabel Ii</t>
  </si>
  <si>
    <t>HOTEL LAS ARTES</t>
  </si>
  <si>
    <t>IBIS MADRID ALCOBENDAS</t>
  </si>
  <si>
    <t>Taslik Hotel</t>
  </si>
  <si>
    <t>The Marmara Sisli</t>
  </si>
  <si>
    <t>Novotel Den Haag City Centre</t>
  </si>
  <si>
    <t>Aparthotel Club Simo</t>
  </si>
  <si>
    <t>Cap De Mar</t>
  </si>
  <si>
    <t>Hotel Callao Sport Spa</t>
  </si>
  <si>
    <t>Olimar Ii</t>
  </si>
  <si>
    <t>Sercotel Boulevard Vitoria Gasteiz</t>
  </si>
  <si>
    <t>Silken Torre Garden</t>
  </si>
  <si>
    <t>Carlton Beach</t>
  </si>
  <si>
    <t>Parkhotel Den Haag</t>
  </si>
  <si>
    <t>SOKOS HOTEL VAAKUNA PORI</t>
  </si>
  <si>
    <t>Silken  Gran Hotel Havana</t>
  </si>
  <si>
    <t>Rantasipi Imatran Valtionhotelli.</t>
  </si>
  <si>
    <t>NH Museum Quarter</t>
  </si>
  <si>
    <t>Golden Tulip Hotel Epe</t>
  </si>
  <si>
    <t>Bilderberg Hotel De Buunderkamp</t>
  </si>
  <si>
    <t>AC Hotel Som by Marriott</t>
  </si>
  <si>
    <t>Hotel SB Corona Tortosa</t>
  </si>
  <si>
    <t>Hotel Urban</t>
  </si>
  <si>
    <t>TACTICA HOTEL</t>
  </si>
  <si>
    <t>Hotel La Cumbre</t>
  </si>
  <si>
    <t>Florya Konagi Hotel</t>
  </si>
  <si>
    <t>Renaissance Istanbul Bosphorus Hotel</t>
  </si>
  <si>
    <t>Silken Atlantida Santa Cruz</t>
  </si>
  <si>
    <t>Vincci Maritimo</t>
  </si>
  <si>
    <t>NH Doelen</t>
  </si>
  <si>
    <t>Hotel Los Bracos</t>
  </si>
  <si>
    <t>NH Deusto</t>
  </si>
  <si>
    <t>Silken Villa De Aviles</t>
  </si>
  <si>
    <t>LaresPark Hotel Taksim Istanbul</t>
  </si>
  <si>
    <t>SENSIMAR KEMER MARINA AND SPA</t>
  </si>
  <si>
    <t>CASANOVA HOTEL</t>
  </si>
  <si>
    <t>HOTEL TRAVELODGE LAS ROZAS</t>
  </si>
  <si>
    <t>Hotel Paguera Park</t>
  </si>
  <si>
    <t>Ah Agora Caceres</t>
  </si>
  <si>
    <t>Plaza Azul Apartamentos</t>
  </si>
  <si>
    <t>Reston Valdemoro</t>
  </si>
  <si>
    <t>Malama Beach Hotel</t>
  </si>
  <si>
    <t>Anna Hotel</t>
  </si>
  <si>
    <t>Holiday Inn Express Madrid-San Sebastian de los Reyes</t>
  </si>
  <si>
    <t>Marismas Club Resort</t>
  </si>
  <si>
    <t>Sirenis Hotel Playa Dorada</t>
  </si>
  <si>
    <t>HOTEL LAUTRUPPARK</t>
  </si>
  <si>
    <t>Hampshire City Hotel Groningen</t>
  </si>
  <si>
    <t>Comwell Kongebrogaarden</t>
  </si>
  <si>
    <t>Guadalpin Banus</t>
  </si>
  <si>
    <t>NH Gran Hotel Casino Extremadura</t>
  </si>
  <si>
    <t>REAL</t>
  </si>
  <si>
    <t>MONTRA HANSTHOLM HOTEL</t>
  </si>
  <si>
    <t>Nevali Hotel</t>
  </si>
  <si>
    <t>Hadrianus Hotel</t>
  </si>
  <si>
    <t>HOTETUR HOTEL BAHIA FLAMINGO</t>
  </si>
  <si>
    <t>PLAYAMARINA SPA HOTEL</t>
  </si>
  <si>
    <t>Abetos Del Maestre Escuela</t>
  </si>
  <si>
    <t>Monte Triana</t>
  </si>
  <si>
    <t>SOKOS HOTEL LAKEUS</t>
  </si>
  <si>
    <t>Balneario de Archena - Hotel Levante</t>
  </si>
  <si>
    <t>BLU HOTEL</t>
  </si>
  <si>
    <t>HOTEL UR PORTOFINO</t>
  </si>
  <si>
    <t>Tryp Sofia Parquesol</t>
  </si>
  <si>
    <t>Hotel Mitland</t>
  </si>
  <si>
    <t>NH Schiller</t>
  </si>
  <si>
    <t>Pullman Madrid Airport &amp; Feria</t>
  </si>
  <si>
    <t>Hotel Apartamentos Princesa Pla</t>
  </si>
  <si>
    <t>HOTEL FONTANA PLAZA</t>
  </si>
  <si>
    <t>Hotel JS Can Picafort</t>
  </si>
  <si>
    <t>NH Alicante</t>
  </si>
  <si>
    <t>Avantgarde Levent Hotel</t>
  </si>
  <si>
    <t>PERA TULIP HOTEL</t>
  </si>
  <si>
    <t>Mercure Hotel Den Haag Central</t>
  </si>
  <si>
    <t>Silken Puerta Malaga</t>
  </si>
  <si>
    <t>Sokos Hotel Kuusamo</t>
  </si>
  <si>
    <t>RICHMOND NUA WELLNESS SPA HOTE</t>
  </si>
  <si>
    <t>Los Jandalos Vistahermosa AND SPA</t>
  </si>
  <si>
    <t>Inkim Beach Hotel</t>
  </si>
  <si>
    <t>Alexandra Hotel Barcelona</t>
  </si>
  <si>
    <t>Antemare Hotel</t>
  </si>
  <si>
    <t>ANEMON HOTEL MANISA</t>
  </si>
  <si>
    <t>Hotel Guadalmina Spa and Golf Resort</t>
  </si>
  <si>
    <t>Alexandra Hotel</t>
  </si>
  <si>
    <t>Hotel Arena</t>
  </si>
  <si>
    <t>BEST WESTERN Hotel Kolding City</t>
  </si>
  <si>
    <t>H2 RUBI HOTEL</t>
  </si>
  <si>
    <t>Mercure Hotel Tilburg Centre</t>
  </si>
  <si>
    <t>THB RESERVA DEL HIGUERON</t>
  </si>
  <si>
    <t>EL HOTEL PACHA</t>
  </si>
  <si>
    <t>Eurostars Mitre</t>
  </si>
  <si>
    <t>Aparto Hotel Rosales</t>
  </si>
  <si>
    <t>NH Porta Barcelona</t>
  </si>
  <si>
    <t>Hotel Granados 83</t>
  </si>
  <si>
    <t>Andalucia Center</t>
  </si>
  <si>
    <t>Gallery Hotel</t>
  </si>
  <si>
    <t>AC Hotel Gava Mar</t>
  </si>
  <si>
    <t>AC Hotel Palacio Universal</t>
  </si>
  <si>
    <t>PETIT PALACE ALCALA TORRE HOTEL</t>
  </si>
  <si>
    <t>GOLDEN PARK HOTEL</t>
  </si>
  <si>
    <t>Grand S Hotel Istanbul</t>
  </si>
  <si>
    <t>BEST WESTERN Amsterdam Airport Hotel</t>
  </si>
  <si>
    <t>Lamartine Hotel Taksim</t>
  </si>
  <si>
    <t>Hotel Victoria</t>
  </si>
  <si>
    <t>Mia Pera Hotel</t>
  </si>
  <si>
    <t>Mediterraneo</t>
  </si>
  <si>
    <t>Talya Hotel</t>
  </si>
  <si>
    <t>Van der Valk Hotel Akersloot</t>
  </si>
  <si>
    <t>CLARIDGE</t>
  </si>
  <si>
    <t>Holiday Inn Express Bilbao</t>
  </si>
  <si>
    <t>NH PASEO DEL PRADO</t>
  </si>
  <si>
    <t>Hotel ReeHorst</t>
  </si>
  <si>
    <t>Van der Valk Hotel Drachten</t>
  </si>
  <si>
    <t>ALVA PARK COSTA BRAVA</t>
  </si>
  <si>
    <t>AC Hotel Cordoba by Marriott</t>
  </si>
  <si>
    <t>AC Hotel Palacio de Santa Ana</t>
  </si>
  <si>
    <t>Hotel Arc la Rambla</t>
  </si>
  <si>
    <t>Hotel T3-Tirol</t>
  </si>
  <si>
    <t>Mandarin Oriental Barcelona</t>
  </si>
  <si>
    <t>Mandarin Oriental Hotels</t>
  </si>
  <si>
    <t>Melia Plaza</t>
  </si>
  <si>
    <t>Monte Puertatierra Hotel</t>
  </si>
  <si>
    <t>Posadas De Espana Cartagena Murcia</t>
  </si>
  <si>
    <t>Travelodge Madrid Alcala</t>
  </si>
  <si>
    <t>Barcelo Caceres V Centenario</t>
  </si>
  <si>
    <t>Evamar Luxmar Playamar apartments</t>
  </si>
  <si>
    <t>Puerto Cala Vadella</t>
  </si>
  <si>
    <t>ARMADA ISTANBUL OLD CITY HOTEL</t>
  </si>
  <si>
    <t>PETIT PALACE LONDRES CENTRO</t>
  </si>
  <si>
    <t>San Luis</t>
  </si>
  <si>
    <t>Hotel Mediodia</t>
  </si>
  <si>
    <t>Radisson Blu Hotel Ankara</t>
  </si>
  <si>
    <t>Aida Hotel</t>
  </si>
  <si>
    <t>Barcelo Jandia Club Premium</t>
  </si>
  <si>
    <t>PETIT PALACE ARENAL PUERTA DEL SOL</t>
  </si>
  <si>
    <t>TAASTRUP PARK HOTEL</t>
  </si>
  <si>
    <t>Silken Luis De Leon</t>
  </si>
  <si>
    <t>Hotel Pino Alto</t>
  </si>
  <si>
    <t>Calasanz Hotel</t>
  </si>
  <si>
    <t>SENTIDO Golden Island Hotel</t>
  </si>
  <si>
    <t>Sherry Park</t>
  </si>
  <si>
    <t>Kami Hotel</t>
  </si>
  <si>
    <t>Golden Tulip Jagershorst</t>
  </si>
  <si>
    <t>Ilkay Hotel</t>
  </si>
  <si>
    <t>Hotel Hotetur Lago Playa</t>
  </si>
  <si>
    <t>Marcomar</t>
  </si>
  <si>
    <t>Apartamentos Bitacora Club Lanz</t>
  </si>
  <si>
    <t>Novotel Gaziantep</t>
  </si>
  <si>
    <t>Hotel Maria Cristina San Sebastian</t>
  </si>
  <si>
    <t>Hotel Castell Blanc</t>
  </si>
  <si>
    <t>Parador de Avila</t>
  </si>
  <si>
    <t>Hesperia Getafe</t>
  </si>
  <si>
    <t>Tahona Garden</t>
  </si>
  <si>
    <t>Comfort Hotel Lahti</t>
  </si>
  <si>
    <t>Comfort Inn</t>
  </si>
  <si>
    <t>AIRPORT HOTEL ROTTERDAM</t>
  </si>
  <si>
    <t>HANASAARI - HANAHOLMEN</t>
  </si>
  <si>
    <t>Omena Hotel Jyvaskyla</t>
  </si>
  <si>
    <t>Playa Sur Tene</t>
  </si>
  <si>
    <t>Room Mate Oscar</t>
  </si>
  <si>
    <t>DoubleTree by Hilton Avanos</t>
  </si>
  <si>
    <t>Bohemia Suites and Spa</t>
  </si>
  <si>
    <t>La Residencia</t>
  </si>
  <si>
    <t>BEST WESTERN Hotel Les Palmeres</t>
  </si>
  <si>
    <t>SIDORME ALBACETE</t>
  </si>
  <si>
    <t>SIDORME BARCELONA GRANOLLERS</t>
  </si>
  <si>
    <t>Scandic Plaza Turku</t>
  </si>
  <si>
    <t>Ayre Hotel Ramiro I</t>
  </si>
  <si>
    <t>Campanile Alicante</t>
  </si>
  <si>
    <t>Husa Center</t>
  </si>
  <si>
    <t>Club Mavi Hotel</t>
  </si>
  <si>
    <t>Van der Valk Hotel Ara</t>
  </si>
  <si>
    <t>Hotel Calipolis</t>
  </si>
  <si>
    <t>ALFONSO VIII</t>
  </si>
  <si>
    <t>HELMANTICO</t>
  </si>
  <si>
    <t>DE L EUROPE AMSTERDAM</t>
  </si>
  <si>
    <t>Tulip Inn Amsterdam Centre</t>
  </si>
  <si>
    <t>Marti La Perla</t>
  </si>
  <si>
    <t>Apartamentos Manilva Green</t>
  </si>
  <si>
    <t>Yasaroglu Hotel</t>
  </si>
  <si>
    <t>Hotel Melike</t>
  </si>
  <si>
    <t>Princess Old City Hotel</t>
  </si>
  <si>
    <t>Apartamentos Surfing Playa</t>
  </si>
  <si>
    <t>NH CASTELLAR</t>
  </si>
  <si>
    <t>America Hotel</t>
  </si>
  <si>
    <t>Hotel Ronda Lesseps</t>
  </si>
  <si>
    <t>NH San Pedro</t>
  </si>
  <si>
    <t>Parador de Calahorra</t>
  </si>
  <si>
    <t>Quality Reus</t>
  </si>
  <si>
    <t>Catalonia Giralda Hotel</t>
  </si>
  <si>
    <t>Hotel San Carlos</t>
  </si>
  <si>
    <t>Hotel Torrejoven</t>
  </si>
  <si>
    <t>Holiday Inn Express Arnhem</t>
  </si>
  <si>
    <t>Embat</t>
  </si>
  <si>
    <t>Fletcher Hotel Stadspark</t>
  </si>
  <si>
    <t>Hotel Theater Figi</t>
  </si>
  <si>
    <t>POSTILLION HOTEL HAREN</t>
  </si>
  <si>
    <t>Golden Tulip Victoria</t>
  </si>
  <si>
    <t>APARTHOTEL NOVO PARK</t>
  </si>
  <si>
    <t>Globales Hotel Reina Cristina</t>
  </si>
  <si>
    <t>Hotel THB Los Molinos</t>
  </si>
  <si>
    <t>AC Hotel Leon San Antonio</t>
  </si>
  <si>
    <t>H2 SANT CUGAT</t>
  </si>
  <si>
    <t>Radisson Blu Hotel Istanbul Asia</t>
  </si>
  <si>
    <t>Husa Via Romana</t>
  </si>
  <si>
    <t>Santa Marta</t>
  </si>
  <si>
    <t>Hotel Delta Yss</t>
  </si>
  <si>
    <t>Ramada Inn Kahramanmaras</t>
  </si>
  <si>
    <t>Kleopatra City Hotel</t>
  </si>
  <si>
    <t>Suite Laguna Hotel</t>
  </si>
  <si>
    <t>EVENIA OLYMPIC GARDEN</t>
  </si>
  <si>
    <t>Holiday Inn Madrid - Las Tabla</t>
  </si>
  <si>
    <t>Hotel THB Maria Isabel</t>
  </si>
  <si>
    <t>Tryp Alameda</t>
  </si>
  <si>
    <t>Tryp Cibeles</t>
  </si>
  <si>
    <t>Yumukoglu Izmir City Center Hotel</t>
  </si>
  <si>
    <t>OESTERGAARDS HOTEL</t>
  </si>
  <si>
    <t>Natura Park</t>
  </si>
  <si>
    <t>Apollo Hotel Zaltbommel</t>
  </si>
  <si>
    <t>Swissotel Amsterdam</t>
  </si>
  <si>
    <t>HOTEL LAS TORRES</t>
  </si>
  <si>
    <t>PARADOR DE ALMAGRO</t>
  </si>
  <si>
    <t>Room Mate Mario</t>
  </si>
  <si>
    <t>WILSON BOUTIQUE HOTEL</t>
  </si>
  <si>
    <t>Ibis Veenendaal</t>
  </si>
  <si>
    <t>POSTILLION HOTEL DORDRECHT</t>
  </si>
  <si>
    <t>Courtyard Amsterdam Airport</t>
  </si>
  <si>
    <t>Mugla Hotel</t>
  </si>
  <si>
    <t>Hampshire Mooi Veluwe</t>
  </si>
  <si>
    <t>Van der Valk Princeville</t>
  </si>
  <si>
    <t>Citadines Ramblas Barcelona</t>
  </si>
  <si>
    <t>The Ascott Limited</t>
  </si>
  <si>
    <t>Hotel Jerez</t>
  </si>
  <si>
    <t>Apartamentos Cotillo Lagos</t>
  </si>
  <si>
    <t>Catalonia Conde de Floridablanca</t>
  </si>
  <si>
    <t>Hesperia Zubialde</t>
  </si>
  <si>
    <t>Orion</t>
  </si>
  <si>
    <t>Parquesur Hotel</t>
  </si>
  <si>
    <t>Posadas de Espana-Paterna</t>
  </si>
  <si>
    <t>san francisco hotel monumento</t>
  </si>
  <si>
    <t>Hotel Delfin</t>
  </si>
  <si>
    <t>Cumulus Lahti</t>
  </si>
  <si>
    <t>Bastion Hotel Rotterdam Rhoon</t>
  </si>
  <si>
    <t>Van Der Valk Hotel Rotterdam</t>
  </si>
  <si>
    <t>Campanile - Gouda</t>
  </si>
  <si>
    <t>Parkhotel Horst Hampshire</t>
  </si>
  <si>
    <t>MONTE CONQUERO HOTEL</t>
  </si>
  <si>
    <t>HOTEL SPA PARIS</t>
  </si>
  <si>
    <t>Green Hotel</t>
  </si>
  <si>
    <t>Ringkobing hotel</t>
  </si>
  <si>
    <t>Hotel Medi</t>
  </si>
  <si>
    <t>Tryp Alcala 611</t>
  </si>
  <si>
    <t>Divan Istanbul Preferred Hotels and Resorts</t>
  </si>
  <si>
    <t>Park Plaza Suites And Aprtmnt</t>
  </si>
  <si>
    <t>The St Regis Mardavall Mallorca Resort</t>
  </si>
  <si>
    <t>The St. Regis</t>
  </si>
  <si>
    <t>Hisar Hotel</t>
  </si>
  <si>
    <t>Arthur Hotel</t>
  </si>
  <si>
    <t>FOUR SEASONS SEYCHELLES</t>
  </si>
  <si>
    <t>EUROSTARS LAS CLARAS</t>
  </si>
  <si>
    <t>Sercotel Oriente</t>
  </si>
  <si>
    <t>Novotel Girona Aeropuerto</t>
  </si>
  <si>
    <t>La Plantacion Del Sur</t>
  </si>
  <si>
    <t>AC Hotel General Alava</t>
  </si>
  <si>
    <t>NH Luz Huelva</t>
  </si>
  <si>
    <t>Or Blanc</t>
  </si>
  <si>
    <t>Global Business Residence</t>
  </si>
  <si>
    <t>High Tech Petit Palace Las Torres Hotel</t>
  </si>
  <si>
    <t>Hotel Lopez De Haro</t>
  </si>
  <si>
    <t>Ramada Istanbul Taksim</t>
  </si>
  <si>
    <t>Novotel Eindhoven</t>
  </si>
  <si>
    <t>Hotel Les Dunes Comodoro Benido</t>
  </si>
  <si>
    <t>NH La Maquinista</t>
  </si>
  <si>
    <t>NH Pirineos</t>
  </si>
  <si>
    <t>Petit Palace Ducal Chueca Hotel</t>
  </si>
  <si>
    <t>NH Den Haag</t>
  </si>
  <si>
    <t>First Hotel Marina</t>
  </si>
  <si>
    <t>Hotel Elimar</t>
  </si>
  <si>
    <t>Insignia Hotel Luzana</t>
  </si>
  <si>
    <t>Intercontinental Mar Menor Gol</t>
  </si>
  <si>
    <t>Panorama Hill Hotel</t>
  </si>
  <si>
    <t>BEST WESTERN Airport Hotel Pilotti</t>
  </si>
  <si>
    <t>Barcelo Illetas Albatros</t>
  </si>
  <si>
    <t>Concorde</t>
  </si>
  <si>
    <t>Andaz Amsterdam Prinsengracht - a Hyatt Hotel</t>
  </si>
  <si>
    <t>Ibis Barcelona Mataro</t>
  </si>
  <si>
    <t>Hotel Vistamar</t>
  </si>
  <si>
    <t>Apartamentos El Puerto</t>
  </si>
  <si>
    <t>HOTEL BAILEN</t>
  </si>
  <si>
    <t>HI! Honolulu Hotel</t>
  </si>
  <si>
    <t>Parque Denia</t>
  </si>
  <si>
    <t>Zarzuela Park Hotel</t>
  </si>
  <si>
    <t>MUNKEBJERG HOTEL</t>
  </si>
  <si>
    <t>Designhotel Maastricht</t>
  </si>
  <si>
    <t>Mersin HiltonSA</t>
  </si>
  <si>
    <t>HOTEL ARTURO NORTE</t>
  </si>
  <si>
    <t>Paradise Island Hotel</t>
  </si>
  <si>
    <t>Express by Holiday Inn Valencia-Bonaire</t>
  </si>
  <si>
    <t>NH Mindoro</t>
  </si>
  <si>
    <t>COMWELL MIDDELFART</t>
  </si>
  <si>
    <t>Life Port Hotel</t>
  </si>
  <si>
    <t>Hotel Top Royal Sun</t>
  </si>
  <si>
    <t>Ibis Madrid Arganda</t>
  </si>
  <si>
    <t>Royal Oasis at Pueblo Quinta</t>
  </si>
  <si>
    <t>Holiday Inn Alicante-Playa de San Juan</t>
  </si>
  <si>
    <t>Temple Riosol</t>
  </si>
  <si>
    <t>Catalonia Puerta Del Sol</t>
  </si>
  <si>
    <t>Exe Alcomar</t>
  </si>
  <si>
    <t>Hotel Windsor</t>
  </si>
  <si>
    <t>PARADOR DE CUENCA</t>
  </si>
  <si>
    <t>Silken Sant Gervasi Hotel</t>
  </si>
  <si>
    <t>Groenendael Hotel and Conferentiecentrum</t>
  </si>
  <si>
    <t>Park Plaza Utrecht</t>
  </si>
  <si>
    <t>Atlantis Dunapark</t>
  </si>
  <si>
    <t>Catalonia La Pedrera</t>
  </si>
  <si>
    <t>GRAN HOTEL MONACHIL</t>
  </si>
  <si>
    <t>Hilton ParkSA Istanbul</t>
  </si>
  <si>
    <t>KONAK HOTEL ISTANBUL</t>
  </si>
  <si>
    <t>AC Hotel Burgos</t>
  </si>
  <si>
    <t>CATALONIA CATEDRAL HOTEL</t>
  </si>
  <si>
    <t>CLEMENT BARAJAS</t>
  </si>
  <si>
    <t>NH Turcosa</t>
  </si>
  <si>
    <t>Tryp Ciudad De Alicante</t>
  </si>
  <si>
    <t>Hotel Breukelen</t>
  </si>
  <si>
    <t>Jiva Beach Resort</t>
  </si>
  <si>
    <t>Crowne Plaza Madrid Airport</t>
  </si>
  <si>
    <t>Golden Tulip Zevenbergen</t>
  </si>
  <si>
    <t>Hotel Macia Condor</t>
  </si>
  <si>
    <t>Sehrs Campus</t>
  </si>
  <si>
    <t>Hotel Antvorskov</t>
  </si>
  <si>
    <t>HOTEL NIELS JUEL</t>
  </si>
  <si>
    <t>Hotel La Tour</t>
  </si>
  <si>
    <t>BLANCA HOTEL IZMIR</t>
  </si>
  <si>
    <t>Gardenya Apartment Hotel</t>
  </si>
  <si>
    <t>Kaya Prestige</t>
  </si>
  <si>
    <t>HCC Montblanc</t>
  </si>
  <si>
    <t>Ibis Madrid Alcorcon Tresaguas</t>
  </si>
  <si>
    <t>Villa Saray</t>
  </si>
  <si>
    <t>NH Palacio de Ferrera</t>
  </si>
  <si>
    <t>Reconquista</t>
  </si>
  <si>
    <t>Cala Font</t>
  </si>
  <si>
    <t>Gran Hotel Espana</t>
  </si>
  <si>
    <t>Park</t>
  </si>
  <si>
    <t>CIUTAT DE BERGA HOTEL</t>
  </si>
  <si>
    <t>PORTOCOBO HOTEL</t>
  </si>
  <si>
    <t>Carlton Oasis Hotel</t>
  </si>
  <si>
    <t>SAN ANTONIO EL REAL</t>
  </si>
  <si>
    <t>San Sebastian Playa Hotel</t>
  </si>
  <si>
    <t>Alameda Palace</t>
  </si>
  <si>
    <t>Bueu Mar</t>
  </si>
  <si>
    <t>NH Victoria</t>
  </si>
  <si>
    <t>PLAYAFELS</t>
  </si>
  <si>
    <t>BEST WESTERN Spahotel Casino</t>
  </si>
  <si>
    <t>BEST WESTERN Palads Hotel</t>
  </si>
  <si>
    <t>Horizon Sky Resort</t>
  </si>
  <si>
    <t>Golden Tulip de Wipselberg</t>
  </si>
  <si>
    <t>BEST WESTERN Hotel Kalliohovi</t>
  </si>
  <si>
    <t>Hotel Bueyuek Saruhan</t>
  </si>
  <si>
    <t>Blue Garden Hotel</t>
  </si>
  <si>
    <t>Divan Bodrum Preferred Boutique</t>
  </si>
  <si>
    <t>Emexotel Istanbul</t>
  </si>
  <si>
    <t>Confortel Menorca</t>
  </si>
  <si>
    <t>La Posada Del Conde</t>
  </si>
  <si>
    <t>Atlantic Club Reserva De Marb</t>
  </si>
  <si>
    <t>Gran Hotel Balneario Blancafort</t>
  </si>
  <si>
    <t>SUADIYE HOTEL</t>
  </si>
  <si>
    <t>HOTEL ANSGAR</t>
  </si>
  <si>
    <t>Hotel Friheden</t>
  </si>
  <si>
    <t>APOLLO ALMERE CITY</t>
  </si>
  <si>
    <t>Hotel Terramar</t>
  </si>
  <si>
    <t>Catalonia Goya</t>
  </si>
  <si>
    <t>HALL 88 APARTHOTEL</t>
  </si>
  <si>
    <t>Hotel Lodomar Spa Talasoterapia</t>
  </si>
  <si>
    <t>JM Puerto del Rosario</t>
  </si>
  <si>
    <t>Salles Aeroport Girona</t>
  </si>
  <si>
    <t>Yeni Hotel</t>
  </si>
  <si>
    <t>Blanca de Navarra</t>
  </si>
  <si>
    <t>Sercotel Guadiana</t>
  </si>
  <si>
    <t>Tryp Palma</t>
  </si>
  <si>
    <t>Four Points by Sheraton Barcelona Diagonal</t>
  </si>
  <si>
    <t>Holiday Inn Express Malaga Airport</t>
  </si>
  <si>
    <t>BEST WESTERN Leidse Square Hotel</t>
  </si>
  <si>
    <t>Exe Laietana Palace</t>
  </si>
  <si>
    <t>Holiday Inn Exp Tres Cantos</t>
  </si>
  <si>
    <t>Petit Palace Art Gallery</t>
  </si>
  <si>
    <t>Petit Palace Museum</t>
  </si>
  <si>
    <t>Holiday Inn Ankara Kavaklide</t>
  </si>
  <si>
    <t>PLAZA DE SANTIAGO</t>
  </si>
  <si>
    <t xml:space="preserve">SILVOTA HOTEL </t>
  </si>
  <si>
    <t>Aparthotel Ferrer Maristany</t>
  </si>
  <si>
    <t>TRYP MADRIDGETAFE LOS ANGELES</t>
  </si>
  <si>
    <t>Bastion Hotel Roosendaal</t>
  </si>
  <si>
    <t>HOTEL AMERIKA</t>
  </si>
  <si>
    <t>ABADES RECOGIDAS</t>
  </si>
  <si>
    <t>BEST WESTERN Hotel Florida</t>
  </si>
  <si>
    <t>Eurostars Mediterranea Plaza</t>
  </si>
  <si>
    <t>Hotel Insua</t>
  </si>
  <si>
    <t>HOTEL MIRO</t>
  </si>
  <si>
    <t>HOTEL SANT PERE II</t>
  </si>
  <si>
    <t>Mercure Burgos Rice</t>
  </si>
  <si>
    <t>Apartamentos Bungalows Barranco</t>
  </si>
  <si>
    <t>Barcelo Formentor</t>
  </si>
  <si>
    <t>IBEROSTAR ISLA CANELA PARK</t>
  </si>
  <si>
    <t>Monaco</t>
  </si>
  <si>
    <t>BEST WESTERN Torvehallerne</t>
  </si>
  <si>
    <t>Hotel Hillerod</t>
  </si>
  <si>
    <t>Hampshire City Hotel Hengelo</t>
  </si>
  <si>
    <t>Aparthotel Floramar</t>
  </si>
  <si>
    <t>Hotel Bag</t>
  </si>
  <si>
    <t>Sercotel Corona de Castilla</t>
  </si>
  <si>
    <t>Magnific Hotel</t>
  </si>
  <si>
    <t>Arenal Playa</t>
  </si>
  <si>
    <t>CAMPANILE MADRID  LAS ROZAS</t>
  </si>
  <si>
    <t>Confortel Suites Madrid</t>
  </si>
  <si>
    <t>Holiday Inn Express Alicante</t>
  </si>
  <si>
    <t>IBEROSTAR GRAND EL MIRADOR</t>
  </si>
  <si>
    <t>INTUR CASTELLON</t>
  </si>
  <si>
    <t>Jumeirah Port Soller Hotel</t>
  </si>
  <si>
    <t>Jumeirah</t>
  </si>
  <si>
    <t>Sucuevas</t>
  </si>
  <si>
    <t>Hesperia Bilbao</t>
  </si>
  <si>
    <t>Iberostar Son Antem Golf</t>
  </si>
  <si>
    <t>Dream Hotel Apartamentos Villa Tagoro</t>
  </si>
  <si>
    <t>Vita Embajador</t>
  </si>
  <si>
    <t>America</t>
  </si>
  <si>
    <t>Eurostars Gran Madrid</t>
  </si>
  <si>
    <t>EXE LAS CANTERAS HOTEL</t>
  </si>
  <si>
    <t>HCC Open</t>
  </si>
  <si>
    <t>Husa Cartagonova and Spa</t>
  </si>
  <si>
    <t>Ibis Barcelona Montmelo-Granollers</t>
  </si>
  <si>
    <t>NH CAMPO CARTAGENA</t>
  </si>
  <si>
    <t>Asteria Hotel</t>
  </si>
  <si>
    <t>Kempinski Hotel The Dome Belek Turkei</t>
  </si>
  <si>
    <t>AURA HOTEL ALGECIRAS</t>
  </si>
  <si>
    <t>CIUDAD DE CORELLA HOTEL</t>
  </si>
  <si>
    <t>Parador Teruel</t>
  </si>
  <si>
    <t>Sercotel Barcelona Montjuic</t>
  </si>
  <si>
    <t>Bilderberg Hotel De Klepperman</t>
  </si>
  <si>
    <t>Strandhotellet</t>
  </si>
  <si>
    <t>W Istanbul</t>
  </si>
  <si>
    <t>AC Hotel Ciudad de Sevilla by Marriott</t>
  </si>
  <si>
    <t>NH PALACIO DE TEPA</t>
  </si>
  <si>
    <t>Apartamentos Pil Lari Playa</t>
  </si>
  <si>
    <t>Hotel Vista Odin</t>
  </si>
  <si>
    <t>Exe Conde Luna</t>
  </si>
  <si>
    <t>Ramada Hotel Ankara Turkey</t>
  </si>
  <si>
    <t>Jardin De Tres Cantos</t>
  </si>
  <si>
    <t>Radisson Blu Hotel Madrid Prado</t>
  </si>
  <si>
    <t>Sercotel Aparthotel Huesca</t>
  </si>
  <si>
    <t>Sercotel Familia Conde</t>
  </si>
  <si>
    <t>BEST WESTERN Antea Palace Hotel &amp; Spa</t>
  </si>
  <si>
    <t>AC Hotel Lleida</t>
  </si>
  <si>
    <t>Sercotel Mendebaldea</t>
  </si>
  <si>
    <t>FLETCHER HOTEL AMELANDER KAAP</t>
  </si>
  <si>
    <t>Gran Hotel Albacete</t>
  </si>
  <si>
    <t>Hotel Modernobcn</t>
  </si>
  <si>
    <t>Nh Palacio Del Duero</t>
  </si>
  <si>
    <t>Oranje Hotel Leeuwarden</t>
  </si>
  <si>
    <t>DORMIRDCINE HOTEL</t>
  </si>
  <si>
    <t>Huerto del Cura</t>
  </si>
  <si>
    <t>AMRATH HOTEL BRABANT</t>
  </si>
  <si>
    <t>Cumulus Kaisaniemi</t>
  </si>
  <si>
    <t>Cumulus Kouvola</t>
  </si>
  <si>
    <t>Abba Centrum Alicante hotel</t>
  </si>
  <si>
    <t>Tuntas Hotel Altinkum</t>
  </si>
  <si>
    <t>HOTEL AIR  PENEDES</t>
  </si>
  <si>
    <t>Miroglu Airport Hotel</t>
  </si>
  <si>
    <t>Hampshire Golfhotel Waterland</t>
  </si>
  <si>
    <t>WestCord Hotel De Veluwe</t>
  </si>
  <si>
    <t>Riu Vistamar Amadores</t>
  </si>
  <si>
    <t>Hotel Top Pineda Palace</t>
  </si>
  <si>
    <t>Hotetur Lanzarote Bay-All Incl</t>
  </si>
  <si>
    <t>Maria Cristina</t>
  </si>
  <si>
    <t>PARADOR DE GREDOS</t>
  </si>
  <si>
    <t>HOTEL BEGONA PARK</t>
  </si>
  <si>
    <t>Hotetur Lago Park</t>
  </si>
  <si>
    <t>Parador de Nerja</t>
  </si>
  <si>
    <t>Doubletree by Hilton Istanbul - Old City</t>
  </si>
  <si>
    <t>Sogut Hotel</t>
  </si>
  <si>
    <t>Anemon Aydin Hotel</t>
  </si>
  <si>
    <t>Florya Park Airport Hotel</t>
  </si>
  <si>
    <t>BEST WESTERN Hotel Kokkola</t>
  </si>
  <si>
    <t>NH Atlantico</t>
  </si>
  <si>
    <t>TRH Torrenova</t>
  </si>
  <si>
    <t>Hotel Campus Cerdanya</t>
  </si>
  <si>
    <t>Askin Art Hotel</t>
  </si>
  <si>
    <t>REMBRANT RESIDENCE HOTEL</t>
  </si>
  <si>
    <t>BEST WESTERN Apartments Levi Snow White</t>
  </si>
  <si>
    <t>Gezi Hotel Bosphorus</t>
  </si>
  <si>
    <t>Hagia Sophia Hotel Istanbul Old City</t>
  </si>
  <si>
    <t>AC Hotel A Coruna</t>
  </si>
  <si>
    <t>Gloria Palace Amadores</t>
  </si>
  <si>
    <t>Vincci Via 66</t>
  </si>
  <si>
    <t>B-Hotel</t>
  </si>
  <si>
    <t>Bastion Deluxe Amsterdam Amste</t>
  </si>
  <si>
    <t>NH Sanvy</t>
  </si>
  <si>
    <t>Bilderberg Kasteel Vaalsbroek</t>
  </si>
  <si>
    <t>Golden Tulip Tjaarda Oranjewoud</t>
  </si>
  <si>
    <t>Townhouse Designhotel Maastricht</t>
  </si>
  <si>
    <t>CANAL OLIMPIC</t>
  </si>
  <si>
    <t>Eurostars Angli</t>
  </si>
  <si>
    <t>Catalonia Las Cortes Hotel</t>
  </si>
  <si>
    <t>INNSIDE MADRID GENOVA</t>
  </si>
  <si>
    <t>Mercure Madrid Plaza de Espana</t>
  </si>
  <si>
    <t>Hotel Propellen</t>
  </si>
  <si>
    <t>Tuntas Apart Hotel Kusadasi</t>
  </si>
  <si>
    <t>Bellavista Hotel Spa</t>
  </si>
  <si>
    <t>Hotel Castellano III</t>
  </si>
  <si>
    <t>Fincas Carmelo Royo</t>
  </si>
  <si>
    <t>HUSA VIA SEVILLA MAIRENA</t>
  </si>
  <si>
    <t>SV Business Airport Hotel</t>
  </si>
  <si>
    <t>EME CATHEDRAL HOTEL</t>
  </si>
  <si>
    <t>HOSTAL DON DIEGO</t>
  </si>
  <si>
    <t>Parador de Cambados</t>
  </si>
  <si>
    <t>SOKOS HOTEL KOLI</t>
  </si>
  <si>
    <t>Holiday Inn Bursa</t>
  </si>
  <si>
    <t>TRYP Madrid Airport Suites</t>
  </si>
  <si>
    <t>Skagen Strand A S</t>
  </si>
  <si>
    <t>Le Meridien Fisherman s Cove</t>
  </si>
  <si>
    <t>Hampshire Inn - Eindhoven</t>
  </si>
  <si>
    <t>Van Der Valk Hotel Emmeloord</t>
  </si>
  <si>
    <t>Estrella Coral de Mar Resort</t>
  </si>
  <si>
    <t>Cihangir Hotel</t>
  </si>
  <si>
    <t>Park Royal Hotel</t>
  </si>
  <si>
    <t>Caratpark Hotel Taksim</t>
  </si>
  <si>
    <t>Erbil Hotel</t>
  </si>
  <si>
    <t>Hotel Istanbul Trend</t>
  </si>
  <si>
    <t>Hotel Royal Hill</t>
  </si>
  <si>
    <t>The LUVI Hotel</t>
  </si>
  <si>
    <t>AS GALERAS HOTEL</t>
  </si>
  <si>
    <t>Husa Reina Victoria</t>
  </si>
  <si>
    <t>Kasteel Vaeshartelt</t>
  </si>
  <si>
    <t>Parador de Jarandilla de la Vera</t>
  </si>
  <si>
    <t>REY ARTURO</t>
  </si>
  <si>
    <t>BEST WESTERN PLUS Hotel Haaga</t>
  </si>
  <si>
    <t>Hotel Kommandorgarden</t>
  </si>
  <si>
    <t>CABINN AARHUS</t>
  </si>
  <si>
    <t>The Square Hotel</t>
  </si>
  <si>
    <t>Cumulus Olympia</t>
  </si>
  <si>
    <t>Hotelli Mesikammen</t>
  </si>
  <si>
    <t>SILKEN PUERTA MADRID</t>
  </si>
  <si>
    <t>APTH HABITAT CENTER LOS GIRASOLES</t>
  </si>
  <si>
    <t>HOTEL ESTELA</t>
  </si>
  <si>
    <t>Darkhill Hotel</t>
  </si>
  <si>
    <t>Marina Park</t>
  </si>
  <si>
    <t>Parador Segovia</t>
  </si>
  <si>
    <t>Apartamentos Playamar</t>
  </si>
  <si>
    <t>Alboran</t>
  </si>
  <si>
    <t>APARTHOTEL CAMPUS SAN MAMES</t>
  </si>
  <si>
    <t>Hotel Churra Vistalegre</t>
  </si>
  <si>
    <t>Las Casas de la Juderia</t>
  </si>
  <si>
    <t>MELIA HOTEL DE LA RECONQUISTA</t>
  </si>
  <si>
    <t>Prados De Velarta</t>
  </si>
  <si>
    <t>Villa De Canfranc</t>
  </si>
  <si>
    <t>Dagmar Hotel</t>
  </si>
  <si>
    <t>NH Center</t>
  </si>
  <si>
    <t>AMRATH GRAND HOTEL FRANS HALS</t>
  </si>
  <si>
    <t>POSTILLION HOTEL AMERSFOORT</t>
  </si>
  <si>
    <t>Hotelli IsoValkeinen Kuopio</t>
  </si>
  <si>
    <t>Maydrit Hotel</t>
  </si>
  <si>
    <t>Club Hotel Aguamarina</t>
  </si>
  <si>
    <t>Palmet Resort Hotel</t>
  </si>
  <si>
    <t>Hotel Aalborg Somandshjem</t>
  </si>
  <si>
    <t>Hotel Medio</t>
  </si>
  <si>
    <t>Scandic Julia</t>
  </si>
  <si>
    <t>Club Turkuaz Garden Hotel</t>
  </si>
  <si>
    <t>Samdan Hotel</t>
  </si>
  <si>
    <t>AC Hotel Recoletos</t>
  </si>
  <si>
    <t>Parador de Ceuta</t>
  </si>
  <si>
    <t>Petit Palace Posada del Peine</t>
  </si>
  <si>
    <t>AC Hotel Los Vascos</t>
  </si>
  <si>
    <t>As Hoteles Porta Catalana</t>
  </si>
  <si>
    <t>Catalonia Excelsior Hotel</t>
  </si>
  <si>
    <t>Parador Siguenza</t>
  </si>
  <si>
    <t>Ciria Hotel</t>
  </si>
  <si>
    <t>INGLATERRA</t>
  </si>
  <si>
    <t>Movenpick Voorburg Den Haag</t>
  </si>
  <si>
    <t>FOX HOTEL</t>
  </si>
  <si>
    <t>Lavaggi Hotel Apartmentos</t>
  </si>
  <si>
    <t>Cumulus Rovaniemi</t>
  </si>
  <si>
    <t>SOKOS HOTEL VALJUS</t>
  </si>
  <si>
    <t>Novotel Breda</t>
  </si>
  <si>
    <t>APARTAMENTOS PARADERO</t>
  </si>
  <si>
    <t>Golden Tulip Noordwijk Beach</t>
  </si>
  <si>
    <t>Mercure s- Hertogenbosch-Rosmalen</t>
  </si>
  <si>
    <t>CATEDRAL SUITES</t>
  </si>
  <si>
    <t>Hostal El Triunfo</t>
  </si>
  <si>
    <t>HOTEL CASTELAO</t>
  </si>
  <si>
    <t>Zenit Logrono</t>
  </si>
  <si>
    <t>Carlton Square Hotel</t>
  </si>
  <si>
    <t>Park Inn by Radisson Amsterdam Airport Schiphol</t>
  </si>
  <si>
    <t>COMFORT HOTEL CESARAUGUSTA</t>
  </si>
  <si>
    <t>RIU NERE</t>
  </si>
  <si>
    <t>Hotel Bahia</t>
  </si>
  <si>
    <t>ALLSTAR ZURICH HOTEL</t>
  </si>
  <si>
    <t>Bade Hotel Summit Hotels and Resorts</t>
  </si>
  <si>
    <t>HOTEL ANEMON DENIZLI</t>
  </si>
  <si>
    <t>Holiday Inn Exp Altunizade</t>
  </si>
  <si>
    <t>Letoon Hotel</t>
  </si>
  <si>
    <t>Holiday Inn Madrid Piramides</t>
  </si>
  <si>
    <t>ALP PASA BOUTIQUE HOTEL</t>
  </si>
  <si>
    <t>Beyond Boutique Hotel</t>
  </si>
  <si>
    <t>Beyond Hotel</t>
  </si>
  <si>
    <t>Hotel Tilia</t>
  </si>
  <si>
    <t>Almudaina</t>
  </si>
  <si>
    <t>Barcelona Catedral</t>
  </si>
  <si>
    <t>Don Juan</t>
  </si>
  <si>
    <t>Washington Irving</t>
  </si>
  <si>
    <t>El Lago Apartamentos</t>
  </si>
  <si>
    <t>Eurostars Gran Valencia</t>
  </si>
  <si>
    <t>Ibis Oviedo</t>
  </si>
  <si>
    <t>Alma Barcelona Hotel</t>
  </si>
  <si>
    <t>Durval Puerta de Alcala</t>
  </si>
  <si>
    <t>Gran Hotel La Florida</t>
  </si>
  <si>
    <t>Ibis Sevilla</t>
  </si>
  <si>
    <t xml:space="preserve">MENDEZ NUNEZ HOTEL </t>
  </si>
  <si>
    <t>Suites Albayzin del Mar</t>
  </si>
  <si>
    <t>Xaine Park</t>
  </si>
  <si>
    <t>Hotel Lyngheden</t>
  </si>
  <si>
    <t>Ibis Salamanca</t>
  </si>
  <si>
    <t>II Castillas</t>
  </si>
  <si>
    <t>Uslan Hotel</t>
  </si>
  <si>
    <t>Maisonnave</t>
  </si>
  <si>
    <t>Hotel Seurahuone Helsinki</t>
  </si>
  <si>
    <t>DEDEMAN PARK GAZIANTEP</t>
  </si>
  <si>
    <t>Hotel Felipe II</t>
  </si>
  <si>
    <t>Hotel Yoldi</t>
  </si>
  <si>
    <t>NH Groningen</t>
  </si>
  <si>
    <t>Eurostars Auriense</t>
  </si>
  <si>
    <t>Hotel Zaragoza Royal</t>
  </si>
  <si>
    <t>Silken Coliseum</t>
  </si>
  <si>
    <t>Bari</t>
  </si>
  <si>
    <t>Bungalows Amfora DArcs</t>
  </si>
  <si>
    <t>Carlton Hotel Istanbul</t>
  </si>
  <si>
    <t>Apollo Hotel Utrecht Citycentre</t>
  </si>
  <si>
    <t>Apartamentos Tamarindos</t>
  </si>
  <si>
    <t>BEST WESTERN Museumhotels Delft</t>
  </si>
  <si>
    <t>Golden Tulip Loosdrecht</t>
  </si>
  <si>
    <t>NH Hotel De Ville</t>
  </si>
  <si>
    <t>Hotel Almirante Bonifaz</t>
  </si>
  <si>
    <t>Confortel Aqua 4</t>
  </si>
  <si>
    <t>Barcelo Monasterio de Boltana</t>
  </si>
  <si>
    <t>Hotel Carina</t>
  </si>
  <si>
    <t>Holiday Inn Express Amsterdam - South</t>
  </si>
  <si>
    <t>Agora Juan de Austria Hotel</t>
  </si>
  <si>
    <t>Hotel las Casas de los Mercaderes</t>
  </si>
  <si>
    <t>Hotel Regio 2</t>
  </si>
  <si>
    <t>Residencial El Llano</t>
  </si>
  <si>
    <t>Infanta Mercedes Hotel</t>
  </si>
  <si>
    <t>Parador de Santo Domingo de la Calzada</t>
  </si>
  <si>
    <t>Val De Ruda</t>
  </si>
  <si>
    <t>Vita Andarax</t>
  </si>
  <si>
    <t>Clarion Collection Hotel Neptun</t>
  </si>
  <si>
    <t>Husa Gran Via</t>
  </si>
  <si>
    <t>Wyndham Izmir Ozdilek</t>
  </si>
  <si>
    <t>NH Carlton Amsterdam</t>
  </si>
  <si>
    <t>COMWELL KOLDING</t>
  </si>
  <si>
    <t>Grand Lukullus Hotel</t>
  </si>
  <si>
    <t>Anemon Ege Hotel</t>
  </si>
  <si>
    <t>Hotel Royal Holstebro</t>
  </si>
  <si>
    <t>Hotel Die Port Van Cleve</t>
  </si>
  <si>
    <t>NH Waalwijk</t>
  </si>
  <si>
    <t>Mercure Alberta Barcelona</t>
  </si>
  <si>
    <t>Silken Ciudad Gijon Hotel</t>
  </si>
  <si>
    <t>Hotel Lasaretti</t>
  </si>
  <si>
    <t>Caldas</t>
  </si>
  <si>
    <t>Van der Valk Hotel Leiden</t>
  </si>
  <si>
    <t>Catalonia Mikado</t>
  </si>
  <si>
    <t>SENTIDO Pula Suites Golf and Spa</t>
  </si>
  <si>
    <t>Four Seasons Istanbul at Sultanahmet</t>
  </si>
  <si>
    <t>Limak Ambassadore Hotel</t>
  </si>
  <si>
    <t>AC Hotel Alcala de Henares</t>
  </si>
  <si>
    <t>Gran Hotel Las Rozas</t>
  </si>
  <si>
    <t>Hotel Ramblas Barcelona</t>
  </si>
  <si>
    <t>Hotel SB Express Tarragona</t>
  </si>
  <si>
    <t>COMWELL ROSKILDE</t>
  </si>
  <si>
    <t>Ibis Den Haag Scheveningen</t>
  </si>
  <si>
    <t>CASTILLO BONAVIA HOTEL</t>
  </si>
  <si>
    <t>Hotel Francisco I</t>
  </si>
  <si>
    <t>Hotel Mediterraneo</t>
  </si>
  <si>
    <t>Ipanema</t>
  </si>
  <si>
    <t>Parador de La Gomera - San Sebastian</t>
  </si>
  <si>
    <t>Villas La Manga</t>
  </si>
  <si>
    <t>Hotel t Wapen van Marion</t>
  </si>
  <si>
    <t>EUROSTARS HACIENDA LA BOTICARIA</t>
  </si>
  <si>
    <t>Miami Park</t>
  </si>
  <si>
    <t>Nixe Palace Hotel</t>
  </si>
  <si>
    <t>Rixos Grand Ankara</t>
  </si>
  <si>
    <t>WestCord WTC Hotel Leeuwarden</t>
  </si>
  <si>
    <t>NorthStar Resort Hotels</t>
  </si>
  <si>
    <t>Catalonia Sabadell Hotel</t>
  </si>
  <si>
    <t>GRAN HOTEL LA PERLA</t>
  </si>
  <si>
    <t>OFELIAS HOTEL</t>
  </si>
  <si>
    <t>Esplendid</t>
  </si>
  <si>
    <t>CUMULUS JOENSUU</t>
  </si>
  <si>
    <t>Memphis Hotel Amsterdam</t>
  </si>
  <si>
    <t>Hotel Dedeman Diyarbakir</t>
  </si>
  <si>
    <t>Abba Reino De Navarra Hotel</t>
  </si>
  <si>
    <t>H10 Mediterranean Village</t>
  </si>
  <si>
    <t>Tulip Inn Sevenum</t>
  </si>
  <si>
    <t>Ivalo Hotel</t>
  </si>
  <si>
    <t>HOTEL BALNEARIO PARQUE DE CAZORLA</t>
  </si>
  <si>
    <t>HOTEL TONDERHUS</t>
  </si>
  <si>
    <t>Air Boss Hotel</t>
  </si>
  <si>
    <t>Zel Hotel</t>
  </si>
  <si>
    <t>Hotel Bilbi</t>
  </si>
  <si>
    <t>IBEROSTAR LA BOCAYNA VILLAGE</t>
  </si>
  <si>
    <t>Hotel THB Gran Playa</t>
  </si>
  <si>
    <t>Atenea Port Mataro</t>
  </si>
  <si>
    <t>Ayre Hotel Rosellon</t>
  </si>
  <si>
    <t>EUROSTARS MIJAS</t>
  </si>
  <si>
    <t>Best Western Hotel Mar Menuda</t>
  </si>
  <si>
    <t>Langrehotel (Langreo)</t>
  </si>
  <si>
    <t>Sercotel Rosaleda de Don Pedro</t>
  </si>
  <si>
    <t>Asena Village Hotel</t>
  </si>
  <si>
    <t>Turist Hotel</t>
  </si>
  <si>
    <t>Soerup Herregaard</t>
  </si>
  <si>
    <t>AlmaPamplona</t>
  </si>
  <si>
    <t>MEDIUM CONQUERIDOR HOTEL</t>
  </si>
  <si>
    <t>Hotel Istanbul</t>
  </si>
  <si>
    <t>AC Hotel La Rioja</t>
  </si>
  <si>
    <t>Catalonia Santa Justa</t>
  </si>
  <si>
    <t>Parador de Lorca</t>
  </si>
  <si>
    <t>Eurostars Rey Fernando II de Aragon</t>
  </si>
  <si>
    <t>Hotel Pinja</t>
  </si>
  <si>
    <t>KULTTUURIKESKUS SOFIA</t>
  </si>
  <si>
    <t>HOTELZON</t>
  </si>
  <si>
    <t>MEDIUM CORTEZO HOTEL</t>
  </si>
  <si>
    <t>Silken Concordia Hotel</t>
  </si>
  <si>
    <t>Husa Mirador De Chamartin</t>
  </si>
  <si>
    <t>Rosales</t>
  </si>
  <si>
    <t>SHELL LA RESIDENCE</t>
  </si>
  <si>
    <t>Tryp Gran Via</t>
  </si>
  <si>
    <t>HOTEL VONDEL</t>
  </si>
  <si>
    <t>Ibis Barcelona Molins de Rei</t>
  </si>
  <si>
    <t>HOVBORG KRO</t>
  </si>
  <si>
    <t>Sisus Hotel</t>
  </si>
  <si>
    <t>HOTEL ATRIUM</t>
  </si>
  <si>
    <t>Gran Hotel Las Caldas</t>
  </si>
  <si>
    <t>Hotel Svanen</t>
  </si>
  <si>
    <t>Aimia Hotel</t>
  </si>
  <si>
    <t>Appartements Villas Salobre</t>
  </si>
  <si>
    <t>PARK SEDO HOTEL</t>
  </si>
  <si>
    <t>VILLA PADIERNA THERMAS HOTEL</t>
  </si>
  <si>
    <t>As Hoteles Lleida</t>
  </si>
  <si>
    <t>HOTEL BED4U PAMPLONA</t>
  </si>
  <si>
    <t>GAUDI</t>
  </si>
  <si>
    <t>HOTEL MARIA ELENA PALACE</t>
  </si>
  <si>
    <t>Petit Palace Savoy Alfonso XII</t>
  </si>
  <si>
    <t>Pasa Park Hotel</t>
  </si>
  <si>
    <t>BED4U TUDELA</t>
  </si>
  <si>
    <t>Hospes Palacio Del Bailio</t>
  </si>
  <si>
    <t>INSOTEL PUNTA PRIMA PRESTIGE SUITES AND SPA</t>
  </si>
  <si>
    <t>Sercotel AG Express Elche</t>
  </si>
  <si>
    <t>Be Smart Talavera</t>
  </si>
  <si>
    <t>Silken Park Hotel San Jorge</t>
  </si>
  <si>
    <t>Sercotel Ciudad de Oviedo</t>
  </si>
  <si>
    <t>Hotel del Golf Playa</t>
  </si>
  <si>
    <t>Ibis Madrid Valentin Beato</t>
  </si>
  <si>
    <t>Vicenza Hotel</t>
  </si>
  <si>
    <t>Hilton Garden Inn Leiden</t>
  </si>
  <si>
    <t>RANTAPUISTO</t>
  </si>
  <si>
    <t>Abelux Hotel Residencia Abelux</t>
  </si>
  <si>
    <t>Eurostars BCN Design</t>
  </si>
  <si>
    <t>Hotel Alfonso I</t>
  </si>
  <si>
    <t>BEST WESTERN Hotel Woerden</t>
  </si>
  <si>
    <t>Crown Inn</t>
  </si>
  <si>
    <t>Fletcher Hotel Callantsoog</t>
  </si>
  <si>
    <t>Istanbul Golden City Hotel</t>
  </si>
  <si>
    <t>Las Lomas Village</t>
  </si>
  <si>
    <t>Taburiente</t>
  </si>
  <si>
    <t>Gran Hotel Sardinero</t>
  </si>
  <si>
    <t>Apartamentos Paraiso Playa</t>
  </si>
  <si>
    <t>Plaza de Espana</t>
  </si>
  <si>
    <t>KIBAEK HOTEL</t>
  </si>
  <si>
    <t>Alta Park Hotel</t>
  </si>
  <si>
    <t>Felice Hotel</t>
  </si>
  <si>
    <t>H10 Villa De La Reina</t>
  </si>
  <si>
    <t>Travelodge Madrid Torrelaguna</t>
  </si>
  <si>
    <t>FATIH HOTEL</t>
  </si>
  <si>
    <t>Pera Palace Jumeirah</t>
  </si>
  <si>
    <t>Grand Hotel Opduin - A Hampshire Classic Hotel</t>
  </si>
  <si>
    <t>Scandic Hotel Sanadome Nijmegen</t>
  </si>
  <si>
    <t>BEST WESTERN Hotel Seaport</t>
  </si>
  <si>
    <t>HOTEL HAVEN</t>
  </si>
  <si>
    <t>DEDEMAN RIZE</t>
  </si>
  <si>
    <t>Hvedholm Slot</t>
  </si>
  <si>
    <t>ELBA VECINDARIO AEROPUERTO BUSINESS AND CONVENTION HOTEL</t>
  </si>
  <si>
    <t>Hotel Sparre</t>
  </si>
  <si>
    <t>Coia</t>
  </si>
  <si>
    <t>Hotel Alhambra Palace</t>
  </si>
  <si>
    <t>Rural Almazara</t>
  </si>
  <si>
    <t>Ramada Istanbul Asia</t>
  </si>
  <si>
    <t>Avcilar Vizyon Hotel</t>
  </si>
  <si>
    <t>Hotel Caledonian Barcelona</t>
  </si>
  <si>
    <t>Hotel Las Madrigueras</t>
  </si>
  <si>
    <t>Petit Palace Marques Santa Ana</t>
  </si>
  <si>
    <t>HOTEL ARCOS GARDENS GOLF</t>
  </si>
  <si>
    <t>VIK Suite Hotel Risco del Gato</t>
  </si>
  <si>
    <t>Van Der Valk Theaterhotel Almelo</t>
  </si>
  <si>
    <t>COMWELL KLARSKOVGAARD</t>
  </si>
  <si>
    <t>FJORDGARDEN HOTEL</t>
  </si>
  <si>
    <t>NAZAR BEACH CITY AND RESORT HOT</t>
  </si>
  <si>
    <t>BEST WESTERN Hotel Subur Maritim</t>
  </si>
  <si>
    <t>CONSTANZA HOTEL</t>
  </si>
  <si>
    <t>Sercotel San Jose</t>
  </si>
  <si>
    <t>Vita Mont Blanc</t>
  </si>
  <si>
    <t>Klaus K Hotel</t>
  </si>
  <si>
    <t>KYRIAD MONTBELIARD - Sochaux</t>
  </si>
  <si>
    <t>Campanile - Delft</t>
  </si>
  <si>
    <t>Eurostars Leon</t>
  </si>
  <si>
    <t>Silken Monumental Naranco</t>
  </si>
  <si>
    <t>KENT HOTEL ISTANBUL</t>
  </si>
  <si>
    <t>AC Hotel Zizur Mayor</t>
  </si>
  <si>
    <t>Armada Hotel Armadans</t>
  </si>
  <si>
    <t>Hotel Bon Sol</t>
  </si>
  <si>
    <t>LUXE WORLDWIDE HOTELS</t>
  </si>
  <si>
    <t>Lapland Hotels Hetta</t>
  </si>
  <si>
    <t>Ibis Madrid Aeropuerto</t>
  </si>
  <si>
    <t>Botanic Garden Airport Resort</t>
  </si>
  <si>
    <t>Aparthotel Club Bonanza</t>
  </si>
  <si>
    <t>Hotel Barcelona Universal</t>
  </si>
  <si>
    <t>Highlight Hotel</t>
  </si>
  <si>
    <t>APARTHOTEL VALLES</t>
  </si>
  <si>
    <t>Confortel Caleta Park</t>
  </si>
  <si>
    <t>Hotel Spa JM Santa Pola</t>
  </si>
  <si>
    <t>HOTEL Y APARTAMENTOS BAHIA SUR</t>
  </si>
  <si>
    <t>White City Resort Hotel</t>
  </si>
  <si>
    <t>Ikbal Deluxe</t>
  </si>
  <si>
    <t>AC Hotel Rivas Vaciamadrid</t>
  </si>
  <si>
    <t>Colon Thalasso and Termal</t>
  </si>
  <si>
    <t>Grupotel Gravina</t>
  </si>
  <si>
    <t>Husa Los Seises</t>
  </si>
  <si>
    <t>Topkapi Inter Istanbul Hotel</t>
  </si>
  <si>
    <t>JARDINES DE SABATINI HOTEL</t>
  </si>
  <si>
    <t>Binimar</t>
  </si>
  <si>
    <t>MANTYMOTELLI</t>
  </si>
  <si>
    <t>BONANOVA PARK</t>
  </si>
  <si>
    <t>NH Monte Rozas</t>
  </si>
  <si>
    <t>CASTILLO DE AYUD HOTEL</t>
  </si>
  <si>
    <t>INTUR ALCAZAR DE SAN JUAN</t>
  </si>
  <si>
    <t>Hotel Villa de Laredo</t>
  </si>
  <si>
    <t>Top Chess Hotel Atlantis</t>
  </si>
  <si>
    <t>Omena Hotel Turku</t>
  </si>
  <si>
    <t>Amrath Hotel Erica</t>
  </si>
  <si>
    <t>Htl De Draak Hampshire Classic</t>
  </si>
  <si>
    <t>WestCord Art Amsterdam 4 star</t>
  </si>
  <si>
    <t>San Antonio De La Florida</t>
  </si>
  <si>
    <t>Riva Resatbey Airport Business Hotel</t>
  </si>
  <si>
    <t>Hotel Klaus Kurki</t>
  </si>
  <si>
    <t>Camelot Boutique Beach</t>
  </si>
  <si>
    <t>Orion Hotel</t>
  </si>
  <si>
    <t>Sercotel Colon Tuy</t>
  </si>
  <si>
    <t>Ultonia</t>
  </si>
  <si>
    <t>Hotel Askoc</t>
  </si>
  <si>
    <t>IC Hotel Residence</t>
  </si>
  <si>
    <t>LUSH HOTEL</t>
  </si>
  <si>
    <t>The Holiday Resort Hotel</t>
  </si>
  <si>
    <t>HOTEL PUERTA DEL CAMINO GASTRONOMICO</t>
  </si>
  <si>
    <t>MIRABLAU HOTEL</t>
  </si>
  <si>
    <t>Scandic Patria</t>
  </si>
  <si>
    <t>Club Adas Hotel</t>
  </si>
  <si>
    <t>Hotel Santa Marina</t>
  </si>
  <si>
    <t>Orsmaris Boutique Hotel</t>
  </si>
  <si>
    <t>BEST WESTERN Hotel Albufera</t>
  </si>
  <si>
    <t>Gran Legazpi</t>
  </si>
  <si>
    <t>Hampshire Hotel Delft Centre</t>
  </si>
  <si>
    <t>Van der Valk Hotel Middelburg</t>
  </si>
  <si>
    <t>Petit Palace Lealtad Plaza</t>
  </si>
  <si>
    <t>Kalyon Hotel</t>
  </si>
  <si>
    <t>Hotel Dunas Puerto</t>
  </si>
  <si>
    <t>ibis Izmir Alsancak (Opening June 2013)</t>
  </si>
  <si>
    <t>Fuglsangcentret</t>
  </si>
  <si>
    <t>HOTEL DALGAS</t>
  </si>
  <si>
    <t>BARCELONA HOTEL COLONIAL</t>
  </si>
  <si>
    <t>CATALONIA PLAZA MAYOR</t>
  </si>
  <si>
    <t>Eurostars Maimonides Hotel</t>
  </si>
  <si>
    <t>Exe Parc Del Valles</t>
  </si>
  <si>
    <t>Aparthotel Silver</t>
  </si>
  <si>
    <t>Catalonia Castellnou Hotel</t>
  </si>
  <si>
    <t>Parador de Toledo</t>
  </si>
  <si>
    <t>Capital Hotel City Center</t>
  </si>
  <si>
    <t>Ibsens Hotel</t>
  </si>
  <si>
    <t>Eurostars Barbera Parc</t>
  </si>
  <si>
    <t>Los Acebos De Arriondas</t>
  </si>
  <si>
    <t>Val De Neu Hotel</t>
  </si>
  <si>
    <t>AC Almeria Hotel by Marriott</t>
  </si>
  <si>
    <t>Ibis Granada</t>
  </si>
  <si>
    <t>San Cristobal</t>
  </si>
  <si>
    <t>HOTEL EXE MONCLOA</t>
  </si>
  <si>
    <t>AMRATH HOTEL MAARSBERGEN</t>
  </si>
  <si>
    <t>Hampshire Hotel Lancaster</t>
  </si>
  <si>
    <t>Bastion Hotel Utrecht</t>
  </si>
  <si>
    <t>Liberty Hotel</t>
  </si>
  <si>
    <t>Hotel Zeus</t>
  </si>
  <si>
    <t>Palacio de Luces Relais Chateau</t>
  </si>
  <si>
    <t>Sokos Hotel Seurahuone</t>
  </si>
  <si>
    <t>FONTECRUZ GRANADA</t>
  </si>
  <si>
    <t>Hotel 2 80</t>
  </si>
  <si>
    <t>Sercotel Infanta Isabel</t>
  </si>
  <si>
    <t>Scandic Silkeborg</t>
  </si>
  <si>
    <t>Alisas</t>
  </si>
  <si>
    <t>Marbella El Faro Inn</t>
  </si>
  <si>
    <t>Only You Hotel and Lounge Preferred Boutique</t>
  </si>
  <si>
    <t>CIUTAT DE MOLLET</t>
  </si>
  <si>
    <t>Husa Arenas</t>
  </si>
  <si>
    <t>HOTEL ISTANBUL KERVANSARAY</t>
  </si>
  <si>
    <t>Ski Lodge Dedeman Palandoken</t>
  </si>
  <si>
    <t>Ab Viladomat</t>
  </si>
  <si>
    <t>NASTASI AND SPA</t>
  </si>
  <si>
    <t>BEST WESTERN Hotel Seurahuone</t>
  </si>
  <si>
    <t>HOTEL GLO HELSINKI AIRPORT</t>
  </si>
  <si>
    <t>Van der Valk Harderwijk</t>
  </si>
  <si>
    <t>ALLSTAR CANAK HOTEL</t>
  </si>
  <si>
    <t>Mar Y Playa</t>
  </si>
  <si>
    <t>NH Zandvoort</t>
  </si>
  <si>
    <t>Kleopatra Euro Hotel</t>
  </si>
  <si>
    <t>Ramada Resort Bodrum</t>
  </si>
  <si>
    <t>Bastion Hotel Rotterdam Terbr.</t>
  </si>
  <si>
    <t>08028 APARTMENTS</t>
  </si>
  <si>
    <t>ABRIL HOTEL</t>
  </si>
  <si>
    <t>BEST WESTERN Hotel Trafalgar</t>
  </si>
  <si>
    <t>CORTIJO SANTA CRUZ</t>
  </si>
  <si>
    <t>Jardines del Sol</t>
  </si>
  <si>
    <t>NH SANTS CENTER</t>
  </si>
  <si>
    <t>Vime Islantilla</t>
  </si>
  <si>
    <t>Castilla Vieja</t>
  </si>
  <si>
    <t>ibis styles Zaragoza Ramiro I</t>
  </si>
  <si>
    <t>Silken Reino de Aragon</t>
  </si>
  <si>
    <t>Hotel Culumus Rovaniemi</t>
  </si>
  <si>
    <t>Amisos Airport Hotel</t>
  </si>
  <si>
    <t>Lara World Airport Hotel</t>
  </si>
  <si>
    <t>The Time Hotel</t>
  </si>
  <si>
    <t>AC Hotel Ponferrada</t>
  </si>
  <si>
    <t>APAROTEL WELLNESS FLATS</t>
  </si>
  <si>
    <t>Hotel Montanamar</t>
  </si>
  <si>
    <t>LUXSEVILLA PALACIO</t>
  </si>
  <si>
    <t>Parador de Cruz de Tejeda</t>
  </si>
  <si>
    <t>BEST WESTERN de Veluwe</t>
  </si>
  <si>
    <t>Regency Hotel Ankara</t>
  </si>
  <si>
    <t>BECHS HOTEL</t>
  </si>
  <si>
    <t>Hotel Guadacorte Park</t>
  </si>
  <si>
    <t>GLO ART HELSINKI</t>
  </si>
  <si>
    <t>Hotel Pietari Kylliainen</t>
  </si>
  <si>
    <t>Granvia HOTEL</t>
  </si>
  <si>
    <t>HOTEL SUR</t>
  </si>
  <si>
    <t>Retaj Royale Istanbul</t>
  </si>
  <si>
    <t>Carris Cardenal Quevedo</t>
  </si>
  <si>
    <t>Hotel Bell Repos</t>
  </si>
  <si>
    <t>Hotel Pinar Del Mar</t>
  </si>
  <si>
    <t>Sceptre Hospitality Resources</t>
  </si>
  <si>
    <t>HOTEL RODES</t>
  </si>
  <si>
    <t>Bastion Deluxe Hotel Apeldoorn</t>
  </si>
  <si>
    <t>Assos Park Hotel</t>
  </si>
  <si>
    <t>Hera Hotel</t>
  </si>
  <si>
    <t>Hotel Arsen</t>
  </si>
  <si>
    <t>Pastoral Vadi Ecologic Life Far</t>
  </si>
  <si>
    <t>Global Residence Istanbul</t>
  </si>
  <si>
    <t>Ibis Bilbao Barakaldo</t>
  </si>
  <si>
    <t>Parador de Cordoba La Arruzafa</t>
  </si>
  <si>
    <t>Alanda Club Marbella</t>
  </si>
  <si>
    <t>Fontana Hotel Lepolampi</t>
  </si>
  <si>
    <t>Confortel Puerta De Triana</t>
  </si>
  <si>
    <t>La Pleta Hotel And Spa</t>
  </si>
  <si>
    <t>Hotel Royal</t>
  </si>
  <si>
    <t>Divan Bursa Summit Hotels and Resorts</t>
  </si>
  <si>
    <t>ISLA DE LA GARENA</t>
  </si>
  <si>
    <t>Sercotel Los Llanos</t>
  </si>
  <si>
    <t>Cornell Hotel</t>
  </si>
  <si>
    <t>Finca Los Llanos</t>
  </si>
  <si>
    <t>VAN DER VALK CASINO SASSENHEIM</t>
  </si>
  <si>
    <t>Moevenpick Hotel Izmir</t>
  </si>
  <si>
    <t>Hotel La Nina</t>
  </si>
  <si>
    <t>Color Hotel Skagen</t>
  </si>
  <si>
    <t>Ibis Valencia Palacio de Congresos</t>
  </si>
  <si>
    <t>ACCOR HOTELS</t>
  </si>
  <si>
    <t>Monopol Hotel</t>
  </si>
  <si>
    <t>RAVANDA HOTEL GAZIANTEP</t>
  </si>
  <si>
    <t>Royal Palm Area Hotel</t>
  </si>
  <si>
    <t>Holiday Inn Express The Hague - Parliament</t>
  </si>
  <si>
    <t>NH Jan Tabak</t>
  </si>
  <si>
    <t>BENNIKSGAARD HOTEL</t>
  </si>
  <si>
    <t>Alican Hotel Izmir International Fairground</t>
  </si>
  <si>
    <t>Burak Hotel</t>
  </si>
  <si>
    <t>PETIT PALACE CANALEJAS</t>
  </si>
  <si>
    <t>Playas de Paguera</t>
  </si>
  <si>
    <t>Sercotel Ciudad de Miranda</t>
  </si>
  <si>
    <t>Vita El Ciervo</t>
  </si>
  <si>
    <t>BEST WESTERN Hotel De Druiventros</t>
  </si>
  <si>
    <t>BEST WESTERN Hotel Apollo</t>
  </si>
  <si>
    <t>Aparthotel Mariano Cubi</t>
  </si>
  <si>
    <t>Hotel Castillo</t>
  </si>
  <si>
    <t>POSADAS DE ESPANA ENSENADA</t>
  </si>
  <si>
    <t>Hotel Cortijo De Zahara</t>
  </si>
  <si>
    <t>SERCOTEL ABBOT BARCELONA</t>
  </si>
  <si>
    <t>CITY HOTEL OASIA</t>
  </si>
  <si>
    <t>Asia Artemis Suites</t>
  </si>
  <si>
    <t>Bodrium Hotel and Spa</t>
  </si>
  <si>
    <t>Club Vela Hotel</t>
  </si>
  <si>
    <t>GRAND SAGCANLAR</t>
  </si>
  <si>
    <t>AC Hotel Sant Cugat by Marriott</t>
  </si>
  <si>
    <t>Ibis Bilbao Centro</t>
  </si>
  <si>
    <t>NH Rijnhotel</t>
  </si>
  <si>
    <t>AC Hotel Coslada Aeropuerto</t>
  </si>
  <si>
    <t>Aparthotel Sunclub Salou</t>
  </si>
  <si>
    <t>Ramada Plaza Izmit</t>
  </si>
  <si>
    <t>Alinda Hotel</t>
  </si>
  <si>
    <t>Nazar Garden</t>
  </si>
  <si>
    <t>Apollo Hotel Papendrecht</t>
  </si>
  <si>
    <t>La Pergola Aparthotel</t>
  </si>
  <si>
    <t>HOLIDAY CLUB KUUSAMON TROPIIKK</t>
  </si>
  <si>
    <t>Hotel Playa Romantica</t>
  </si>
  <si>
    <t>Webres</t>
  </si>
  <si>
    <t>Parador de Vic Sau</t>
  </si>
  <si>
    <t>HOTEL HEDEGAARDEN</t>
  </si>
  <si>
    <t>BEST WESTERN City Hotel de Jonge</t>
  </si>
  <si>
    <t>Hotel The Exchange</t>
  </si>
  <si>
    <t>Grand Hotel Karel V Utrecht</t>
  </si>
  <si>
    <t>Hotel La Santa Maria</t>
  </si>
  <si>
    <t>HOTEL SOROLLA CENTRO</t>
  </si>
  <si>
    <t>Sercotel Las Ventas</t>
  </si>
  <si>
    <t>exe ROYAL PLAZA</t>
  </si>
  <si>
    <t>ibis Madrid Centro Las Ventas</t>
  </si>
  <si>
    <t>NH Jardines de Turia</t>
  </si>
  <si>
    <t>AVENIDA SOFIA HOTEL AND SPA</t>
  </si>
  <si>
    <t>Holiday Inn Express Pamplona</t>
  </si>
  <si>
    <t>Eurostars Toledo</t>
  </si>
  <si>
    <t>Sahara Sunset</t>
  </si>
  <si>
    <t>AIRPORT GUNES HOTEL</t>
  </si>
  <si>
    <t>CATALAN HOTEL</t>
  </si>
  <si>
    <t>Hospes Palau Mar Valencia</t>
  </si>
  <si>
    <t>Hotel Flora Parc</t>
  </si>
  <si>
    <t>Room Mate Pau</t>
  </si>
  <si>
    <t>VP El Madrono</t>
  </si>
  <si>
    <t>Azahar</t>
  </si>
  <si>
    <t>Hotel Omm</t>
  </si>
  <si>
    <t>Sercotel Bahia De Vigo</t>
  </si>
  <si>
    <t>Notting Hill Hotel</t>
  </si>
  <si>
    <t>BIENESTAR MOANA</t>
  </si>
  <si>
    <t>NH Villacarlos</t>
  </si>
  <si>
    <t>NH Ciudad De Valencia</t>
  </si>
  <si>
    <t>Parador de Cadiz</t>
  </si>
  <si>
    <t>AC Hotel Aitana</t>
  </si>
  <si>
    <t>BEST WESTERN Hotel Odense</t>
  </si>
  <si>
    <t>Amrath Grand Hotel Empereur</t>
  </si>
  <si>
    <t>SnowWorld Landgraaf</t>
  </si>
  <si>
    <t>H RNING KRO OG HOTEL</t>
  </si>
  <si>
    <t>THE MARMARA BODRUM</t>
  </si>
  <si>
    <t>Hospes Las Casas del Rey de Baeza</t>
  </si>
  <si>
    <t>HOTEL COSTA D OR</t>
  </si>
  <si>
    <t>Hotel Tres</t>
  </si>
  <si>
    <t>MAJADAHONDA</t>
  </si>
  <si>
    <t>Tulip Inn Zoetermeer Centre</t>
  </si>
  <si>
    <t>NH Amistad Murcia</t>
  </si>
  <si>
    <t>Sercotel Los Abetos</t>
  </si>
  <si>
    <t>Deluxe Golden Horn Sultanahmet Hotel</t>
  </si>
  <si>
    <t>Helen Hotel</t>
  </si>
  <si>
    <t>Carlton De Brug Hotel</t>
  </si>
  <si>
    <t>Hotel Beyaz Kugu</t>
  </si>
  <si>
    <t>Safir Hotel</t>
  </si>
  <si>
    <t>Catalonia Born</t>
  </si>
  <si>
    <t>Goya</t>
  </si>
  <si>
    <t>Morito</t>
  </si>
  <si>
    <t>Hotel Mercur</t>
  </si>
  <si>
    <t>Balneario de la Hermida</t>
  </si>
  <si>
    <t>PARADOR DE ARTIES</t>
  </si>
  <si>
    <t>Istanbul Royal Hotel</t>
  </si>
  <si>
    <t>Istanbul Sabiha Gokcen Airport</t>
  </si>
  <si>
    <t>Ibis Gaziantep</t>
  </si>
  <si>
    <t>Parador de Salamanca</t>
  </si>
  <si>
    <t>Radisson Blu H.C. Andersen Hotel Odense</t>
  </si>
  <si>
    <t>Catalonia Rigoletto Hotel</t>
  </si>
  <si>
    <t>Ibis Madrid Alcala de Henares la Garena</t>
  </si>
  <si>
    <t>NH El Toro</t>
  </si>
  <si>
    <t>VINCCI RUMAYKIYYA</t>
  </si>
  <si>
    <t>Van Der Valk Hotel Goes</t>
  </si>
  <si>
    <t>Bilderberg Residence Heideborgh</t>
  </si>
  <si>
    <t>Hesperia Donosti</t>
  </si>
  <si>
    <t>Hotel Milagros Rio Riaza</t>
  </si>
  <si>
    <t>PRESTIGE MAR Y SOL</t>
  </si>
  <si>
    <t>MOEVENPICK HOTEL ANKARA</t>
  </si>
  <si>
    <t>Amsterdam Beach Hotel</t>
  </si>
  <si>
    <t>Tulip Inn Brinkhotel Zuidlaren</t>
  </si>
  <si>
    <t>Serrano Palace</t>
  </si>
  <si>
    <t>HOTEL REGENCIA COLON</t>
  </si>
  <si>
    <t>Candido Hotel</t>
  </si>
  <si>
    <t>Hotel Miramar Barcelona</t>
  </si>
  <si>
    <t>Cerkezkoey Hotel Pasha</t>
  </si>
  <si>
    <t>APARTAMENTOS OASIS MANGO</t>
  </si>
  <si>
    <t>CARLEMANY PHW</t>
  </si>
  <si>
    <t>HI Marina Apartamentos</t>
  </si>
  <si>
    <t>Sercotel Jaime I</t>
  </si>
  <si>
    <t>CHATEAU ST GERLACH</t>
  </si>
  <si>
    <t>Goenlueferah Thermal Hotel</t>
  </si>
  <si>
    <t>Marinem Hotel</t>
  </si>
  <si>
    <t>Panorama Airport Hotel</t>
  </si>
  <si>
    <t>Grand As Hotel</t>
  </si>
  <si>
    <t>Hotelli Kultahippu</t>
  </si>
  <si>
    <t>ZURICH HOTEL ISTANBUL</t>
  </si>
  <si>
    <t>POSTILLION HOTEL ARNHEM</t>
  </si>
  <si>
    <t>exe Fc Infantas De Leon</t>
  </si>
  <si>
    <t>HOTEL CENDRILLON</t>
  </si>
  <si>
    <t>Sh Els Arenals</t>
  </si>
  <si>
    <t>Veracruz Plaza And Spa</t>
  </si>
  <si>
    <t>Hilton Seychelles Labriz Resort</t>
  </si>
  <si>
    <t>MONTERA PLAZA HOTEL</t>
  </si>
  <si>
    <t>NH Gijon</t>
  </si>
  <si>
    <t>Petit Palace Arana Hotel</t>
  </si>
  <si>
    <t>PETIT PALACE PUERTA DEL SOL</t>
  </si>
  <si>
    <t>AC Hotel Algeciras</t>
  </si>
  <si>
    <t>Confortel Auditori</t>
  </si>
  <si>
    <t>Molinos Park</t>
  </si>
  <si>
    <t>TRIBUNA MALAGUENA</t>
  </si>
  <si>
    <t>AC Hotel Sevilla Forum by Marriott</t>
  </si>
  <si>
    <t>COLINA DEL PARAISO</t>
  </si>
  <si>
    <t>HOTEL REX</t>
  </si>
  <si>
    <t>Hotel Farum Park Sports and Konferencecenter</t>
  </si>
  <si>
    <t>Store Restrup Herregaard</t>
  </si>
  <si>
    <t>Sercotel Ciscar</t>
  </si>
  <si>
    <t>CITY CENTER HOTEL TAKSIM ISTAN</t>
  </si>
  <si>
    <t>Legacy Ottoman</t>
  </si>
  <si>
    <t>Campanile Gorinchem</t>
  </si>
  <si>
    <t>The Bridge Hotel</t>
  </si>
  <si>
    <t>BC Spa Hotel</t>
  </si>
  <si>
    <t>HOTEL CIUTAT DE GIRONA</t>
  </si>
  <si>
    <t>Hotel Gran Via</t>
  </si>
  <si>
    <t>CLASSIC INTERNATIONAL HOTELS</t>
  </si>
  <si>
    <t>Hotel Palacio de Luces</t>
  </si>
  <si>
    <t>Relais And Chateaux</t>
  </si>
  <si>
    <t>Husa Mas Camarena</t>
  </si>
  <si>
    <t>Ibis Barcelona Meridiana</t>
  </si>
  <si>
    <t>Le Meridien Ra Beach Hotel and Spa</t>
  </si>
  <si>
    <t>Cukurova Park Airport Hotel</t>
  </si>
  <si>
    <t>Hotel Apartamentos Isaba</t>
  </si>
  <si>
    <t>Hotel Reimar</t>
  </si>
  <si>
    <t>Parador de Hondarribia</t>
  </si>
  <si>
    <t>Carlton Hotel</t>
  </si>
  <si>
    <t>Hotel Almanzor</t>
  </si>
  <si>
    <t>Husa Gran Ultonia</t>
  </si>
  <si>
    <t>Quo Fierro Hotel</t>
  </si>
  <si>
    <t>Cumulus Innotel Kotka</t>
  </si>
  <si>
    <t>Privato Otel</t>
  </si>
  <si>
    <t>NH Amersfoort</t>
  </si>
  <si>
    <t>MESON DEL CID</t>
  </si>
  <si>
    <t>Nova Roma Hotel</t>
  </si>
  <si>
    <t>Old Town Apartments</t>
  </si>
  <si>
    <t>Bastion Deluxe Hotel Bussum</t>
  </si>
  <si>
    <t>Tulip Inn Bodegraven</t>
  </si>
  <si>
    <t>Hotel Carabela Santa Maria</t>
  </si>
  <si>
    <t>Scandic Pori</t>
  </si>
  <si>
    <t>Hampshire Hotel Savoy</t>
  </si>
  <si>
    <t>GRAND YAZICI BOUTIQUE HOTEL</t>
  </si>
  <si>
    <t>BEST WESTERN Hotel Herman Bang</t>
  </si>
  <si>
    <t>Ankara Duman Hotel</t>
  </si>
  <si>
    <t>ARCA SUITE HOTEL ISTANBUL ASIA</t>
  </si>
  <si>
    <t>Oscar Boutique Hotel</t>
  </si>
  <si>
    <t>Best Western Delphi Hotel</t>
  </si>
  <si>
    <t>Hilton Garden Inn Sevilla Spain</t>
  </si>
  <si>
    <t>Hampshire Hotel Theatre Distr</t>
  </si>
  <si>
    <t>Hotel Balneario Carlos III</t>
  </si>
  <si>
    <t>NH Principe de la Paz</t>
  </si>
  <si>
    <t>OCEANO APARTAMENTS AND MEDICAL</t>
  </si>
  <si>
    <t>Ii Virrey</t>
  </si>
  <si>
    <t>Santa Barbara</t>
  </si>
  <si>
    <t>Silken Ramblas Hotel</t>
  </si>
  <si>
    <t>PALAZZO DONIZETTI HOTEL</t>
  </si>
  <si>
    <t>Hotel Marques de Riscal Elciego</t>
  </si>
  <si>
    <t>VP Jardin De Recoletos</t>
  </si>
  <si>
    <t>NH Pacifico</t>
  </si>
  <si>
    <t>HOTEL PALACIO CONGRESOS</t>
  </si>
  <si>
    <t>Holiday Inn Express Amsterdam Schiphol</t>
  </si>
  <si>
    <t>AUSTRALIA HOTEL</t>
  </si>
  <si>
    <t>Sercotel Tres Luces</t>
  </si>
  <si>
    <t>TRYP MADRID CHAMBERI</t>
  </si>
  <si>
    <t>Hampshire Hotel - Apeldoorn</t>
  </si>
  <si>
    <t>Hotel Coronado</t>
  </si>
  <si>
    <t>VALENCIA CENTER</t>
  </si>
  <si>
    <t>Bastion Hotel Rotterdam Barend</t>
  </si>
  <si>
    <t>Fletcher Nautisch Kwartier</t>
  </si>
  <si>
    <t>HOTEL BALEAR</t>
  </si>
  <si>
    <t>Parador de Ayamonte</t>
  </si>
  <si>
    <t>Holiday Inn Express Vitoria</t>
  </si>
  <si>
    <t>HOSTAL BUELTA</t>
  </si>
  <si>
    <t>Zenit Pamplona</t>
  </si>
  <si>
    <t>Aparthotel Bahia Pollensa</t>
  </si>
  <si>
    <t>Murrieta</t>
  </si>
  <si>
    <t>Divan Corlu Sterling Hotels</t>
  </si>
  <si>
    <t>Radisson Blu Bosphorus Hotel Istanbul</t>
  </si>
  <si>
    <t>Aparthotel Bahia</t>
  </si>
  <si>
    <t>Sotogrande Marina Club</t>
  </si>
  <si>
    <t>K Hotels</t>
  </si>
  <si>
    <t>Copenhagen Airport Hotel</t>
  </si>
  <si>
    <t>Zleep Hotel Rodbyhavn</t>
  </si>
  <si>
    <t>Bertrams Hotel Guldsmeden</t>
  </si>
  <si>
    <t>PRAESTEKILDE HOTEL</t>
  </si>
  <si>
    <t>Holiday Inn Leiden</t>
  </si>
  <si>
    <t>Campanile - Leeuwarden</t>
  </si>
  <si>
    <t>La Hacienda De Anzo</t>
  </si>
  <si>
    <t>VINCI SELECCION ESTRELLA DEL MAR</t>
  </si>
  <si>
    <t>Mara Hotel</t>
  </si>
  <si>
    <t>Hotel Zenit Barcelona</t>
  </si>
  <si>
    <t>Elba Palace Golf Hotel</t>
  </si>
  <si>
    <t>Tulip Inn Bergen Op Zoom</t>
  </si>
  <si>
    <t>Golden Tulip Ampt van Nijkerk</t>
  </si>
  <si>
    <t>HOTEL VILLA ZURICH</t>
  </si>
  <si>
    <t>AC Hotel Guadalajara by Marriott</t>
  </si>
  <si>
    <t>Rias Altas</t>
  </si>
  <si>
    <t>Hotel Astor</t>
  </si>
  <si>
    <t>Hotel El Coloso</t>
  </si>
  <si>
    <t>IRIS</t>
  </si>
  <si>
    <t>AALBAEK GL KRO</t>
  </si>
  <si>
    <t>Parador de Pontevedra</t>
  </si>
  <si>
    <t>KARTANOKYLPYLA KAISANKOTI</t>
  </si>
  <si>
    <t>Aparthotel g3 Galeon</t>
  </si>
  <si>
    <t>EL OCEANO BEACH</t>
  </si>
  <si>
    <t>HOTEL LAS MORADAS</t>
  </si>
  <si>
    <t>Hospes Palacio De Los Patos</t>
  </si>
  <si>
    <t>Grand Star Hotel</t>
  </si>
  <si>
    <t>Hotel Grand Emin</t>
  </si>
  <si>
    <t>Bianco Hotel</t>
  </si>
  <si>
    <t>Atik Palace Hotel</t>
  </si>
  <si>
    <t>GRAND NAMLI HOTEL ESKISEHIR</t>
  </si>
  <si>
    <t>Atenea Park</t>
  </si>
  <si>
    <t>Santa Maria</t>
  </si>
  <si>
    <t>Hilton Garden Inn Mardin</t>
  </si>
  <si>
    <t>CITY HOTEL ROVANIEMI</t>
  </si>
  <si>
    <t>Herttua Hotel</t>
  </si>
  <si>
    <t>Carlton Ambassador</t>
  </si>
  <si>
    <t>ALBORAN CHICLANA HOTEL</t>
  </si>
  <si>
    <t>Hotel Isabel</t>
  </si>
  <si>
    <t>Sercotel Pozo Del Duque</t>
  </si>
  <si>
    <t>Bastion Deluxe Zoetermeer</t>
  </si>
  <si>
    <t>Ibis Rotterdam Vlaardingen</t>
  </si>
  <si>
    <t>VAN DER VALK DEN HAAG - WASSENA</t>
  </si>
  <si>
    <t>ANKARA PLAZA HOTEL</t>
  </si>
  <si>
    <t>MAGELLAN GROUP</t>
  </si>
  <si>
    <t>Doria Hotel Bodrum</t>
  </si>
  <si>
    <t>HUNDESTED KRO OG HOTEL</t>
  </si>
  <si>
    <t>Ibis Madrid Alcorcon Mostoles</t>
  </si>
  <si>
    <t>HOTEL CARRIS ALFONSO IX</t>
  </si>
  <si>
    <t>Holiday Inn Express Madrid Alc</t>
  </si>
  <si>
    <t>Midas Hotel</t>
  </si>
  <si>
    <t>PASHA PALAS HOTEL IZMIT</t>
  </si>
  <si>
    <t>Hotelli ja Ravintola Aada</t>
  </si>
  <si>
    <t>PARK HOTEL KAPYLA</t>
  </si>
  <si>
    <t>HOTEL AROI BIERZO PLAZA</t>
  </si>
  <si>
    <t>Hotel Serrano</t>
  </si>
  <si>
    <t>Parador de Cazorla</t>
  </si>
  <si>
    <t>Motel1 dk</t>
  </si>
  <si>
    <t>Sercotel Rio Badajoz</t>
  </si>
  <si>
    <t>U232 Hotel</t>
  </si>
  <si>
    <t>KLASSIS GOLF AND COUNTRY CLUB</t>
  </si>
  <si>
    <t>Vildbjerg Hotel</t>
  </si>
  <si>
    <t>Barcelona Center Hotel</t>
  </si>
  <si>
    <t>Apartaments Sa Caleta</t>
  </si>
  <si>
    <t>CONTINENTAL HOTEL</t>
  </si>
  <si>
    <t>Hotel Vincci Puertochico</t>
  </si>
  <si>
    <t>Hotel Vardar Palace</t>
  </si>
  <si>
    <t>Simsek Hotel</t>
  </si>
  <si>
    <t>Hotel Kasteel Bloemendal</t>
  </si>
  <si>
    <t>50 FLATS CENTRO CIUDAD</t>
  </si>
  <si>
    <t>Fontecruz CACERES</t>
  </si>
  <si>
    <t>Hotel Diufain</t>
  </si>
  <si>
    <t>Tudela Bardenas</t>
  </si>
  <si>
    <t>EXE CARLOS V</t>
  </si>
  <si>
    <t>GRAN HOTEL DURANGO</t>
  </si>
  <si>
    <t>Hotel Dolores</t>
  </si>
  <si>
    <t>Intertur Apartamentos Waikiki</t>
  </si>
  <si>
    <t>Sercotel Artheus Carmelitas Salamanca</t>
  </si>
  <si>
    <t>Holiday Club Katinkulta</t>
  </si>
  <si>
    <t>Apartamentos Puerta del Sur</t>
  </si>
  <si>
    <t>PETIT PALACE SANTA BARBARA</t>
  </si>
  <si>
    <t>RECOLETOS COCO</t>
  </si>
  <si>
    <t>Hilton Garden Inn Sanliurfa</t>
  </si>
  <si>
    <t>Fuat Pasa Yalisi</t>
  </si>
  <si>
    <t>Murat Otel</t>
  </si>
  <si>
    <t>Hotel Bulevard</t>
  </si>
  <si>
    <t>Hotel Don Pio</t>
  </si>
  <si>
    <t>Petit Palace Germanias Hotel</t>
  </si>
  <si>
    <t>JM JARDIN DE LA REINA</t>
  </si>
  <si>
    <t>Tryp Rey Pelayo</t>
  </si>
  <si>
    <t>Rixos Pera Istanbul</t>
  </si>
  <si>
    <t>H2 OVIEDO HOTEL</t>
  </si>
  <si>
    <t>NH Cartagena</t>
  </si>
  <si>
    <t>Aquarium Menorca</t>
  </si>
  <si>
    <t>Hacienda Na Xamena Preferred Boutique</t>
  </si>
  <si>
    <t>Hotel Yacht Club Puerto Sherry</t>
  </si>
  <si>
    <t>Westcord City Centre Hotel Amsterdam</t>
  </si>
  <si>
    <t>Mercure Eindhoven</t>
  </si>
  <si>
    <t>Helnan Marina Hotel</t>
  </si>
  <si>
    <t>Resort Dedeman Park Antalya</t>
  </si>
  <si>
    <t>Fletcher Hotel SallandseHeuvel</t>
  </si>
  <si>
    <t>Afsin Hotel</t>
  </si>
  <si>
    <t>Ayasultan Hotel</t>
  </si>
  <si>
    <t>Hotel Odile</t>
  </si>
  <si>
    <t>Regardz Berg Hotel Amersfoort</t>
  </si>
  <si>
    <t>Bika Suites Istanbul</t>
  </si>
  <si>
    <t>Grand Ons Hotel</t>
  </si>
  <si>
    <t>Cumulus Salo Hotel</t>
  </si>
  <si>
    <t>BEST WESTERN Hotel Europa</t>
  </si>
  <si>
    <t>Mim Hotel</t>
  </si>
  <si>
    <t>Amerigo</t>
  </si>
  <si>
    <t>Posadas De Espana Pinto</t>
  </si>
  <si>
    <t>Vincci Ciudad de Salamanca</t>
  </si>
  <si>
    <t>CUMBRIA</t>
  </si>
  <si>
    <t>Parador Tordesillas</t>
  </si>
  <si>
    <t>AMSTERDAM AMERICAN H HAMPSHIRE</t>
  </si>
  <si>
    <t>Puro Hotel</t>
  </si>
  <si>
    <t>Villa Padierna Palace Hotel</t>
  </si>
  <si>
    <t>Eurostars Monumental Hotel</t>
  </si>
  <si>
    <t>Hotel Gaya</t>
  </si>
  <si>
    <t>PARADOR DE ANTEQUERA</t>
  </si>
  <si>
    <t>Ambassade Hotel</t>
  </si>
  <si>
    <t>Amrath Hotel Born Sittard Spa</t>
  </si>
  <si>
    <t>Ark Suite Hotel</t>
  </si>
  <si>
    <t>Flipflops Apartments</t>
  </si>
  <si>
    <t>Richmond Hotel</t>
  </si>
  <si>
    <t>Ada Palace Hotel</t>
  </si>
  <si>
    <t>ESPAHOTEL PLAZA BASILICA</t>
  </si>
  <si>
    <t>Hotel Morlans Garden</t>
  </si>
  <si>
    <t>Husa Golf Valdecanas</t>
  </si>
  <si>
    <t>Nh Ciudad De Valladolid</t>
  </si>
  <si>
    <t>Hotel Nuevo Torreluz</t>
  </si>
  <si>
    <t>NH PUERTO DE SAGUNTO</t>
  </si>
  <si>
    <t>Parador de Mojacar</t>
  </si>
  <si>
    <t>Tropic</t>
  </si>
  <si>
    <t>Apartamentos Solineu</t>
  </si>
  <si>
    <t>Hotel Villa de Biar</t>
  </si>
  <si>
    <t>N CH Hotel</t>
  </si>
  <si>
    <t>Angora Beach Resort</t>
  </si>
  <si>
    <t>BIRKEGAARDEN HOTEL</t>
  </si>
  <si>
    <t>Hotel Lynggaarden</t>
  </si>
  <si>
    <t>Jahtihovi</t>
  </si>
  <si>
    <t>StayAt Senate</t>
  </si>
  <si>
    <t>BEST WESTERN Hotel Carlos V</t>
  </si>
  <si>
    <t>BEST WESTERN Hotel Conde Duque</t>
  </si>
  <si>
    <t>Enclave Hotel Las Caldas</t>
  </si>
  <si>
    <t>AC Hotel Irla</t>
  </si>
  <si>
    <t>Hospedeira Las Cortes De Cadi</t>
  </si>
  <si>
    <t>Hotel Santillana</t>
  </si>
  <si>
    <t>Hampshire ArcHotelZeeland</t>
  </si>
  <si>
    <t>HOTEL V FREDERIKSPLEIN</t>
  </si>
  <si>
    <t>Ribe Byferie</t>
  </si>
  <si>
    <t>Arsima Hotel</t>
  </si>
  <si>
    <t>Lyon Hotel</t>
  </si>
  <si>
    <t>H10 Itaca</t>
  </si>
  <si>
    <t>NL ALMANSA</t>
  </si>
  <si>
    <t>Petit Palace Barcelona</t>
  </si>
  <si>
    <t>Tryp Leganes</t>
  </si>
  <si>
    <t>Travelodge Madrid Las Rozas</t>
  </si>
  <si>
    <t>Golden Tulip Arnhem-Velp</t>
  </si>
  <si>
    <t>Kristal Beach Hotel</t>
  </si>
  <si>
    <t>Tryp Las Matas</t>
  </si>
  <si>
    <t>Vasari Resort</t>
  </si>
  <si>
    <t>Bilderberg Landgoed Lauswolt</t>
  </si>
  <si>
    <t>THEATERHOTEL DE ORANJERIE</t>
  </si>
  <si>
    <t>ZAAN INN ZAANDAM</t>
  </si>
  <si>
    <t>HOTEL DEL VALLE</t>
  </si>
  <si>
    <t>Maria Luisa</t>
  </si>
  <si>
    <t>Sercotel Urbis Centre</t>
  </si>
  <si>
    <t>Van Der Valk Hotel Barcarola</t>
  </si>
  <si>
    <t>CELAL AGA KONAGI HOTEL</t>
  </si>
  <si>
    <t>DoubleTree by Hilton Kusadasi</t>
  </si>
  <si>
    <t>Bastion Deluxe Hotel Breda</t>
  </si>
  <si>
    <t>Babaylon Hotel Cesme</t>
  </si>
  <si>
    <t>Hotel Avenida de Canarias</t>
  </si>
  <si>
    <t>Sercotel la Borona</t>
  </si>
  <si>
    <t>INSIGNIA CIVITAS GRAN HOTEL REGENTE</t>
  </si>
  <si>
    <t>Tulip Inn Leiden Centre</t>
  </si>
  <si>
    <t>Hilton The Hague</t>
  </si>
  <si>
    <t>Copenhagen Plaza Hotel</t>
  </si>
  <si>
    <t>Husa Dimar</t>
  </si>
  <si>
    <t>SEVILLA PALMERA</t>
  </si>
  <si>
    <t>Karaca Hotel</t>
  </si>
  <si>
    <t>Rhisos Hotel Maltepe</t>
  </si>
  <si>
    <t>Royal Heights Resort Bodrum</t>
  </si>
  <si>
    <t>Tugcu Hotel</t>
  </si>
  <si>
    <t>SOZBIR ROYAL RESIDENCE HOTEL</t>
  </si>
  <si>
    <t>Danica Hotel</t>
  </si>
  <si>
    <t>Skjoldenaesholm Hotel</t>
  </si>
  <si>
    <t>GRUMS HOTEL</t>
  </si>
  <si>
    <t>NH Leganes</t>
  </si>
  <si>
    <t>Parador de la Palma - Brena Baja</t>
  </si>
  <si>
    <t>Vincci Castellon Center</t>
  </si>
  <si>
    <t>Campanile - Hertogenbosch</t>
  </si>
  <si>
    <t>Hampshire 108 Meerdervoort</t>
  </si>
  <si>
    <t>APARTHOTEL OROEL</t>
  </si>
  <si>
    <t>Holiday Inn Express San Luis</t>
  </si>
  <si>
    <t>Hotel JS Miramar</t>
  </si>
  <si>
    <t>AC Hotel Vila de Allariz by Marriott</t>
  </si>
  <si>
    <t>Astures</t>
  </si>
  <si>
    <t>Hotel Baviera</t>
  </si>
  <si>
    <t>Hotel City Garden</t>
  </si>
  <si>
    <t>Ramada Plaza Malatya Altin Kayi</t>
  </si>
  <si>
    <t>Room Mate Leo</t>
  </si>
  <si>
    <t>UR MISION DE SAN MIGUEL</t>
  </si>
  <si>
    <t>exe PUERTA DEL CAMINO HOTEL</t>
  </si>
  <si>
    <t>Fletcher Hotel Paterswolde</t>
  </si>
  <si>
    <t>Hotel Adonis PLAZA</t>
  </si>
  <si>
    <t>Hotel Spa Aragon Hills</t>
  </si>
  <si>
    <t>Hotel Tarik</t>
  </si>
  <si>
    <t>HOTELANDGO COM MIRANDA</t>
  </si>
  <si>
    <t>AC Hotel Victoria Suites</t>
  </si>
  <si>
    <t>HOTEL CELUISMA PATHOS</t>
  </si>
  <si>
    <t>Room Mate Emma</t>
  </si>
  <si>
    <t>Vita Perla de Andalucia</t>
  </si>
  <si>
    <t>Hampshire Dormylle</t>
  </si>
  <si>
    <t>Hotel Monasterio De Rueda</t>
  </si>
  <si>
    <t>VILLA GOMA HOTEL</t>
  </si>
  <si>
    <t>Van der Valk Hotel Arnhem</t>
  </si>
  <si>
    <t>Van der Valk Hotel Sneek</t>
  </si>
  <si>
    <t>Feriecenter Oster Hurup</t>
  </si>
  <si>
    <t>Scandic Ringsted City</t>
  </si>
  <si>
    <t>ZLEEP HOTEL CENTRUM</t>
  </si>
  <si>
    <t>Escuela Hotel Santa Cruz</t>
  </si>
  <si>
    <t>Husa Alaquas</t>
  </si>
  <si>
    <t>LA FIGUEROLA</t>
  </si>
  <si>
    <t>Riva Hotel Taksim</t>
  </si>
  <si>
    <t>FORENOM APARTMENTS TURKU</t>
  </si>
  <si>
    <t>Catalonia Barcelona 505</t>
  </si>
  <si>
    <t>Sercotel Codina</t>
  </si>
  <si>
    <t>Harmony Hotel</t>
  </si>
  <si>
    <t>Avrupa Residence</t>
  </si>
  <si>
    <t>Hotel Buyuk Keban</t>
  </si>
  <si>
    <t>Hotel Valdecoro</t>
  </si>
  <si>
    <t>Parador de Olite</t>
  </si>
  <si>
    <t>Hesperia Vigo</t>
  </si>
  <si>
    <t>Grand Hotel Amrath Amsterdam</t>
  </si>
  <si>
    <t>Golden Tulip Hotel Val Monte</t>
  </si>
  <si>
    <t>HOTEL FABIAN</t>
  </si>
  <si>
    <t>Hampshire Hotel  Emmen</t>
  </si>
  <si>
    <t>Intur Palacio San Martin Hotel</t>
  </si>
  <si>
    <t>Hotel Euroglobe</t>
  </si>
  <si>
    <t>Grand Medya Hotel</t>
  </si>
  <si>
    <t>Star City Hotel</t>
  </si>
  <si>
    <t>Carlton President Hotel</t>
  </si>
  <si>
    <t>HOTEL FREDERIK D II</t>
  </si>
  <si>
    <t>Altamira</t>
  </si>
  <si>
    <t>Grand Hotel Seferoglu</t>
  </si>
  <si>
    <t>Carina Hotel</t>
  </si>
  <si>
    <t>Grand Sinan Hotel</t>
  </si>
  <si>
    <t>Hampshire Hotel De Eese</t>
  </si>
  <si>
    <t>Tulip Inn Heerlen</t>
  </si>
  <si>
    <t>EUROSTARS RAMBLAS</t>
  </si>
  <si>
    <t>Sercotel Leyre</t>
  </si>
  <si>
    <t>Sercotel Portales</t>
  </si>
  <si>
    <t>Ibis Irun</t>
  </si>
  <si>
    <t>Palacio De Valderrabanos</t>
  </si>
  <si>
    <t>Castell Son Claret</t>
  </si>
  <si>
    <t>Tryp Puertollano</t>
  </si>
  <si>
    <t>Sheraton Mallorca Arabella Golf Hotel</t>
  </si>
  <si>
    <t>Solvasa Valencia</t>
  </si>
  <si>
    <t>CheapSleep Helsinki</t>
  </si>
  <si>
    <t>BOSTANCI PRENSES HOTEL</t>
  </si>
  <si>
    <t>Fletcher Hotel Dinkeloord</t>
  </si>
  <si>
    <t>Amadeus</t>
  </si>
  <si>
    <t>StayAt Parliament</t>
  </si>
  <si>
    <t>Bungalows Riosol Club</t>
  </si>
  <si>
    <t>El Pinar</t>
  </si>
  <si>
    <t>EXE ALFONSO HOTEL</t>
  </si>
  <si>
    <t>Hotel Clumba</t>
  </si>
  <si>
    <t>La Costa Golf And Beach Resor</t>
  </si>
  <si>
    <t>LA FINCA GOLF AND RESORT SPA</t>
  </si>
  <si>
    <t>NH BALAGO</t>
  </si>
  <si>
    <t>Apartamentos Morasol</t>
  </si>
  <si>
    <t>Hotel Rio Bidasoa</t>
  </si>
  <si>
    <t>Sercotel Emporda</t>
  </si>
  <si>
    <t>Sercotel Jauregui</t>
  </si>
  <si>
    <t>Cumulus Rauma</t>
  </si>
  <si>
    <t>Eser Diamond Hotel and Convention Center</t>
  </si>
  <si>
    <t>Billum Kro Hotel</t>
  </si>
  <si>
    <t>Scandic Forssa</t>
  </si>
  <si>
    <t>EUROSTARS PLAZA MAYOR</t>
  </si>
  <si>
    <t>Hotel Ciutat Martorell</t>
  </si>
  <si>
    <t>Hotel Zenit Vigo</t>
  </si>
  <si>
    <t>Mercedes</t>
  </si>
  <si>
    <t>Tulip Inn Zaragoza</t>
  </si>
  <si>
    <t>ATTICA 21 BARCELONA MAR</t>
  </si>
  <si>
    <t>EUROSTARS PATIOS DE CORDOBA</t>
  </si>
  <si>
    <t>The Mirror Hotel</t>
  </si>
  <si>
    <t>Van der Valk Hotel de Cantharel</t>
  </si>
  <si>
    <t>AMRATH  GRAND HOTEL GOOILAND</t>
  </si>
  <si>
    <t>Hesperia Toledo</t>
  </si>
  <si>
    <t>Hotel Js Sol de Can Picafort</t>
  </si>
  <si>
    <t>LAS BOVEDAS</t>
  </si>
  <si>
    <t>HOTEL POLATDEMIR ISTANBUL</t>
  </si>
  <si>
    <t>Kadikoey Rihtim Otel</t>
  </si>
  <si>
    <t>THE CAMLICA RESIDENCE</t>
  </si>
  <si>
    <t>Bilderberg Hotel Wolfheze</t>
  </si>
  <si>
    <t>Flamenco Conil</t>
  </si>
  <si>
    <t>BEST WESTERN Hotel Nobis Asten</t>
  </si>
  <si>
    <t>Fletcher Hotel Amsterdam</t>
  </si>
  <si>
    <t>Tulip Inn Eindhoven Airport</t>
  </si>
  <si>
    <t>FIRST HOTEL ESPLANADEN</t>
  </si>
  <si>
    <t>Room Mate Marcos</t>
  </si>
  <si>
    <t>Inntel Hotels Amsterdam Zaanda</t>
  </si>
  <si>
    <t>ISTANBUL PARK HOTEL TUZLA</t>
  </si>
  <si>
    <t>Mavi Suite Tuerkbuekue</t>
  </si>
  <si>
    <t>Patara Prince Hotel and Resort</t>
  </si>
  <si>
    <t>Hotel Ciudad de Mostoles</t>
  </si>
  <si>
    <t>Hotel Limani</t>
  </si>
  <si>
    <t>Marinem Diana Hotel Kemer</t>
  </si>
  <si>
    <t>Stop n Sleep Hotel</t>
  </si>
  <si>
    <t>Hotel Meninas</t>
  </si>
  <si>
    <t>Hotel Montemar O Grove</t>
  </si>
  <si>
    <t>BEST WESTERN Hotel Cervantes</t>
  </si>
  <si>
    <t>Hotel Leflet Valme</t>
  </si>
  <si>
    <t>Hotel Newport</t>
  </si>
  <si>
    <t>H2otel Rotterdam</t>
  </si>
  <si>
    <t>Bastion Amsterdam Zaandam</t>
  </si>
  <si>
    <t>Hampshire Boshotel Vlodrop</t>
  </si>
  <si>
    <t>NH Tropen</t>
  </si>
  <si>
    <t>Hotel Villava Pamplona</t>
  </si>
  <si>
    <t>NH Ciudad de Santander</t>
  </si>
  <si>
    <t>Sercotel Alfonso V</t>
  </si>
  <si>
    <t>Zenit Malaga</t>
  </si>
  <si>
    <t>Campanile - Zwolle</t>
  </si>
  <si>
    <t>Himmerland Resort Hotel</t>
  </si>
  <si>
    <t>Citymar Gran Hotel Almeria</t>
  </si>
  <si>
    <t>Hospes Madrid</t>
  </si>
  <si>
    <t>Parador de Guadalupe</t>
  </si>
  <si>
    <t>Gran Hotel Barcino</t>
  </si>
  <si>
    <t>Hotel Murmuri Preferred Boutique</t>
  </si>
  <si>
    <t>AC Hotel Elda</t>
  </si>
  <si>
    <t>Holiday Inn Elche</t>
  </si>
  <si>
    <t>Husa Via Barcelona</t>
  </si>
  <si>
    <t>Peninsula Galata Boutique Hotel</t>
  </si>
  <si>
    <t>Sed Hotel</t>
  </si>
  <si>
    <t>BEST WESTERN PREMIER Senator Hotel</t>
  </si>
  <si>
    <t>Selen 2 Hotel</t>
  </si>
  <si>
    <t>VAN DER VALK HOTEL AVIFAUNA</t>
  </si>
  <si>
    <t>COMWELL HOLTE</t>
  </si>
  <si>
    <t>HOSTAL PUERTA DE BISAGRA</t>
  </si>
  <si>
    <t>LONGORIA PLAZA</t>
  </si>
  <si>
    <t>Remer Hotel</t>
  </si>
  <si>
    <t>Hostal Deluxe Diamante</t>
  </si>
  <si>
    <t>HOSTAL RESTAURANTE CASA JUANA</t>
  </si>
  <si>
    <t>HOTEL DON CARLOS</t>
  </si>
  <si>
    <t>HOTEL MIDAMA</t>
  </si>
  <si>
    <t>QGAT Suites   Events</t>
  </si>
  <si>
    <t>Suites Avenue Apartments</t>
  </si>
  <si>
    <t>BEST WESTERN Hotel Spaander</t>
  </si>
  <si>
    <t>Hampshire Htl City Terneuzen</t>
  </si>
  <si>
    <t>Hotel Amsterdam de Roode Leeuw</t>
  </si>
  <si>
    <t>InterContinental Amstel Amsterdam</t>
  </si>
  <si>
    <t>Apartamentos Cala d Or Playa</t>
  </si>
  <si>
    <t>Hotel Amaral</t>
  </si>
  <si>
    <t>ibis styles La Rioja Arnedo</t>
  </si>
  <si>
    <t>INSIGNIA GRAN HOTEL ALBACETE</t>
  </si>
  <si>
    <t>HOTEL LISBOA</t>
  </si>
  <si>
    <t>BEST WESTERN Palace Hotel</t>
  </si>
  <si>
    <t>HAMPSHIRE CLASSIC BLOEMENBEEK</t>
  </si>
  <si>
    <t>Hotel Siemsens Gaard</t>
  </si>
  <si>
    <t>Musholm Bugt Feriecenter</t>
  </si>
  <si>
    <t>Express by Holiday Inn Onda</t>
  </si>
  <si>
    <t>Amiral Palace Hotel</t>
  </si>
  <si>
    <t>Cordial House Hotel and Hostel</t>
  </si>
  <si>
    <t>Temiz Otel</t>
  </si>
  <si>
    <t>Mas Playa</t>
  </si>
  <si>
    <t>Mercure Hotel Amsterdam Arthur Frommer</t>
  </si>
  <si>
    <t>Van Der Valk Hotel Houten Utrecht</t>
  </si>
  <si>
    <t>Badhotel Domburg Hampshire</t>
  </si>
  <si>
    <t>Impala Hotel</t>
  </si>
  <si>
    <t>Hotel Edirne Palace</t>
  </si>
  <si>
    <t>Hotel Sahiner</t>
  </si>
  <si>
    <t>Kerman Hotel</t>
  </si>
  <si>
    <t>Marin a Hotel</t>
  </si>
  <si>
    <t>Alhama</t>
  </si>
  <si>
    <t>APARTAMENTOS ELS QUIMICS</t>
  </si>
  <si>
    <t>DELTA HOTEL</t>
  </si>
  <si>
    <t>Castell De Mata</t>
  </si>
  <si>
    <t>Hotel Guardamar</t>
  </si>
  <si>
    <t>Hotel Pedro III El Grande</t>
  </si>
  <si>
    <t>PARADOR DE ZAMORA</t>
  </si>
  <si>
    <t>ARECA HOTEL</t>
  </si>
  <si>
    <t>Sercotel Magnolia</t>
  </si>
  <si>
    <t>BEST WESTERN Hotel Jens Baggesen</t>
  </si>
  <si>
    <t>EUROSTARS I HOTEL</t>
  </si>
  <si>
    <t>Bastion Deluxe Maastricht</t>
  </si>
  <si>
    <t>Badajoz Center</t>
  </si>
  <si>
    <t>HOTEL JAIME III</t>
  </si>
  <si>
    <t>Internacional</t>
  </si>
  <si>
    <t>Apartamentos Monachil</t>
  </si>
  <si>
    <t>Augusta Spa Resort PHW</t>
  </si>
  <si>
    <t>HM Balanguera</t>
  </si>
  <si>
    <t>HOTEL CIUTAT VELLA</t>
  </si>
  <si>
    <t>Hotel Colon Rambla</t>
  </si>
  <si>
    <t>Hotel La Cala</t>
  </si>
  <si>
    <t>Hotel Sandra 2</t>
  </si>
  <si>
    <t>Hotel Sauce</t>
  </si>
  <si>
    <t>KURSAAL CALAFELL PLATJA</t>
  </si>
  <si>
    <t>Villa De Gijon</t>
  </si>
  <si>
    <t>YASMAK SULTAN HOTEL</t>
  </si>
  <si>
    <t>EUROSTARS REINA FELICIA SPA</t>
  </si>
  <si>
    <t>Los Arcos Hotel</t>
  </si>
  <si>
    <t>Eyueboglu Hotel</t>
  </si>
  <si>
    <t>RAFFLES PRASLIN SEYCHELLES</t>
  </si>
  <si>
    <t>Raffles Hotels and Resorts</t>
  </si>
  <si>
    <t>Sercotel Oria</t>
  </si>
  <si>
    <t>Club Hipico Cala DOr</t>
  </si>
  <si>
    <t>BEST WESTERN Amadore Hotel Arneville</t>
  </si>
  <si>
    <t>ARRAHONA APARTHOTEL</t>
  </si>
  <si>
    <t>HOTEL BILBAO JARDINES</t>
  </si>
  <si>
    <t>Meson Leonor</t>
  </si>
  <si>
    <t>Parador de Tui</t>
  </si>
  <si>
    <t>Hotel Harriet</t>
  </si>
  <si>
    <t>Met Design Hotel</t>
  </si>
  <si>
    <t>Hotel Sarga</t>
  </si>
  <si>
    <t>Campanile - Rotterdam Vlaarding</t>
  </si>
  <si>
    <t>Hotel Marques de la Ensenada</t>
  </si>
  <si>
    <t>PARADOR DE ZAFRA</t>
  </si>
  <si>
    <t>First Hotel Kong Frederik</t>
  </si>
  <si>
    <t>Elegance Residence Istanbul</t>
  </si>
  <si>
    <t>HOTEL BEST</t>
  </si>
  <si>
    <t>Hanedan Resort Beach Club</t>
  </si>
  <si>
    <t>AMRATH HOTEL ALKMAAR</t>
  </si>
  <si>
    <t>FLETCHER HOTEL MARIJKE</t>
  </si>
  <si>
    <t>SIR ALBERT HOTEL AMSTERDAM</t>
  </si>
  <si>
    <t>Sandton Hotel de Roskam</t>
  </si>
  <si>
    <t>Bella Hotel</t>
  </si>
  <si>
    <t>exe Los Jandalos Jerez and spa</t>
  </si>
  <si>
    <t>TAXIMTOWN HOTEL</t>
  </si>
  <si>
    <t>Golden Tulip Alkmaar</t>
  </si>
  <si>
    <t>LifePort Istanbul Airport Hotel</t>
  </si>
  <si>
    <t>Melia Girona</t>
  </si>
  <si>
    <t>TEMPLE PONFERRADA</t>
  </si>
  <si>
    <t>Avenue Hotel</t>
  </si>
  <si>
    <t>HCC Lugano</t>
  </si>
  <si>
    <t>S AGARO</t>
  </si>
  <si>
    <t>Aloft Bursa Hotel</t>
  </si>
  <si>
    <t>aloft Hotels</t>
  </si>
  <si>
    <t>HOTEL SANTA ISABEL</t>
  </si>
  <si>
    <t>Mirada Del Monte Hotel</t>
  </si>
  <si>
    <t>HOTEL ADLER</t>
  </si>
  <si>
    <t>Hotel Apartamentos Vista Real</t>
  </si>
  <si>
    <t>Hotel Montana</t>
  </si>
  <si>
    <t>Sercotel Los Angeles</t>
  </si>
  <si>
    <t>Sheraton Santa Maria de El Paular</t>
  </si>
  <si>
    <t>HOTEL CENTRAL PARK</t>
  </si>
  <si>
    <t>Can Simoneta</t>
  </si>
  <si>
    <t>NH Palacio De La Merced</t>
  </si>
  <si>
    <t>HEGSAGONE HOTEL</t>
  </si>
  <si>
    <t>GRAND YAZICI TORBA BEACH CLUB</t>
  </si>
  <si>
    <t>CANAIMA HOTEL</t>
  </si>
  <si>
    <t>Maurici Park Apartamentos</t>
  </si>
  <si>
    <t>Torre do Deza Hotel Spa</t>
  </si>
  <si>
    <t>APARTAMENTOS LUXSEVILLA BORMUJOS</t>
  </si>
  <si>
    <t>Hotel Sancho Ramirez</t>
  </si>
  <si>
    <t>HOTELLI KEURUSSELKA</t>
  </si>
  <si>
    <t>Omena Hotel Eerikinkatu</t>
  </si>
  <si>
    <t>BEST WESTERN Hotel Ritz</t>
  </si>
  <si>
    <t>Hotel Atlantico</t>
  </si>
  <si>
    <t>Hotel FG Logrono</t>
  </si>
  <si>
    <t>Zenit Lleida</t>
  </si>
  <si>
    <t>Bergama Hotel</t>
  </si>
  <si>
    <t>LHotelet</t>
  </si>
  <si>
    <t>Hotel Ancora</t>
  </si>
  <si>
    <t>Hotel Bagues</t>
  </si>
  <si>
    <t>Hotel Logasasanti</t>
  </si>
  <si>
    <t>Sercotel Asta Regia Jerez</t>
  </si>
  <si>
    <t>ASPEN HOTEL</t>
  </si>
  <si>
    <t>BILLUND KRO</t>
  </si>
  <si>
    <t>HOTEL ARNBJERG</t>
  </si>
  <si>
    <t>Atenea Valles Granollers Hotel</t>
  </si>
  <si>
    <t>Hesperia Del Mar</t>
  </si>
  <si>
    <t>Hotel Plaza - Blancohostel</t>
  </si>
  <si>
    <t>Omena Hotel Vaasa</t>
  </si>
  <si>
    <t>La Fonda Hotel</t>
  </si>
  <si>
    <t>Parador Santillana Gil Blas</t>
  </si>
  <si>
    <t>BEST WESTERN Hotel Savonia</t>
  </si>
  <si>
    <t>Hotel Altozano</t>
  </si>
  <si>
    <t>Palacio Urgoiti Hotel  Golf</t>
  </si>
  <si>
    <t>Virxe Da Cerca</t>
  </si>
  <si>
    <t>HOTEL JS ES CORSO</t>
  </si>
  <si>
    <t>Leuka Hotel</t>
  </si>
  <si>
    <t>Vita Toledo Golf</t>
  </si>
  <si>
    <t>Hostel Erenler</t>
  </si>
  <si>
    <t>Rumi Hotel</t>
  </si>
  <si>
    <t>Sava Hotel</t>
  </si>
  <si>
    <t>Hotel Mas Tapiolas</t>
  </si>
  <si>
    <t>Parador de Benavente</t>
  </si>
  <si>
    <t>Apartamentos Luz Playa</t>
  </si>
  <si>
    <t>Room Mate Alicia</t>
  </si>
  <si>
    <t>Antik Han Hotel</t>
  </si>
  <si>
    <t>Ardina Hotel</t>
  </si>
  <si>
    <t>Gamirasu Hotel</t>
  </si>
  <si>
    <t>Moonshine Apart Otel</t>
  </si>
  <si>
    <t>Ansgar Hotel</t>
  </si>
  <si>
    <t>BYOTELL ASIA ISTANBUL</t>
  </si>
  <si>
    <t>MARCUSSENS HOTEL</t>
  </si>
  <si>
    <t>Sauntehus</t>
  </si>
  <si>
    <t>BEST WESTERN Hotel Los Condes</t>
  </si>
  <si>
    <t>Dos Infantas</t>
  </si>
  <si>
    <t>ibis Styles Amsterdam Amstel</t>
  </si>
  <si>
    <t>VAN DER VALK HOTEL DE MOLENHOEK</t>
  </si>
  <si>
    <t>AC Santo Mauro Autograph Collection</t>
  </si>
  <si>
    <t>Husa Llar</t>
  </si>
  <si>
    <t>Melia Cala D Or</t>
  </si>
  <si>
    <t>Hotel El Encinar</t>
  </si>
  <si>
    <t>PETIT PALACE TRES CRUCES CENTRO</t>
  </si>
  <si>
    <t>Grand Ant Hotel</t>
  </si>
  <si>
    <t>Alfonso VI</t>
  </si>
  <si>
    <t>BALNEARIO ROCALLAURA</t>
  </si>
  <si>
    <t>Catalonia Avinyo</t>
  </si>
  <si>
    <t>Ibis Jerez de La Frontera</t>
  </si>
  <si>
    <t>Budo Hotel</t>
  </si>
  <si>
    <t>MINA HOTEL</t>
  </si>
  <si>
    <t>Selection Suites</t>
  </si>
  <si>
    <t>The Bay Beach Club</t>
  </si>
  <si>
    <t>AC Hotel Murcia</t>
  </si>
  <si>
    <t>SANDTON RESORT BAD BOEKELO</t>
  </si>
  <si>
    <t>DGI BYENS HOTEL</t>
  </si>
  <si>
    <t>Hotel Cram</t>
  </si>
  <si>
    <t>Hotel Ilerda</t>
  </si>
  <si>
    <t>Ibis Valencia Bonaire</t>
  </si>
  <si>
    <t>NH Rallye</t>
  </si>
  <si>
    <t>Andromeda</t>
  </si>
  <si>
    <t>Amrath Grand Hotel Heerlen</t>
  </si>
  <si>
    <t>Fletcher Hotel Hunzebergen</t>
  </si>
  <si>
    <t>Apartamentos Estrella del Norte</t>
  </si>
  <si>
    <t>Hotel Juan II</t>
  </si>
  <si>
    <t>Vita Mediterraneo</t>
  </si>
  <si>
    <t>Eurostars Astoria</t>
  </si>
  <si>
    <t>Camargo</t>
  </si>
  <si>
    <t>FINCA ESLAVA</t>
  </si>
  <si>
    <t>BEST WESTERN Tashan Business &amp; Airport Hotel</t>
  </si>
  <si>
    <t>Kadikoy Sidonya Hotel</t>
  </si>
  <si>
    <t>Marlight Boutique Hotel Izmir Center</t>
  </si>
  <si>
    <t>SANTA SOPHIA BOUTIQUE HOTEL</t>
  </si>
  <si>
    <t>ibis Styles Madrid  Prado</t>
  </si>
  <si>
    <t>Queen Hotel</t>
  </si>
  <si>
    <t>Mercure Hotel Zwolle</t>
  </si>
  <si>
    <t>HOTEL TROENSE</t>
  </si>
  <si>
    <t>HOTEL IRIGUIBEL</t>
  </si>
  <si>
    <t>Praktik Rambla</t>
  </si>
  <si>
    <t>Teaterhotellet</t>
  </si>
  <si>
    <t>Alondras Park</t>
  </si>
  <si>
    <t>Medplaya Santa Monica</t>
  </si>
  <si>
    <t>Sercotel Ciutat de Montcada</t>
  </si>
  <si>
    <t>SKJALM HVIDE HOTEL</t>
  </si>
  <si>
    <t>NH Capelle</t>
  </si>
  <si>
    <t>Hotel Puerta de la Villa</t>
  </si>
  <si>
    <t>VIURA</t>
  </si>
  <si>
    <t>Grand Mark Hotel</t>
  </si>
  <si>
    <t>Ottoman s Life Hotel</t>
  </si>
  <si>
    <t>Solis Hotel</t>
  </si>
  <si>
    <t>Lakos Hotel</t>
  </si>
  <si>
    <t>H2 CASTELLON</t>
  </si>
  <si>
    <t>NH Master</t>
  </si>
  <si>
    <t>Hotel Medium Prisma</t>
  </si>
  <si>
    <t>HOTEL VILLA DE ARANDA</t>
  </si>
  <si>
    <t>Otantik Club Hotel</t>
  </si>
  <si>
    <t>The Selection Suites</t>
  </si>
  <si>
    <t>Bilderberg Hotel Klein Zwitserland</t>
  </si>
  <si>
    <t>Fletcher Hotel Restaurant Zeeduin</t>
  </si>
  <si>
    <t>BEST WESTERN Hotel Raumanlinna</t>
  </si>
  <si>
    <t>HOTEL VICTORIA</t>
  </si>
  <si>
    <t>Hotel Dekkers</t>
  </si>
  <si>
    <t>Altunakar Calypso</t>
  </si>
  <si>
    <t>Neva Palas</t>
  </si>
  <si>
    <t>Silvanus Hotel</t>
  </si>
  <si>
    <t>BEST WESTERN Empire Palace</t>
  </si>
  <si>
    <t>Imren Han Hotel</t>
  </si>
  <si>
    <t>Kleopatra Beach Yildiz Hotel</t>
  </si>
  <si>
    <t>Sailor Apart Hotel</t>
  </si>
  <si>
    <t>Tac Hotel</t>
  </si>
  <si>
    <t>Tunel Residence</t>
  </si>
  <si>
    <t>Hotel Andalucia</t>
  </si>
  <si>
    <t>Camino De Granada</t>
  </si>
  <si>
    <t>SHS AEROPUERTO HOTEL</t>
  </si>
  <si>
    <t>Tryp Galeones</t>
  </si>
  <si>
    <t>Brisamar Canteras</t>
  </si>
  <si>
    <t>Hotel Ad Hoc Parque Golf</t>
  </si>
  <si>
    <t>NH La Florida Aparthotel</t>
  </si>
  <si>
    <t>Park City Hotel</t>
  </si>
  <si>
    <t>TITANIC COMFORT HOTEL</t>
  </si>
  <si>
    <t>Hampshire Hotel De Broeierd</t>
  </si>
  <si>
    <t>Lapland Hotels Akashotelli</t>
  </si>
  <si>
    <t>Campanile - Breda</t>
  </si>
  <si>
    <t>Safari Hotel</t>
  </si>
  <si>
    <t>NH Inglaterra</t>
  </si>
  <si>
    <t>Room Mate Laura</t>
  </si>
  <si>
    <t>Bastion Deluxe Hotel Dordrecht</t>
  </si>
  <si>
    <t>Hotel las Nieves</t>
  </si>
  <si>
    <t>LA RESERVA ROTANA GOLF RESORT</t>
  </si>
  <si>
    <t>AIRPORT HOTEL OULU</t>
  </si>
  <si>
    <t>PETIT PALACE SAN BERNARDO</t>
  </si>
  <si>
    <t>Rallye</t>
  </si>
  <si>
    <t>PARK HOTEL ANKARA</t>
  </si>
  <si>
    <t>Hotel Mozarbez Salamanca</t>
  </si>
  <si>
    <t>Sercotel Jorge I</t>
  </si>
  <si>
    <t>BEST WESTERN Citadel Hotel</t>
  </si>
  <si>
    <t>Recital Hotel</t>
  </si>
  <si>
    <t>Hotel Piet Hein</t>
  </si>
  <si>
    <t>Manofa Hotel City Center</t>
  </si>
  <si>
    <t>Hejse Kro</t>
  </si>
  <si>
    <t>HVALPSUND FAERGEKRO</t>
  </si>
  <si>
    <t>BEST WESTERN PLUS City Hotel Gouda</t>
  </si>
  <si>
    <t>Avion</t>
  </si>
  <si>
    <t>Solto Alacati Beach Hotel</t>
  </si>
  <si>
    <t>Yaman Hotel Izmir Center</t>
  </si>
  <si>
    <t>BEST WESTERN Hotel De Korenbeurs</t>
  </si>
  <si>
    <t>Ciudad De Vigo</t>
  </si>
  <si>
    <t>HCC Covadonga Hotel</t>
  </si>
  <si>
    <t>The Suites at San Roque Club</t>
  </si>
  <si>
    <t>TRH La Motilla</t>
  </si>
  <si>
    <t>Albayt Resort</t>
  </si>
  <si>
    <t>Hotel Mainake</t>
  </si>
  <si>
    <t>Lusso Hotel Infantas</t>
  </si>
  <si>
    <t>PIO XII APARTMENTS VALENCIA</t>
  </si>
  <si>
    <t>Premiere Classe Zaragoza</t>
  </si>
  <si>
    <t>Regio I</t>
  </si>
  <si>
    <t>Republica Apartments</t>
  </si>
  <si>
    <t>Lapland Hotel Bears Lodge</t>
  </si>
  <si>
    <t>Hotel Belfort</t>
  </si>
  <si>
    <t>Mas Sola</t>
  </si>
  <si>
    <t>Abel Hotel Istanbul</t>
  </si>
  <si>
    <t>OTTOMAN HOTEL PARK</t>
  </si>
  <si>
    <t>BEST WESTERN Amsterdam Airport Hotel Uithoorn</t>
  </si>
  <si>
    <t>Banyan Tree Seychelles</t>
  </si>
  <si>
    <t>Banyan Tree Hotels and Resorts</t>
  </si>
  <si>
    <t>Omena Hotel Lahti</t>
  </si>
  <si>
    <t>SOKOS HOTEL TAMMER</t>
  </si>
  <si>
    <t>H2 ELCHE HOTEL</t>
  </si>
  <si>
    <t>Hotel SH Ingles Boutique</t>
  </si>
  <si>
    <t>Parador de Carmona</t>
  </si>
  <si>
    <t>El Ruha Airport Hotel</t>
  </si>
  <si>
    <t>Holiday Inn Express Barcelona Montmelo</t>
  </si>
  <si>
    <t>Hotel Canyelles Platja</t>
  </si>
  <si>
    <t>Parador de Ciudad Rodrigo - Salamanca</t>
  </si>
  <si>
    <t>Veracruz Hotel</t>
  </si>
  <si>
    <t>Hotel Ege Palas</t>
  </si>
  <si>
    <t>Ibis Leiderdorp</t>
  </si>
  <si>
    <t>Sant Agusti</t>
  </si>
  <si>
    <t>Sercotel Europa</t>
  </si>
  <si>
    <t>Kantarellis Suites</t>
  </si>
  <si>
    <t>Hampton by Hilton Amsterdam Airport Schiphol</t>
  </si>
  <si>
    <t>Hotel Albatros</t>
  </si>
  <si>
    <t>Parador de El Hierro</t>
  </si>
  <si>
    <t>Bastion Hotel Schiphol Hoofddo</t>
  </si>
  <si>
    <t>BEST WESTERN Hotel Scheelsminde</t>
  </si>
  <si>
    <t>Sunset Beach Hotel</t>
  </si>
  <si>
    <t>Hotel Can Bonico</t>
  </si>
  <si>
    <t>Rooms Deluxe Valencia Flats</t>
  </si>
  <si>
    <t>TORN ES HOTEL</t>
  </si>
  <si>
    <t>Acra</t>
  </si>
  <si>
    <t>Blue Stars Hotel</t>
  </si>
  <si>
    <t>Yosun Otel</t>
  </si>
  <si>
    <t>DONA MANUELA</t>
  </si>
  <si>
    <t>Hotel Rural San Francisco de As</t>
  </si>
  <si>
    <t>EXE EL MAGISTRAL HOTEL</t>
  </si>
  <si>
    <t>NH Albar</t>
  </si>
  <si>
    <t>Apartamentos Fuentepark</t>
  </si>
  <si>
    <t>Ibis Valencia Aeropuerto</t>
  </si>
  <si>
    <t>Sercotel La Princesa</t>
  </si>
  <si>
    <t>Zarauz</t>
  </si>
  <si>
    <t>Pinar Hotel</t>
  </si>
  <si>
    <t>Pension Slaegtsgaarden</t>
  </si>
  <si>
    <t>Holiday Inn Express Getafe</t>
  </si>
  <si>
    <t>Hotel Marina Tossa</t>
  </si>
  <si>
    <t>Premist Hotel</t>
  </si>
  <si>
    <t>RESIDENCE HOTEL IZMIR</t>
  </si>
  <si>
    <t>TAV AIRPORT HOTEL ISTANBUL</t>
  </si>
  <si>
    <t>Arena Hotel</t>
  </si>
  <si>
    <t>Konak Saray Hotel</t>
  </si>
  <si>
    <t>Avicenna Hotel</t>
  </si>
  <si>
    <t>Koru Hotel Cankaya</t>
  </si>
  <si>
    <t>Hotel Soparken</t>
  </si>
  <si>
    <t>Hotel Puerta del Sol</t>
  </si>
  <si>
    <t>Ibiza Rocks House at Pikes Hotel</t>
  </si>
  <si>
    <t>La Posada del Mar</t>
  </si>
  <si>
    <t>Son Julia Mallorca</t>
  </si>
  <si>
    <t>LE DUC DE PRASLIN</t>
  </si>
  <si>
    <t>INFFINIT VIGO</t>
  </si>
  <si>
    <t>Medinacelli hotel</t>
  </si>
  <si>
    <t>Exe Los Jandalos Santa Maria</t>
  </si>
  <si>
    <t>Sancho Iii</t>
  </si>
  <si>
    <t>Sercotel Princesa de Eboli</t>
  </si>
  <si>
    <t>Hotel Ronda Figueres</t>
  </si>
  <si>
    <t>Bodrum Maya Hotel</t>
  </si>
  <si>
    <t>KRAGERUP GODS</t>
  </si>
  <si>
    <t>NH Caransa</t>
  </si>
  <si>
    <t>Sokos Seurahuone Savonlinna</t>
  </si>
  <si>
    <t>Hotel Cristal Aeropuerto</t>
  </si>
  <si>
    <t>Hotel Soho Barcelona</t>
  </si>
  <si>
    <t>Fletcher Hotel Duinzicht</t>
  </si>
  <si>
    <t>Hampshire Hotel Uden</t>
  </si>
  <si>
    <t>BEST WESTERN Hotel Gieling</t>
  </si>
  <si>
    <t>Hotel Glow</t>
  </si>
  <si>
    <t>Landgoed Hotel Groot Warnsborn</t>
  </si>
  <si>
    <t>MARE</t>
  </si>
  <si>
    <t>Sercotel San Juan de los Reyes</t>
  </si>
  <si>
    <t>NH Viapol</t>
  </si>
  <si>
    <t>City Center Apartments</t>
  </si>
  <si>
    <t>Hostal Mindanao</t>
  </si>
  <si>
    <t>Hotel Del Lago</t>
  </si>
  <si>
    <t>Motel San Isidro</t>
  </si>
  <si>
    <t>PALACIO DE LA MAGDALENA HOTEL</t>
  </si>
  <si>
    <t>Hotel Termas Marinas el Palasie</t>
  </si>
  <si>
    <t>HOTEL TERRASSA PARK</t>
  </si>
  <si>
    <t>NH Amistad Cordoba</t>
  </si>
  <si>
    <t>TRAVELODGE TORRELAGUNA HOTEL</t>
  </si>
  <si>
    <t>Hotelli Vuolake</t>
  </si>
  <si>
    <t>Reyes Catolicos Hotel</t>
  </si>
  <si>
    <t>Airport Residence</t>
  </si>
  <si>
    <t>ARGOS HOTEL ANTALYA</t>
  </si>
  <si>
    <t>Odyssey Residence Suite Hotel</t>
  </si>
  <si>
    <t>Habesos Hotel</t>
  </si>
  <si>
    <t>Amanruya</t>
  </si>
  <si>
    <t>Hatay Antioch Hotel</t>
  </si>
  <si>
    <t>Izmir Center Ustun Hotel</t>
  </si>
  <si>
    <t>Taksim Life Hotel</t>
  </si>
  <si>
    <t>Es Baulo Petit Hotel</t>
  </si>
  <si>
    <t>PETIT PALACE ITALIA GRAN VIA HOTEL</t>
  </si>
  <si>
    <t>HJERTING BADEHOTEL</t>
  </si>
  <si>
    <t>Grand Hotel Central</t>
  </si>
  <si>
    <t>Fletcher Hotel Erenstein</t>
  </si>
  <si>
    <t>Hotel de Duif</t>
  </si>
  <si>
    <t>AALBORG HOTEL</t>
  </si>
  <si>
    <t>FLETCHER HOTEL DE GROTE ZWAAN</t>
  </si>
  <si>
    <t>Celal Sultan Hotel</t>
  </si>
  <si>
    <t>Grand Gebze Hotel</t>
  </si>
  <si>
    <t>Hotel Devran</t>
  </si>
  <si>
    <t>Europa Hotel</t>
  </si>
  <si>
    <t>FATAGA HOTEL</t>
  </si>
  <si>
    <t>Hotel Martha s Suite</t>
  </si>
  <si>
    <t>All Seasons Hotel Istanbul</t>
  </si>
  <si>
    <t>Aran la Abuela</t>
  </si>
  <si>
    <t>Nh Palacio De Santa Marta</t>
  </si>
  <si>
    <t>Parador de Monforte de Lemos</t>
  </si>
  <si>
    <t>Ribera Del Duero</t>
  </si>
  <si>
    <t>Pelinor</t>
  </si>
  <si>
    <t>Renasa</t>
  </si>
  <si>
    <t>Hoposa Bahia</t>
  </si>
  <si>
    <t>Sercotel Pintor El Greco</t>
  </si>
  <si>
    <t>VAN DER VALK HOTEL EMMEN</t>
  </si>
  <si>
    <t>Elegance East Hotel</t>
  </si>
  <si>
    <t>ISIS HOTEL</t>
  </si>
  <si>
    <t>Vincci Frontaura Hotel</t>
  </si>
  <si>
    <t>HOTEL CIUTADELLA BARCELONA</t>
  </si>
  <si>
    <t>Sercotel Amister</t>
  </si>
  <si>
    <t>Golden Savoy</t>
  </si>
  <si>
    <t>Cordial House Hotel</t>
  </si>
  <si>
    <t>Hotel Sultanhan Istanbul</t>
  </si>
  <si>
    <t>Ugur Hotel</t>
  </si>
  <si>
    <t>H10 Raco Del Pi</t>
  </si>
  <si>
    <t>Parador Canadas del Teide</t>
  </si>
  <si>
    <t>Lapland Hotels Kilpis</t>
  </si>
  <si>
    <t>Prestige Airport Hotel</t>
  </si>
  <si>
    <t>SERES HOTEL</t>
  </si>
  <si>
    <t>History Hotel</t>
  </si>
  <si>
    <t>Hotel Fatih</t>
  </si>
  <si>
    <t>HOSTAL EDEN</t>
  </si>
  <si>
    <t>PARADOR DE ARCOS DE LA FRONTERA</t>
  </si>
  <si>
    <t>HOTEL PHOENIX HJORRING</t>
  </si>
  <si>
    <t>Macakizi Hotel</t>
  </si>
  <si>
    <t>Aparthotel La Era Park</t>
  </si>
  <si>
    <t>Amrath Hotel Belvoir</t>
  </si>
  <si>
    <t>AC Hotel La Finca</t>
  </si>
  <si>
    <t>Cala Blanca</t>
  </si>
  <si>
    <t>HI  LOS DELFINES HOTEL</t>
  </si>
  <si>
    <t>ARSIMA HOTEL ISTANBUL</t>
  </si>
  <si>
    <t>Golden Crown Hotel</t>
  </si>
  <si>
    <t>Hotel Sisli</t>
  </si>
  <si>
    <t>Oldcity Viva Hotel</t>
  </si>
  <si>
    <t>Yavuz Hotel</t>
  </si>
  <si>
    <t>AC Hotel Ciudad de Toledo by Marriott</t>
  </si>
  <si>
    <t>BARCELO JEREZ MONTECASTILLO</t>
  </si>
  <si>
    <t>Hotel Carabela</t>
  </si>
  <si>
    <t>Hotel Escuela Santa Brigida</t>
  </si>
  <si>
    <t>THE PRAKTIK HOTEL</t>
  </si>
  <si>
    <t>EXE AMADOR DE LOS RIOS HOTEL</t>
  </si>
  <si>
    <t>Hotel Valdepalacios</t>
  </si>
  <si>
    <t>Hampshire Landgoed Stakenberg</t>
  </si>
  <si>
    <t>Van Der Valk Hotel Tiel</t>
  </si>
  <si>
    <t>Hotel Guadalupe</t>
  </si>
  <si>
    <t>Hotel Jimesol</t>
  </si>
  <si>
    <t>Agan Hotel</t>
  </si>
  <si>
    <t>AVANTGARDE HOTEL YALIKAVAK</t>
  </si>
  <si>
    <t>El Capi</t>
  </si>
  <si>
    <t>Hotel Tulip City Taksim</t>
  </si>
  <si>
    <t>Dronninglund Hotel</t>
  </si>
  <si>
    <t>Barcelo Estepona Thalasso Spa</t>
  </si>
  <si>
    <t>Bungalows El Palmeral</t>
  </si>
  <si>
    <t>Taba Luxury Suites</t>
  </si>
  <si>
    <t>The Albus</t>
  </si>
  <si>
    <t>Flectcher Hotel Rooland</t>
  </si>
  <si>
    <t>Turvan Hotel</t>
  </si>
  <si>
    <t>HOTEL KARAKAYA BURSA</t>
  </si>
  <si>
    <t>Dauro Hotel</t>
  </si>
  <si>
    <t>Hotel IGH Eliseos</t>
  </si>
  <si>
    <t>MIRADOR DEL MONCAYO HOTEL</t>
  </si>
  <si>
    <t>San Polo</t>
  </si>
  <si>
    <t>Maia Luxury Resort and Spa</t>
  </si>
  <si>
    <t>BEST WESTERN PLUS Hotel Haarhuis</t>
  </si>
  <si>
    <t>Aparthotel Castillo Antigua</t>
  </si>
  <si>
    <t>Flatotel International</t>
  </si>
  <si>
    <t>HOTEL EL CASTELL</t>
  </si>
  <si>
    <t>Hotel Roger De Lluria Barcelona</t>
  </si>
  <si>
    <t>Tulip Inn Oosterhout</t>
  </si>
  <si>
    <t>Buenavista</t>
  </si>
  <si>
    <t>Gran Talaso Hotel Sanxenxo</t>
  </si>
  <si>
    <t>Vita Santa Cruz</t>
  </si>
  <si>
    <t>Tourist Hotels Resorts Cappadoc</t>
  </si>
  <si>
    <t>Delta Hotel</t>
  </si>
  <si>
    <t>Golden Tulip Mastbosch Hotel Breda</t>
  </si>
  <si>
    <t>Hotel Mostar</t>
  </si>
  <si>
    <t>Sercotel Suites Viena</t>
  </si>
  <si>
    <t>Hotel Falster</t>
  </si>
  <si>
    <t>Grand Corner Hotel</t>
  </si>
  <si>
    <t>Hotel Dinastia</t>
  </si>
  <si>
    <t>Room Mate Larios</t>
  </si>
  <si>
    <t>Hotel West Ada Inn</t>
  </si>
  <si>
    <t>Campanile Amsterdam Zuidoost</t>
  </si>
  <si>
    <t>Gran Hotel Victoria</t>
  </si>
  <si>
    <t>Parador de Javea</t>
  </si>
  <si>
    <t>NH Sparrenhorst</t>
  </si>
  <si>
    <t>Allstar Grand Anzac Hotel</t>
  </si>
  <si>
    <t>Golden Tulip Lion D'Or</t>
  </si>
  <si>
    <t>Steyn Hotel and Apartments</t>
  </si>
  <si>
    <t>Koldinghallerne Kolding Sportel</t>
  </si>
  <si>
    <t>Campanile - Zevenaar Arnhem</t>
  </si>
  <si>
    <t>Golden Tulip Oosterhout</t>
  </si>
  <si>
    <t>Hotel ten Cate</t>
  </si>
  <si>
    <t>Confortel Romareda</t>
  </si>
  <si>
    <t>Hotel Cala Fornells</t>
  </si>
  <si>
    <t>NH Ciudad Real</t>
  </si>
  <si>
    <t>ANEMON CIGLI HOTEL</t>
  </si>
  <si>
    <t>PRINCESA MUNIA</t>
  </si>
  <si>
    <t>Cabanas Albufera</t>
  </si>
  <si>
    <t>Ankara Gordion Hotel</t>
  </si>
  <si>
    <t>Hotel Restaurant Oud London</t>
  </si>
  <si>
    <t>Holiday Inn Express Moerdijk</t>
  </si>
  <si>
    <t>Wittrup Motel</t>
  </si>
  <si>
    <t>Anemon Hotel Galata</t>
  </si>
  <si>
    <t>Guezel Izmir Hotel</t>
  </si>
  <si>
    <t>Hotel Pamphylia</t>
  </si>
  <si>
    <t>Nil Boutique Hotel</t>
  </si>
  <si>
    <t>Tutav Adalya Hotel</t>
  </si>
  <si>
    <t>Ibis Tilburg</t>
  </si>
  <si>
    <t>Club Cherry Hotel</t>
  </si>
  <si>
    <t>Grand Esentepe Otel</t>
  </si>
  <si>
    <t>Turquoise Resort Bodrum</t>
  </si>
  <si>
    <t>HOTELLI SEURAHUONE KOKKOLA</t>
  </si>
  <si>
    <t>Hampshire Parkzicht Eindhoven</t>
  </si>
  <si>
    <t>IMPERIO HOTEL</t>
  </si>
  <si>
    <t>Polen Hotel</t>
  </si>
  <si>
    <t>Mexico P R</t>
  </si>
  <si>
    <t>Flow Datca Surf Beach Hotel</t>
  </si>
  <si>
    <t>Istanbul Ersu Hotel</t>
  </si>
  <si>
    <t>Lion Hotel</t>
  </si>
  <si>
    <t>Hotel Zenit Abeba</t>
  </si>
  <si>
    <t>Hotel Zenit Conde De Orgaz</t>
  </si>
  <si>
    <t>Silken Rio Hotel</t>
  </si>
  <si>
    <t>Hotel Spa Villa de Alarcon</t>
  </si>
  <si>
    <t>Murta</t>
  </si>
  <si>
    <t>Hotel Vista Alegre</t>
  </si>
  <si>
    <t>Palacio De Santa Ines</t>
  </si>
  <si>
    <t>Hampton by Hilton Ordu</t>
  </si>
  <si>
    <t>Hotel Strandtangen</t>
  </si>
  <si>
    <t>Levent Hotel Istanbul</t>
  </si>
  <si>
    <t>El Cortijo De Los Mimbrales</t>
  </si>
  <si>
    <t>NH Practico</t>
  </si>
  <si>
    <t>Tudanca Aranda</t>
  </si>
  <si>
    <t>Hotel Skovly</t>
  </si>
  <si>
    <t>HOTEL SKANDIA</t>
  </si>
  <si>
    <t>Tulip Inn Leiderdorp</t>
  </si>
  <si>
    <t>Savoy Hotel</t>
  </si>
  <si>
    <t>Ermita</t>
  </si>
  <si>
    <t>Husa Gran Fama</t>
  </si>
  <si>
    <t>Silken Rona Dalba - Salamanca</t>
  </si>
  <si>
    <t>Bueyuek Avanos Oteli</t>
  </si>
  <si>
    <t>ECE Resort</t>
  </si>
  <si>
    <t>Hotel Arte</t>
  </si>
  <si>
    <t>Hotel Talat</t>
  </si>
  <si>
    <t>DOGA RESIDENCE HOTEL ANKARA</t>
  </si>
  <si>
    <t>Hampshire Hotel Wesseling</t>
  </si>
  <si>
    <t>NORRE VISSING KRO</t>
  </si>
  <si>
    <t>Maritime Hotel</t>
  </si>
  <si>
    <t>Venera Hotel</t>
  </si>
  <si>
    <t>Altinersan Hotel Altinkum</t>
  </si>
  <si>
    <t>Hostal San Lorenzo</t>
  </si>
  <si>
    <t>Aksel Hotel</t>
  </si>
  <si>
    <t>My House Boutique Hotel</t>
  </si>
  <si>
    <t>Apollo Hotel De Beyaerd</t>
  </si>
  <si>
    <t>Mercure Nijmegen Centre</t>
  </si>
  <si>
    <t>Mirador Hotel</t>
  </si>
  <si>
    <t>Bastion Hotel Leeuwarden</t>
  </si>
  <si>
    <t>Court Garden Hotel Ecodesigned</t>
  </si>
  <si>
    <t>Osaka Hotel</t>
  </si>
  <si>
    <t>Sevi Hotel Classic</t>
  </si>
  <si>
    <t>Club Del Carmen</t>
  </si>
  <si>
    <t>Hesperia Hermosilla</t>
  </si>
  <si>
    <t>CASA ROMANA HOTEL BOUTIQUE</t>
  </si>
  <si>
    <t>Posada del Dragon</t>
  </si>
  <si>
    <t>Rodosto Hotel</t>
  </si>
  <si>
    <t>Central Park Hotel</t>
  </si>
  <si>
    <t>Kuum Hotel Spa Bodrum</t>
  </si>
  <si>
    <t>SURA DESIGN HOTEL AND SUITES ISTANBUL</t>
  </si>
  <si>
    <t>Los Cantaros</t>
  </si>
  <si>
    <t>PARADOR DE VILLAFRANCA DEL BIERZO</t>
  </si>
  <si>
    <t>Zhero Hotel</t>
  </si>
  <si>
    <t>Hotel Varde</t>
  </si>
  <si>
    <t>ANEMON ANTAKYA HTL</t>
  </si>
  <si>
    <t>Asya Suite Hotel</t>
  </si>
  <si>
    <t>Blue House Hotel</t>
  </si>
  <si>
    <t>Gallery Residence and Boutique</t>
  </si>
  <si>
    <t>HI! Cala Vinas Apartamentos</t>
  </si>
  <si>
    <t>Lively Magaluf Adults only</t>
  </si>
  <si>
    <t>NH PALACIO DE OQUENDO</t>
  </si>
  <si>
    <t>Petit Palace Madrid Aeropuerto</t>
  </si>
  <si>
    <t>ArtDeco Istanbul Suites</t>
  </si>
  <si>
    <t>Hotel Tiffany</t>
  </si>
  <si>
    <t>TAMBOHUS KRO</t>
  </si>
  <si>
    <t>A QUINTA DA AUGA</t>
  </si>
  <si>
    <t>Hotel Citric Soller</t>
  </si>
  <si>
    <t>Hotel Don Diego</t>
  </si>
  <si>
    <t>METROPOL ROOMS MIRAFLORES</t>
  </si>
  <si>
    <t>Almadraba Park Hotel</t>
  </si>
  <si>
    <t>Hotel Europark</t>
  </si>
  <si>
    <t>Petit Palace Plaza Malaga</t>
  </si>
  <si>
    <t>Torresport SPA</t>
  </si>
  <si>
    <t>APARTAMENTOS DRAGOS DEL NORTE</t>
  </si>
  <si>
    <t>IBEROSTAR GRAND SALOME</t>
  </si>
  <si>
    <t>Innova Sultanahmet Istanbul</t>
  </si>
  <si>
    <t>Otel Gueleryuez</t>
  </si>
  <si>
    <t>Shamana Hotel and Spa</t>
  </si>
  <si>
    <t>Ottoman Hotel Imperial</t>
  </si>
  <si>
    <t>Eresin Crown Hotel</t>
  </si>
  <si>
    <t>Hotel Houston</t>
  </si>
  <si>
    <t>Omega Hotel</t>
  </si>
  <si>
    <t>Celuisma Marsol</t>
  </si>
  <si>
    <t>HACIENDA SANT JORDI GOLF RESORT</t>
  </si>
  <si>
    <t>Benna Hotel</t>
  </si>
  <si>
    <t>Flower Palace Hotel</t>
  </si>
  <si>
    <t>Tanik Hotel</t>
  </si>
  <si>
    <t>Budget Hotel Orange Tulip Hotel</t>
  </si>
  <si>
    <t>Bastion Amsterdam Noord</t>
  </si>
  <si>
    <t>hotel Aulum kro</t>
  </si>
  <si>
    <t>Mercure Groningen Martiniplaza</t>
  </si>
  <si>
    <t>Acevi Villaroel</t>
  </si>
  <si>
    <t>NH Ciutat de Reus</t>
  </si>
  <si>
    <t>Sagrada Familia</t>
  </si>
  <si>
    <t>TRH Baeza</t>
  </si>
  <si>
    <t>Ekin Hotel</t>
  </si>
  <si>
    <t>Historical Preferred Hotel</t>
  </si>
  <si>
    <t>Konak Hotel</t>
  </si>
  <si>
    <t>The Pera Hotel</t>
  </si>
  <si>
    <t>BEST WESTERN PLUS Hotel Kronjylland</t>
  </si>
  <si>
    <t>Prestige Residence Hotel</t>
  </si>
  <si>
    <t>Zagreb</t>
  </si>
  <si>
    <t>Petit Palace Arturo Soria Alcala</t>
  </si>
  <si>
    <t>Aspalace Hotel</t>
  </si>
  <si>
    <t>Odda Hotel</t>
  </si>
  <si>
    <t>THE CONSTANTINE HOTEL</t>
  </si>
  <si>
    <t>Zingaro Airport Hotel</t>
  </si>
  <si>
    <t>Hotel Puerto Azul</t>
  </si>
  <si>
    <t>HOTEL SPA ISABEL DE FARNESIO</t>
  </si>
  <si>
    <t>Zenit Calahorra</t>
  </si>
  <si>
    <t>Marya Hotel</t>
  </si>
  <si>
    <t>Maya Hotel</t>
  </si>
  <si>
    <t>FLETCHER HOTEL VELUWSE BOS</t>
  </si>
  <si>
    <t>Hotel Vistabella</t>
  </si>
  <si>
    <t>Catalonia Portal del Angel</t>
  </si>
  <si>
    <t>Barcelo Saray Hotel</t>
  </si>
  <si>
    <t>Hotel Dona Maria</t>
  </si>
  <si>
    <t>NH Tenerife</t>
  </si>
  <si>
    <t>RICE PALACIO DE LOS BLASONES</t>
  </si>
  <si>
    <t>Tryp Orly</t>
  </si>
  <si>
    <t>Almina Hotel Istanbul</t>
  </si>
  <si>
    <t>LAPLAND HOTEL YLLASKALTIO</t>
  </si>
  <si>
    <t>Hotel Hjallerup</t>
  </si>
  <si>
    <t>Danhostel Copenhagen Downtown</t>
  </si>
  <si>
    <t>FLETCHER HOTEL DE ZON</t>
  </si>
  <si>
    <t>APART HOTEL RANDWYCK</t>
  </si>
  <si>
    <t>Golden Tulip Hotel De Reiskoffer</t>
  </si>
  <si>
    <t>Hotel Truva</t>
  </si>
  <si>
    <t>The Best Nobel Hotel</t>
  </si>
  <si>
    <t>V GO Hotel Guesthouse</t>
  </si>
  <si>
    <t>VAN DER VALK HOTEL WOLVEGA</t>
  </si>
  <si>
    <t>Hotel Krapi</t>
  </si>
  <si>
    <t>HOTELLI YOEPUU</t>
  </si>
  <si>
    <t>Bilderberg Chateau Holtmuhle</t>
  </si>
  <si>
    <t>Espana Hotel</t>
  </si>
  <si>
    <t>Hotel Abat Cisneros</t>
  </si>
  <si>
    <t>SIDORME FIGUERES - DALI HOTEL</t>
  </si>
  <si>
    <t>Bonanova Suite</t>
  </si>
  <si>
    <t>Eurico</t>
  </si>
  <si>
    <t>Velic Countryside Hotel</t>
  </si>
  <si>
    <t>Nh Delta</t>
  </si>
  <si>
    <t>Ankara Madi Hotel</t>
  </si>
  <si>
    <t>Nh Atlantic Den Haag</t>
  </si>
  <si>
    <t>Cumulus Seinajoki</t>
  </si>
  <si>
    <t>Lapland Hotels Sky Ounasvaara</t>
  </si>
  <si>
    <t>BEST WESTERN Art Hotel Rotterdam</t>
  </si>
  <si>
    <t>Abdijhotel Rolduc</t>
  </si>
  <si>
    <t>Amrath Hotel Lapershoek</t>
  </si>
  <si>
    <t>BEST WESTERN Hotel de Naaldhof</t>
  </si>
  <si>
    <t>Fletcher Hotel Restaurant Carlton</t>
  </si>
  <si>
    <t>Highland Carlton Hotel</t>
  </si>
  <si>
    <t>Hotel Restaurant Casino De Nach</t>
  </si>
  <si>
    <t>HOTEL PRINS HENDRIK</t>
  </si>
  <si>
    <t>PILLOWS HOTEL</t>
  </si>
  <si>
    <t>Tulip Inn Franeker</t>
  </si>
  <si>
    <t>Barrio de Salamanca Suites</t>
  </si>
  <si>
    <t>Eco Alcala Suites</t>
  </si>
  <si>
    <t>Evenia Rocafort</t>
  </si>
  <si>
    <t>Antik Hotel ISTANBUL</t>
  </si>
  <si>
    <t>Hotel Tora</t>
  </si>
  <si>
    <t>Golden Tulip Leiden Centre</t>
  </si>
  <si>
    <t>Oz Safranbolu Hotel</t>
  </si>
  <si>
    <t>Uyan</t>
  </si>
  <si>
    <t>Rosy Apart Hotel</t>
  </si>
  <si>
    <t>Bronckhorst Hotel</t>
  </si>
  <si>
    <t>Hotel Sirimiri</t>
  </si>
  <si>
    <t>MOON HOTEL</t>
  </si>
  <si>
    <t>Vila de Muro</t>
  </si>
  <si>
    <t>MONTRA ODDER PARKHOTEL</t>
  </si>
  <si>
    <t>Hotel Hostal Marbella</t>
  </si>
  <si>
    <t>Hotel Saratoga</t>
  </si>
  <si>
    <t>METROPOL BY CARRIS</t>
  </si>
  <si>
    <t>Monasterio de San Clodio</t>
  </si>
  <si>
    <t>VILLA  SORO</t>
  </si>
  <si>
    <t>NH Palacio de Castellanos</t>
  </si>
  <si>
    <t>Angels Home Hotel</t>
  </si>
  <si>
    <t>Ascot Hotel Bueyuekada</t>
  </si>
  <si>
    <t>BIZ CEVAHIR HOTEL</t>
  </si>
  <si>
    <t>SENATUS HOTEL ISTANBUL</t>
  </si>
  <si>
    <t>LIMFJORDEN HOTEL</t>
  </si>
  <si>
    <t>Akman Apart Hotel</t>
  </si>
  <si>
    <t>Lausos Hotel Istanbul Center</t>
  </si>
  <si>
    <t>MUSEUM HOTEL</t>
  </si>
  <si>
    <t>My Hotel</t>
  </si>
  <si>
    <t>Suite Home Osmanbey</t>
  </si>
  <si>
    <t>Goekceada Soerf Egitim Merkezi</t>
  </si>
  <si>
    <t>EUROPA 92 AMSTERDAM</t>
  </si>
  <si>
    <t>KAYA MADRID HOTEL</t>
  </si>
  <si>
    <t>No 19 Hotel</t>
  </si>
  <si>
    <t>HOTEL RESTAURANTE CAMPOAMOR</t>
  </si>
  <si>
    <t>Aparthotel Calabria</t>
  </si>
  <si>
    <t>CAMPOMAR HOTEL</t>
  </si>
  <si>
    <t>Hotel Avenida de Espana</t>
  </si>
  <si>
    <t>Hotel del Val</t>
  </si>
  <si>
    <t>Onix Fira</t>
  </si>
  <si>
    <t>Principe Paz Hotel</t>
  </si>
  <si>
    <t>Hotel Vall de Bas</t>
  </si>
  <si>
    <t>Hotel Suizo</t>
  </si>
  <si>
    <t>Parador de Trujillo</t>
  </si>
  <si>
    <t>Kleopatra Aytur Apart Hotel</t>
  </si>
  <si>
    <t>Aktug Hotel</t>
  </si>
  <si>
    <t>Comfort Beige Hotel</t>
  </si>
  <si>
    <t>WES HOTEL IZMIT</t>
  </si>
  <si>
    <t>LA RESERVE</t>
  </si>
  <si>
    <t>Fletcher Hotel Burgh Haamstede</t>
  </si>
  <si>
    <t>Fletcher Hotel-Restaurant Heiloo</t>
  </si>
  <si>
    <t>The Poet  Amsterdam a TRYP by Wyndham hotel</t>
  </si>
  <si>
    <t>Hotel Zenit Murcia</t>
  </si>
  <si>
    <t>Husa Barcelona</t>
  </si>
  <si>
    <t>Ibis Alicante</t>
  </si>
  <si>
    <t>Van der Valk Hotel Dordrecht</t>
  </si>
  <si>
    <t>Apartamentos Santa Clara</t>
  </si>
  <si>
    <t>ANEMON HOTEL MARMARIS</t>
  </si>
  <si>
    <t>Hotel La Coma</t>
  </si>
  <si>
    <t>Atenea Hotel</t>
  </si>
  <si>
    <t>DunasAlisios Playa</t>
  </si>
  <si>
    <t>Hotel Santa Clara</t>
  </si>
  <si>
    <t>Hotel Tejuma</t>
  </si>
  <si>
    <t>HOTEL XUROY ALCAUFAR</t>
  </si>
  <si>
    <t>Paraiso Mar</t>
  </si>
  <si>
    <t>Torremirona Suites Vila Birdie</t>
  </si>
  <si>
    <t>TRITON HOTEL BENALMADENA</t>
  </si>
  <si>
    <t>VISTA BLANES HOTEL</t>
  </si>
  <si>
    <t>Fletcher Hotel Steenwijk</t>
  </si>
  <si>
    <t>Hotel Breitner</t>
  </si>
  <si>
    <t>Hotel Sultanahmet Palace</t>
  </si>
  <si>
    <t>Fletcher Hotel Eerbeek</t>
  </si>
  <si>
    <t>Grand Hotel Downtown</t>
  </si>
  <si>
    <t>Tulip Inn Mediapark Hilversum</t>
  </si>
  <si>
    <t>Salles Hotel and Spa Cala Del Pi</t>
  </si>
  <si>
    <t>BEST WESTERN Hotel Villa De Barajas</t>
  </si>
  <si>
    <t>Gran Derby Hotel</t>
  </si>
  <si>
    <t>Hotel Club Maritimo de Sotogrande</t>
  </si>
  <si>
    <t>NH Ourense</t>
  </si>
  <si>
    <t>Grand Hotel Amstelveen</t>
  </si>
  <si>
    <t>Airport Hotel Therme Maris Spa and Thermal</t>
  </si>
  <si>
    <t>CIUTAT DE BARCELONA HOTEL</t>
  </si>
  <si>
    <t>Parador de Aiguablava</t>
  </si>
  <si>
    <t>OSCAR HOTEL</t>
  </si>
  <si>
    <t>Aparthotel Africamar</t>
  </si>
  <si>
    <t>Hotel Inglaterra Barcelona</t>
  </si>
  <si>
    <t>VIK Club Coral Beach</t>
  </si>
  <si>
    <t>APARTHOTEL JADRINES DE ARISTI</t>
  </si>
  <si>
    <t>BEST WESTERN Hotel Vallonia</t>
  </si>
  <si>
    <t>Bastion Hotel Haarlem</t>
  </si>
  <si>
    <t>MEGA RESIDENCE HOTEL ANKARA</t>
  </si>
  <si>
    <t>Eresin Taxim Premier</t>
  </si>
  <si>
    <t>FLETCHER HOTEL HELLENDOORN</t>
  </si>
  <si>
    <t>HACIENDA SENORIO DE NEVADA</t>
  </si>
  <si>
    <t>Hotel Calderon</t>
  </si>
  <si>
    <t>Van der Valk Hotel den Haag Nootdorp</t>
  </si>
  <si>
    <t>Fletcher Hotel De Cooghen</t>
  </si>
  <si>
    <t>Wch Residentie Boschrijck</t>
  </si>
  <si>
    <t>Hotel Europa</t>
  </si>
  <si>
    <t>Aquarium Hotel</t>
  </si>
  <si>
    <t>Askin Hotel</t>
  </si>
  <si>
    <t>Meddusa Hotel</t>
  </si>
  <si>
    <t>Misafir Suites 8 Istanbul</t>
  </si>
  <si>
    <t>Sandton Malie Hotel</t>
  </si>
  <si>
    <t>And Hotel</t>
  </si>
  <si>
    <t>Bungalows Kiwi</t>
  </si>
  <si>
    <t>Hesperia Del Port</t>
  </si>
  <si>
    <t>Pozuelo</t>
  </si>
  <si>
    <t>San Millan</t>
  </si>
  <si>
    <t>BROBYVAERK KRO</t>
  </si>
  <si>
    <t>Asal Hotel</t>
  </si>
  <si>
    <t>Duru Family Otel</t>
  </si>
  <si>
    <t>Hotel Queen Ra</t>
  </si>
  <si>
    <t>Barcelo Puerto Castillo</t>
  </si>
  <si>
    <t>BEST WESTERN Hotel Las Sirenas</t>
  </si>
  <si>
    <t>Hotel Balneario Aguas de Caraba</t>
  </si>
  <si>
    <t>Hotel Montmelo</t>
  </si>
  <si>
    <t>Apparthotel Bommelje</t>
  </si>
  <si>
    <t>Bekdas Hotel</t>
  </si>
  <si>
    <t>Duquesa De Cardona</t>
  </si>
  <si>
    <t>FONTECRUZ TOLEDO</t>
  </si>
  <si>
    <t>Gobeo Park</t>
  </si>
  <si>
    <t>Hotel Guitart Grand Passage</t>
  </si>
  <si>
    <t>Hotel Luz</t>
  </si>
  <si>
    <t>Hotel Ponferrada Plaza</t>
  </si>
  <si>
    <t>HOTEL POSTGAARDEN</t>
  </si>
  <si>
    <t>BEST WESTERN Hotel Schaumburg</t>
  </si>
  <si>
    <t>Hotel Indigo Barcelona - Plaza Catalunya</t>
  </si>
  <si>
    <t>Hotel Indigo</t>
  </si>
  <si>
    <t>Kamer Hotel</t>
  </si>
  <si>
    <t>Velic Airport Hotel</t>
  </si>
  <si>
    <t>Grand Htl Voncken Hampshire</t>
  </si>
  <si>
    <t>Argentum Hotel</t>
  </si>
  <si>
    <t>Pak Hotel</t>
  </si>
  <si>
    <t>Sahara Hotel</t>
  </si>
  <si>
    <t>Gammel Havn Hotel</t>
  </si>
  <si>
    <t>HOTEL NORREVANG</t>
  </si>
  <si>
    <t>PERA ROSE HOTEL</t>
  </si>
  <si>
    <t>Spa Sport Hotel Zuiver</t>
  </si>
  <si>
    <t>CASTILLO DE GORRAIZ</t>
  </si>
  <si>
    <t>Banks Mansion</t>
  </si>
  <si>
    <t>Barin Hotel</t>
  </si>
  <si>
    <t>Canseven Hotel</t>
  </si>
  <si>
    <t>Abadia Retuerta Le Domaine</t>
  </si>
  <si>
    <t>Hotel Miraya</t>
  </si>
  <si>
    <t>Antis Hotel</t>
  </si>
  <si>
    <t>City Hotel</t>
  </si>
  <si>
    <t>Megara Hotel</t>
  </si>
  <si>
    <t>Otel Venus</t>
  </si>
  <si>
    <t>Atelya Art Hotel</t>
  </si>
  <si>
    <t>BALIN HOTEL</t>
  </si>
  <si>
    <t>PALACIO DE AIETE HOTEL</t>
  </si>
  <si>
    <t>PETIT PALACE EMBASSY SERRANO</t>
  </si>
  <si>
    <t>Cumulus Hyvinkaa</t>
  </si>
  <si>
    <t>SANTA CLAUS HOLIDAY VILLAGE</t>
  </si>
  <si>
    <t>HERLOV KRO HOTEL</t>
  </si>
  <si>
    <t>Hotel Ebeltoft Strand</t>
  </si>
  <si>
    <t>Chariot Hotel</t>
  </si>
  <si>
    <t>ALEXANDRA APARTHOTEL</t>
  </si>
  <si>
    <t>LAS TERRAZAS SUITES HOTEL</t>
  </si>
  <si>
    <t>Golden Tulip Weert</t>
  </si>
  <si>
    <t>Kruisherenhotel Maastricht</t>
  </si>
  <si>
    <t>Thermae 2000</t>
  </si>
  <si>
    <t>AGERSKOV KRO OG HOTEL</t>
  </si>
  <si>
    <t>Novotel Maastricht</t>
  </si>
  <si>
    <t>Hotel Boston</t>
  </si>
  <si>
    <t>Mas De Torrent</t>
  </si>
  <si>
    <t>Aparthotel Diamant Blue</t>
  </si>
  <si>
    <t>Hotel Carlos V</t>
  </si>
  <si>
    <t>HOTEL GOLF CAN RAFEL</t>
  </si>
  <si>
    <t>A Train Hotel</t>
  </si>
  <si>
    <t>Hotel Skanderborghus</t>
  </si>
  <si>
    <t>Tryp Montalvo</t>
  </si>
  <si>
    <t>Hotel JS Horitzo Can Picafort Spain</t>
  </si>
  <si>
    <t>Hotel Preciados</t>
  </si>
  <si>
    <t>VIME OCTAVIO</t>
  </si>
  <si>
    <t>Kasteel Essenburgh Hampshire</t>
  </si>
  <si>
    <t>WCH Residentie Vlierijck</t>
  </si>
  <si>
    <t>CITRIC HOTEL SOLLER</t>
  </si>
  <si>
    <t>H10 Catalunya Plaza</t>
  </si>
  <si>
    <t>Hotel Finisterre</t>
  </si>
  <si>
    <t>HOTEL MEDIO FREDERICIA</t>
  </si>
  <si>
    <t>Suite 33 Hotel</t>
  </si>
  <si>
    <t>BEST WESTERN Euro Hotel</t>
  </si>
  <si>
    <t>Fletcher Hotel Restaurant De Gelderse Poort</t>
  </si>
  <si>
    <t>Deniz Atlanta Hotel</t>
  </si>
  <si>
    <t>Hotel Sultania</t>
  </si>
  <si>
    <t>Moonlight Hotel</t>
  </si>
  <si>
    <t>Hotel New York</t>
  </si>
  <si>
    <t>Anadolu Hotel</t>
  </si>
  <si>
    <t>Avsar Otel</t>
  </si>
  <si>
    <t>MEGA RESIDENCE ISTANBUL HOTEL</t>
  </si>
  <si>
    <t>Sakli Goel Evleri</t>
  </si>
  <si>
    <t>Sesam Apart Otel</t>
  </si>
  <si>
    <t>Sude Konak Istanbul</t>
  </si>
  <si>
    <t>Tamara Residence Hotel</t>
  </si>
  <si>
    <t>Yesilkoy Pension Ataturk Airport</t>
  </si>
  <si>
    <t>LUSH  HOTEL</t>
  </si>
  <si>
    <t>City Hotel Residence</t>
  </si>
  <si>
    <t>Amrath Hotel Hazeldonk</t>
  </si>
  <si>
    <t>Estherea Hotel</t>
  </si>
  <si>
    <t>Hotel Aeropuerto Sur</t>
  </si>
  <si>
    <t>Hotel Gaudi</t>
  </si>
  <si>
    <t>NH Algeciras Suites</t>
  </si>
  <si>
    <t>Hotel Zeerust</t>
  </si>
  <si>
    <t>Mediterraneo Sitges</t>
  </si>
  <si>
    <t>NH Breton</t>
  </si>
  <si>
    <t>HOTEL RESTAURANT SEURAHOVI</t>
  </si>
  <si>
    <t>Hostal San Juan</t>
  </si>
  <si>
    <t>NYMINDEGAB KRO</t>
  </si>
  <si>
    <t>TYLSTRUP KRO</t>
  </si>
  <si>
    <t>Antalya Palace Airport Hotel</t>
  </si>
  <si>
    <t>Art Suites Bodrum</t>
  </si>
  <si>
    <t>Ast Group Hotel</t>
  </si>
  <si>
    <t>Hotel Historia</t>
  </si>
  <si>
    <t>Saint Sophia Hotel</t>
  </si>
  <si>
    <t>HOTEL WINSELERHOF</t>
  </si>
  <si>
    <t>Hotel Rural Sa Bassa Rotja</t>
  </si>
  <si>
    <t>VILLA DE MARIN</t>
  </si>
  <si>
    <t>Fletcher Hotel Elzenduin</t>
  </si>
  <si>
    <t>Arden Park Hotel</t>
  </si>
  <si>
    <t>Efsane Hotel</t>
  </si>
  <si>
    <t>Thomas ay Residence Hotel</t>
  </si>
  <si>
    <t>FLETCHER HOTEL VALKENBURG</t>
  </si>
  <si>
    <t>Hotel Adonis Capital</t>
  </si>
  <si>
    <t>HOTEL PLAYA CANYAMEL</t>
  </si>
  <si>
    <t>MEDITERRANEO HOTEL&amp;APARTMENT SITGES</t>
  </si>
  <si>
    <t>Onix Liceo</t>
  </si>
  <si>
    <t>Silken America Vigo Hotel</t>
  </si>
  <si>
    <t>Apartamentos Ferrera Beach</t>
  </si>
  <si>
    <t>Barcelo Oviedo Cervantes</t>
  </si>
  <si>
    <t>Globales De Los Reyes Hotel</t>
  </si>
  <si>
    <t>HOTEL PACOHE MURCIA</t>
  </si>
  <si>
    <t>NH Belagua</t>
  </si>
  <si>
    <t>Maltepe 2000 Hotel</t>
  </si>
  <si>
    <t>Megapole Hotel</t>
  </si>
  <si>
    <t>Diann Hotel Amsterdam</t>
  </si>
  <si>
    <t>Iron Horse Hotel</t>
  </si>
  <si>
    <t>CITY HOTELLI JAMSANUKKO</t>
  </si>
  <si>
    <t>Meripuisto</t>
  </si>
  <si>
    <t>Bastion Amsterdam Zuid West</t>
  </si>
  <si>
    <t>APARTAHOTEL COSTA TROPICAL</t>
  </si>
  <si>
    <t>Arcea Aldea Del Puente</t>
  </si>
  <si>
    <t>Boutique Hotel Sa Galera</t>
  </si>
  <si>
    <t>HLG TERRANOVA  HOTEL</t>
  </si>
  <si>
    <t>Hotel Euroruta</t>
  </si>
  <si>
    <t>Hotel La Quinta Roja</t>
  </si>
  <si>
    <t>HOTEL VISTA ALEGRE</t>
  </si>
  <si>
    <t>Ruta Jacobea</t>
  </si>
  <si>
    <t>SOL ALOHA PLAYA APARTHOTEL</t>
  </si>
  <si>
    <t>Ad Hoc Monumental</t>
  </si>
  <si>
    <t>H2 SALYMAR</t>
  </si>
  <si>
    <t>Hotel Francisco II</t>
  </si>
  <si>
    <t>Hotel Sevilla Vereda Real</t>
  </si>
  <si>
    <t>HOYUELA</t>
  </si>
  <si>
    <t>Hotel Orfila Relais and Chateau</t>
  </si>
  <si>
    <t>CENTRO HOTEL</t>
  </si>
  <si>
    <t>Hotel Abanico</t>
  </si>
  <si>
    <t>Ski Resort Dedeman Erciyes</t>
  </si>
  <si>
    <t>Hesperia Metropol</t>
  </si>
  <si>
    <t>IBIS VALLADOLID</t>
  </si>
  <si>
    <t>Faros Hotel Taksim</t>
  </si>
  <si>
    <t>Hotel Expocity Istanbul</t>
  </si>
  <si>
    <t>L1 Hotel Istanbul</t>
  </si>
  <si>
    <t>Luxury Suites Hotel</t>
  </si>
  <si>
    <t>Suite Prado</t>
  </si>
  <si>
    <t>Bilderberg Grand Hotel Wientjes</t>
  </si>
  <si>
    <t>Hotel Aeroe</t>
  </si>
  <si>
    <t>Naesbylund Kro and Hotel</t>
  </si>
  <si>
    <t>HOTEL EDEN MAR</t>
  </si>
  <si>
    <t>La Moraleja Hotel</t>
  </si>
  <si>
    <t>Hotel de Vassy</t>
  </si>
  <si>
    <t>Hotel Citymar Santa Cruz II</t>
  </si>
  <si>
    <t>Hotel Reveron Plaza</t>
  </si>
  <si>
    <t>Hotel Unico Madrid</t>
  </si>
  <si>
    <t>Elite Hotel Kucukyali</t>
  </si>
  <si>
    <t>Berenguer IV</t>
  </si>
  <si>
    <t>Hotel Solineu</t>
  </si>
  <si>
    <t>Parador de Cardona</t>
  </si>
  <si>
    <t>TRUCHA DE LA, HOTEL</t>
  </si>
  <si>
    <t>HOTEL PLAZA</t>
  </si>
  <si>
    <t>Club Antiphellos Kas</t>
  </si>
  <si>
    <t>Hotel Askin</t>
  </si>
  <si>
    <t>Hotel Kemal</t>
  </si>
  <si>
    <t>TaXim Suites Istanbul Centre</t>
  </si>
  <si>
    <t>Postillion Htl Utrecht Bunnik</t>
  </si>
  <si>
    <t>Van der Valk Hardergarijp</t>
  </si>
  <si>
    <t>Doubletree by Hilton International Seychelles-Allamanda</t>
  </si>
  <si>
    <t>Barcelo  La Bobadilla</t>
  </si>
  <si>
    <t>exe Eurostars Plaza Delicias</t>
  </si>
  <si>
    <t>Foxa Valladolid</t>
  </si>
  <si>
    <t>Hesperia Granada</t>
  </si>
  <si>
    <t>Hotel Sir Anthony Preferred Boutique</t>
  </si>
  <si>
    <t>Hotel Caria</t>
  </si>
  <si>
    <t>Hotel Koblenz</t>
  </si>
  <si>
    <t>SURBAN</t>
  </si>
  <si>
    <t>Hotel Sultan</t>
  </si>
  <si>
    <t>Kuesmez Hotel</t>
  </si>
  <si>
    <t>Pearl Hotel</t>
  </si>
  <si>
    <t>Tepe Hotel</t>
  </si>
  <si>
    <t>Daisy Residence Hotel</t>
  </si>
  <si>
    <t>Fatima Sultan Hotel</t>
  </si>
  <si>
    <t>Hotel Balo</t>
  </si>
  <si>
    <t>Armada Canalview Hotel Amsterdam</t>
  </si>
  <si>
    <t>King Hotel Amsterdam</t>
  </si>
  <si>
    <t>Kalinda Inn Hotel</t>
  </si>
  <si>
    <t>Tayhan</t>
  </si>
  <si>
    <t>Wassermann Hotel</t>
  </si>
  <si>
    <t>Hotel Loiu</t>
  </si>
  <si>
    <t>R Puente Romano</t>
  </si>
  <si>
    <t>San Cayetano Hotel</t>
  </si>
  <si>
    <t>Seckin Hotel</t>
  </si>
  <si>
    <t>Taxim Hill Hotel</t>
  </si>
  <si>
    <t>VOLLEY HOTEL ISTANBUL</t>
  </si>
  <si>
    <t>Midtown Hotel</t>
  </si>
  <si>
    <t>Panorama Health Club Hotel</t>
  </si>
  <si>
    <t>Golden Tulip Keyser Breda</t>
  </si>
  <si>
    <t>Zleep Hotel Ishoj</t>
  </si>
  <si>
    <t>Hotel Laanihovi</t>
  </si>
  <si>
    <t>GALATA ANTIQUE HOTEL</t>
  </si>
  <si>
    <t>Hotel Melita</t>
  </si>
  <si>
    <t>GRAN HOTEL SON NET</t>
  </si>
  <si>
    <t>Hotel Pinenhus</t>
  </si>
  <si>
    <t>Van der Valk Hotel's - Hertogenbosch - Vught</t>
  </si>
  <si>
    <t>ALCARRIA</t>
  </si>
  <si>
    <t>Hotel Villa Emilia</t>
  </si>
  <si>
    <t>Parador de Argomaniz</t>
  </si>
  <si>
    <t>Ap Turisticos Principe</t>
  </si>
  <si>
    <t>Hotel Denit Barcelona</t>
  </si>
  <si>
    <t>Hotel Roca</t>
  </si>
  <si>
    <t>Kanuni Kervansaray Hotel</t>
  </si>
  <si>
    <t>RAST BOUTIQUE HOTEL</t>
  </si>
  <si>
    <t>CAPPADOCIA CAVE RESORT   SPA</t>
  </si>
  <si>
    <t>ST BINDERUP KRO</t>
  </si>
  <si>
    <t>ROLD GL KRO</t>
  </si>
  <si>
    <t>Hotel Kasteel Terworm</t>
  </si>
  <si>
    <t>WestCord Hotel Salland</t>
  </si>
  <si>
    <t>OLIMPIYAT HOTEL</t>
  </si>
  <si>
    <t>Istanbul Palace Hotel</t>
  </si>
  <si>
    <t>Apartamentos Costamar</t>
  </si>
  <si>
    <t>Hotel La Enrea</t>
  </si>
  <si>
    <t>Hotel Las Rosas</t>
  </si>
  <si>
    <t>Cordoba Centro</t>
  </si>
  <si>
    <t>Sercotel Barcelona Living</t>
  </si>
  <si>
    <t>NH Sur</t>
  </si>
  <si>
    <t>PARADOR DE ALBACETE</t>
  </si>
  <si>
    <t>Hesperia Fira Suites</t>
  </si>
  <si>
    <t>PLAZA DEL CASTILLO</t>
  </si>
  <si>
    <t>Aparthotel Morasol Atlantico</t>
  </si>
  <si>
    <t>Hostal Villa Rosa</t>
  </si>
  <si>
    <t>HOTEL CISNEROS</t>
  </si>
  <si>
    <t>Alp Pasa Regency Suites</t>
  </si>
  <si>
    <t>Sirkeci Hotel Hurriyet</t>
  </si>
  <si>
    <t>Su Hotel</t>
  </si>
  <si>
    <t>Hotel Lince</t>
  </si>
  <si>
    <t>La Torre del Visco</t>
  </si>
  <si>
    <t>RELAIS AND CHATEAUX</t>
  </si>
  <si>
    <t>POSADA DEL LEON DE ORO</t>
  </si>
  <si>
    <t>BEST WESTERN Jorgensens Hotel</t>
  </si>
  <si>
    <t>Hotel Comillas</t>
  </si>
  <si>
    <t>Hotel Presidente</t>
  </si>
  <si>
    <t>Omeyas Hotel Los Omeyas</t>
  </si>
  <si>
    <t>Toboso Apar Turis</t>
  </si>
  <si>
    <t>Continental Barcelona</t>
  </si>
  <si>
    <t>Hostal Laris</t>
  </si>
  <si>
    <t>Finca Cortesin Hotel Golf and Spa</t>
  </si>
  <si>
    <t>Zenit Valencia</t>
  </si>
  <si>
    <t>Dalyan Hotel Palmyra</t>
  </si>
  <si>
    <t>El Vino Hotel Suites</t>
  </si>
  <si>
    <t>Kadikoy Zumrut Otel</t>
  </si>
  <si>
    <t>Taxim Suites Hotel</t>
  </si>
  <si>
    <t>Campanile Eindhoven</t>
  </si>
  <si>
    <t>Hotel JL No76</t>
  </si>
  <si>
    <t>Caro Hotel</t>
  </si>
  <si>
    <t>Flor Parks</t>
  </si>
  <si>
    <t>FRAGA DO EUME HOTEL</t>
  </si>
  <si>
    <t>HOSTAL ORLEANS</t>
  </si>
  <si>
    <t>Hostal Toledo</t>
  </si>
  <si>
    <t>LA CITY</t>
  </si>
  <si>
    <t>Red Lion Hotel</t>
  </si>
  <si>
    <t>Hotel Faber</t>
  </si>
  <si>
    <t>Albinas Hotel Old City</t>
  </si>
  <si>
    <t>7800 Cesme Residences and Hotel</t>
  </si>
  <si>
    <t>Ambassador Hotel</t>
  </si>
  <si>
    <t>Galata Hostel 2</t>
  </si>
  <si>
    <t>NH Plaza Mayor</t>
  </si>
  <si>
    <t>BEST WESTERN Slothotel Igesz</t>
  </si>
  <si>
    <t>Sandton Hotel de Schout</t>
  </si>
  <si>
    <t>Asena Otel</t>
  </si>
  <si>
    <t>Collage Pera Hotel</t>
  </si>
  <si>
    <t>Mood Design Suites Istanbul</t>
  </si>
  <si>
    <t>Noahs Ark Hotel</t>
  </si>
  <si>
    <t>Santa Ottoman Hotel</t>
  </si>
  <si>
    <t>Suite Home Hotel Istiklal</t>
  </si>
  <si>
    <t>Hotel Noordzee</t>
  </si>
  <si>
    <t>SALLINGSUND FAERGEKRO</t>
  </si>
  <si>
    <t>Montaverde Hotel Villas</t>
  </si>
  <si>
    <t>Hotel Juan Miguel</t>
  </si>
  <si>
    <t>Hotel Paral.lel</t>
  </si>
  <si>
    <t>Guelhane Park Hotel</t>
  </si>
  <si>
    <t>Irem Apart Hotel Marmaris</t>
  </si>
  <si>
    <t>Park 156 Hotel Istanbul Asia</t>
  </si>
  <si>
    <t>Hotel Amager</t>
  </si>
  <si>
    <t>Catalonia Port</t>
  </si>
  <si>
    <t>Reino De Granada</t>
  </si>
  <si>
    <t>SERCOTEL LOS NARANJOS</t>
  </si>
  <si>
    <t>Hotel Dux</t>
  </si>
  <si>
    <t>FLETCHER BADHOTEL NOORDWIJK</t>
  </si>
  <si>
    <t>Holiday Inn Express Utrecht-Papendor</t>
  </si>
  <si>
    <t>Hotel Dania Silkeborg</t>
  </si>
  <si>
    <t>Vissenbjerg Storkro</t>
  </si>
  <si>
    <t>Hotel Momento</t>
  </si>
  <si>
    <t>Bilderberg De Bovenste Molen Hotel</t>
  </si>
  <si>
    <t>Sandton Landgoedhotel Vennendal</t>
  </si>
  <si>
    <t>Fletcher Hotel Boschoord</t>
  </si>
  <si>
    <t>Hampshire Groningen Centre</t>
  </si>
  <si>
    <t>AC Palacio Del Retiro Autograph Collection</t>
  </si>
  <si>
    <t>As Hoteles Porta de Barcelona</t>
  </si>
  <si>
    <t>EL AGUILA HOTEL</t>
  </si>
  <si>
    <t>GRANDA HOTEL</t>
  </si>
  <si>
    <t>HOTEL ANDREAS</t>
  </si>
  <si>
    <t>Hotel J.Balmes</t>
  </si>
  <si>
    <t>Room Mate Lola</t>
  </si>
  <si>
    <t>Tibur</t>
  </si>
  <si>
    <t>AC Hotel Huelva</t>
  </si>
  <si>
    <t>AC Hotel Palencia</t>
  </si>
  <si>
    <t>Hesperia Areatza</t>
  </si>
  <si>
    <t>Hotel Abelux</t>
  </si>
  <si>
    <t>NH Califa</t>
  </si>
  <si>
    <t>PARADOR DE LIMPIAS</t>
  </si>
  <si>
    <t>Via Lusitana Hotel</t>
  </si>
  <si>
    <t>BAULO MAR APARTAMENTS</t>
  </si>
  <si>
    <t>BEST BENALMADENA HOTEL</t>
  </si>
  <si>
    <t>CORTIJO BRAVO</t>
  </si>
  <si>
    <t>HOTEL BETANIA</t>
  </si>
  <si>
    <t>Hotel Complejo Rural La Brujita</t>
  </si>
  <si>
    <t>Hotel Glasgow</t>
  </si>
  <si>
    <t>HOTEL SKORPIOS</t>
  </si>
  <si>
    <t>LA PIRAMIDE HOTEL</t>
  </si>
  <si>
    <t>Nanda Hotel</t>
  </si>
  <si>
    <t>TORRE DE SILA</t>
  </si>
  <si>
    <t>Hampshire Beethoven</t>
  </si>
  <si>
    <t>Hotel Van Gogh</t>
  </si>
  <si>
    <t>Apartamentos Au Habitat Zaragoz</t>
  </si>
  <si>
    <t>MENCIA SUBBETICA HOTEL</t>
  </si>
  <si>
    <t>KUMKAPI KONAGI</t>
  </si>
  <si>
    <t>Panorama Hotel Rilican</t>
  </si>
  <si>
    <t>Mercure Utrecht Nieuwegein</t>
  </si>
  <si>
    <t>Prominent Inn Hotel</t>
  </si>
  <si>
    <t>CHRISTIES SDR HOSTRUP KRO</t>
  </si>
  <si>
    <t>Alkoclar Uludag</t>
  </si>
  <si>
    <t>Hacienda Zorita Wine Hotel Spa</t>
  </si>
  <si>
    <t>Onix Rambla</t>
  </si>
  <si>
    <t>Parador de Gijon</t>
  </si>
  <si>
    <t>Parador de Melilla</t>
  </si>
  <si>
    <t>Petit Palace Plaza del Carmen</t>
  </si>
  <si>
    <t>Sercotel Zurbaran</t>
  </si>
  <si>
    <t>Hotel Nurmeshovi</t>
  </si>
  <si>
    <t>Ana Maria</t>
  </si>
  <si>
    <t>HOTEL CRISTAL I</t>
  </si>
  <si>
    <t>GALATA LA BELLA</t>
  </si>
  <si>
    <t>BEST WESTERN Hotel Mediterraneo</t>
  </si>
  <si>
    <t>Hotel Gran Sol</t>
  </si>
  <si>
    <t>Hotel Lima</t>
  </si>
  <si>
    <t>Ibis Madrid Centro</t>
  </si>
  <si>
    <t>Olimpiyat Otel Izmir</t>
  </si>
  <si>
    <t>Sedative Boutique Hotel Spa</t>
  </si>
  <si>
    <t>GRAVINA CINCO</t>
  </si>
  <si>
    <t>Hotel Don Benito</t>
  </si>
  <si>
    <t>Torralbenc</t>
  </si>
  <si>
    <t>Albatros Premier hotel</t>
  </si>
  <si>
    <t>Diamore Hotel</t>
  </si>
  <si>
    <t>FIVE BOUTIQUE HOTEL</t>
  </si>
  <si>
    <t>Hotel Ishak Pasa Konagi</t>
  </si>
  <si>
    <t>Hera Suites</t>
  </si>
  <si>
    <t>GJERRILD KRO</t>
  </si>
  <si>
    <t>Victorie Hotel</t>
  </si>
  <si>
    <t>Fletcher Hotel Gilde</t>
  </si>
  <si>
    <t>ANKARA HOTEL MIDI</t>
  </si>
  <si>
    <t>Golden Horn Sirkeci</t>
  </si>
  <si>
    <t>Hotel Cort</t>
  </si>
  <si>
    <t>Puerta De Las Granadas</t>
  </si>
  <si>
    <t>POSADA DE PALACIO</t>
  </si>
  <si>
    <t>Hilton Royal Parc Soestduinen</t>
  </si>
  <si>
    <t>Bilderberg Hotel Jan Luyken</t>
  </si>
  <si>
    <t>Tulip Inn Maastricht Aachen Airport</t>
  </si>
  <si>
    <t>Arden City Hotel</t>
  </si>
  <si>
    <t>Mesa Suite Hotel</t>
  </si>
  <si>
    <t>Raymond Hotel Sultanahmet</t>
  </si>
  <si>
    <t>HOTEL THINGGAARD</t>
  </si>
  <si>
    <t>Parador de Mazagon</t>
  </si>
  <si>
    <t>THB Bahia</t>
  </si>
  <si>
    <t>Tryp Salamanca</t>
  </si>
  <si>
    <t>ZENIT IMPERIAL</t>
  </si>
  <si>
    <t>NIMB HOTEL</t>
  </si>
  <si>
    <t>PRINSEN HOTEL AALBORG</t>
  </si>
  <si>
    <t>Hotel Saba Sultan</t>
  </si>
  <si>
    <t>Sirinler Pansiyon</t>
  </si>
  <si>
    <t>AKO SUITE</t>
  </si>
  <si>
    <t>CIUDAD DE CANGAS DE ONIS</t>
  </si>
  <si>
    <t>HOTEL PLAZA ALAQUAS</t>
  </si>
  <si>
    <t>HOTEL TORREHOGAR</t>
  </si>
  <si>
    <t>SAN GIL</t>
  </si>
  <si>
    <t>Damlatas Elegant Apartments</t>
  </si>
  <si>
    <t>Lara Hotel</t>
  </si>
  <si>
    <t>Amadi Park Hotel</t>
  </si>
  <si>
    <t>Alfonso VIII</t>
  </si>
  <si>
    <t>BEST WESTERN Hotel Dauro II</t>
  </si>
  <si>
    <t>Century Park</t>
  </si>
  <si>
    <t>MIRAMAR BADALONA HOTEL</t>
  </si>
  <si>
    <t>PARADOR DE VILALBA</t>
  </si>
  <si>
    <t>Hampshire Mijdrecht</t>
  </si>
  <si>
    <t>TYRSTRUP KRO</t>
  </si>
  <si>
    <t>BEST WESTERN Hotel Samantta</t>
  </si>
  <si>
    <t>BEST WESTERN Hotel De Rustende Jager</t>
  </si>
  <si>
    <t>Fletcher Hotel De Borken</t>
  </si>
  <si>
    <t>Fletcher Hotel Zeegser Duinen</t>
  </si>
  <si>
    <t>HOTEL ADLON</t>
  </si>
  <si>
    <t>Hotel Fahri</t>
  </si>
  <si>
    <t>Hotellino Istanbul</t>
  </si>
  <si>
    <t>Sarnic Premier Hotel</t>
  </si>
  <si>
    <t>Eurowest</t>
  </si>
  <si>
    <t>HOTEL LOS AGUSTINOS</t>
  </si>
  <si>
    <t>Hotel Spa Norat O Grove</t>
  </si>
  <si>
    <t>Agora Konak Saray Hotel</t>
  </si>
  <si>
    <t>Antikhan Otel</t>
  </si>
  <si>
    <t>Solmaz Deluxe Hotel</t>
  </si>
  <si>
    <t>Suzak Residence Hotel</t>
  </si>
  <si>
    <t>Uestuen Otel Alsancak</t>
  </si>
  <si>
    <t>Mookerheide Hampshire Classic</t>
  </si>
  <si>
    <t>THE HOUSE HOTEL BOSPHORUS</t>
  </si>
  <si>
    <t>Abadia Hotel</t>
  </si>
  <si>
    <t>Hosteria Real de Zamora</t>
  </si>
  <si>
    <t>Hotel Gastronomico Boa Vista</t>
  </si>
  <si>
    <t>Hotel Moron</t>
  </si>
  <si>
    <t>Bilgin Hotel</t>
  </si>
  <si>
    <t>Hotel Metur</t>
  </si>
  <si>
    <t>Yeni Hostel</t>
  </si>
  <si>
    <t>Apartaments Casinomar</t>
  </si>
  <si>
    <t>HOTEL DUQUESA PLAYA</t>
  </si>
  <si>
    <t>Apartamentos Teneguia</t>
  </si>
  <si>
    <t>CAN XIQUET</t>
  </si>
  <si>
    <t>LA POSADA DE EL CHAFLAN</t>
  </si>
  <si>
    <t>FLETCHER HOTEL ERICA</t>
  </si>
  <si>
    <t>Fletcher Hotel-Restaurant de Witte Brug</t>
  </si>
  <si>
    <t>La Villa</t>
  </si>
  <si>
    <t>Old City Hotel Sultanahmet</t>
  </si>
  <si>
    <t>Sunny Garden Nilufer Hotel</t>
  </si>
  <si>
    <t>El Castell De Ciutat</t>
  </si>
  <si>
    <t>HOSTAL DEL SENGLAR</t>
  </si>
  <si>
    <t>HOTEL MIRADOR DE MONTORO</t>
  </si>
  <si>
    <t>Hotel Valsequillo</t>
  </si>
  <si>
    <t>HRC Hotel</t>
  </si>
  <si>
    <t>LOS ENEBRALES RESORT AND SPA</t>
  </si>
  <si>
    <t>THE LIVING ROOF HOSTEL MADRID</t>
  </si>
  <si>
    <t>Otel Yelkenkaya</t>
  </si>
  <si>
    <t>SANDEN BJERGGAARD HOTEL</t>
  </si>
  <si>
    <t>4 Reasons Hotel and Bistro</t>
  </si>
  <si>
    <t>ARMADA ISTANBUL PERA HOTEL</t>
  </si>
  <si>
    <t>Baran Residence Hotel Airport</t>
  </si>
  <si>
    <t>ESKIDJI SUITES HOTEL ISTANBUL</t>
  </si>
  <si>
    <t>Hotel Castello di Akyarlar</t>
  </si>
  <si>
    <t>Hunnap Han Hotel</t>
  </si>
  <si>
    <t>Saylam Suites</t>
  </si>
  <si>
    <t>HOTEL EMBARCADERO</t>
  </si>
  <si>
    <t>Zerbinetta</t>
  </si>
  <si>
    <t>Akdeniz Apart Hotel</t>
  </si>
  <si>
    <t>Fors Hotel</t>
  </si>
  <si>
    <t>Olympos Life Hotel</t>
  </si>
  <si>
    <t>Panorama Hotel Bodrum</t>
  </si>
  <si>
    <t>Kokkedal Slot</t>
  </si>
  <si>
    <t>HOTEL GUADALMEDINA</t>
  </si>
  <si>
    <t>Van der Valk Wieringermeer</t>
  </si>
  <si>
    <t>Yacht Boutique Hotel</t>
  </si>
  <si>
    <t>Kasmarin Hotel</t>
  </si>
  <si>
    <t>MARINA RESIDENCE</t>
  </si>
  <si>
    <t>Obelisk Hotel</t>
  </si>
  <si>
    <t>Duin &amp; Kruidberg Country Estate</t>
  </si>
  <si>
    <t>5 Islas</t>
  </si>
  <si>
    <t>GENARES RESRV SVC</t>
  </si>
  <si>
    <t>Chic and Basic Born</t>
  </si>
  <si>
    <t>Sacromonte</t>
  </si>
  <si>
    <t>Hotel los Nogales</t>
  </si>
  <si>
    <t>Hotel San Blas</t>
  </si>
  <si>
    <t>Adamar Hotel</t>
  </si>
  <si>
    <t>Hotel Sen Palas</t>
  </si>
  <si>
    <t>abba Santander Hotel</t>
  </si>
  <si>
    <t>HOTEL FJALAR - SALO</t>
  </si>
  <si>
    <t>Club Capa Hotel</t>
  </si>
  <si>
    <t>GALATA RESIDENCE HOTEL</t>
  </si>
  <si>
    <t>Ninova Pension</t>
  </si>
  <si>
    <t>Hampshire Hotel - Zuid-Drenthe</t>
  </si>
  <si>
    <t>HOTEL THISTED</t>
  </si>
  <si>
    <t>ITC Hotel</t>
  </si>
  <si>
    <t>Bastion Hotel Heerlen</t>
  </si>
  <si>
    <t>Hotel Coen Delft</t>
  </si>
  <si>
    <t>Hotel Het Arresthuis</t>
  </si>
  <si>
    <t>Grand Durmaz Hotel</t>
  </si>
  <si>
    <t>Rhisos Hotels Bostanci</t>
  </si>
  <si>
    <t>LICEO HOTEL</t>
  </si>
  <si>
    <t>Parador de Verin</t>
  </si>
  <si>
    <t>Agora Life Hotel</t>
  </si>
  <si>
    <t>Aruna Hotel Spa Health Center</t>
  </si>
  <si>
    <t>Blue Istanbul Hotel</t>
  </si>
  <si>
    <t>Galata Flats</t>
  </si>
  <si>
    <t>Mar Hotel</t>
  </si>
  <si>
    <t>Oemer Hayyam Palace</t>
  </si>
  <si>
    <t>Otel Twenty</t>
  </si>
  <si>
    <t>Hotel Lope De Vega</t>
  </si>
  <si>
    <t>FALKEN HOTEL</t>
  </si>
  <si>
    <t>LASBY KRO</t>
  </si>
  <si>
    <t>Hampshire Hotel s Gravenhof</t>
  </si>
  <si>
    <t>APPLE INN HOTEL</t>
  </si>
  <si>
    <t>HOTEL DE KORENAER</t>
  </si>
  <si>
    <t>Hotel Johannes Vermeer Delft</t>
  </si>
  <si>
    <t>Vijaya Hotel Amsterdam</t>
  </si>
  <si>
    <t>BEST WESTERN City Hotel Goderie</t>
  </si>
  <si>
    <t>Campanile - Rotterdam Oost</t>
  </si>
  <si>
    <t>Fletcher Hotel-Restaurant Scheperskamp</t>
  </si>
  <si>
    <t>ABADES GUADIX</t>
  </si>
  <si>
    <t>Sixtytwo Hotel</t>
  </si>
  <si>
    <t>Hostal Amistad</t>
  </si>
  <si>
    <t>Fletcher Hotel De Kempen</t>
  </si>
  <si>
    <t>HOTEL AVENIDA</t>
  </si>
  <si>
    <t>The Purple Hostel by Ibiza Feeling</t>
  </si>
  <si>
    <t>Bern Hotel</t>
  </si>
  <si>
    <t>Goesterisli Otel</t>
  </si>
  <si>
    <t>Grand Merin Formula 1 Hotel</t>
  </si>
  <si>
    <t>Vesta Izmir Center Hotel</t>
  </si>
  <si>
    <t>Yildiz Hotel</t>
  </si>
  <si>
    <t>Ampuria Inn Hotel</t>
  </si>
  <si>
    <t>Grupotel Aldea CalaN Bosch</t>
  </si>
  <si>
    <t>Grupotel Club Turquesa Mar</t>
  </si>
  <si>
    <t>HOTEL CAP NEGRET</t>
  </si>
  <si>
    <t>HOTEL CATEDRAL ALMERIA</t>
  </si>
  <si>
    <t>Hotel Marina Turquesa Luxury Su</t>
  </si>
  <si>
    <t>HOTEL RH SOL</t>
  </si>
  <si>
    <t>HOTEL VILLA DE ADEJE BEACH</t>
  </si>
  <si>
    <t>HOTEL VILLA REAL</t>
  </si>
  <si>
    <t>PALIA LA ROCA HOTEL-CLUB</t>
  </si>
  <si>
    <t>FAREVEJLE GOLF HOTEL</t>
  </si>
  <si>
    <t>KORNING KRO</t>
  </si>
  <si>
    <t>Skovshoved Hotel</t>
  </si>
  <si>
    <t>Hampshire Htl Holthurnsche Hof</t>
  </si>
  <si>
    <t>Bentley Hotel</t>
  </si>
  <si>
    <t>Mithat Hotel</t>
  </si>
  <si>
    <t>Princess Artemisia Boutique Hotel</t>
  </si>
  <si>
    <t>The Byzantium Hotel and Suites</t>
  </si>
  <si>
    <t>AMALTEA HOTEL SPA</t>
  </si>
  <si>
    <t>Hesperia Ciutat Mallorca</t>
  </si>
  <si>
    <t>Hotel Isla Canela Golf</t>
  </si>
  <si>
    <t>HOSPES VILLA PAULITA</t>
  </si>
  <si>
    <t>Parador de Ferrol</t>
  </si>
  <si>
    <t>Hotel Forest Park</t>
  </si>
  <si>
    <t>Pasha Apart Hotel</t>
  </si>
  <si>
    <t>Republika Academic Aparts Bueyu</t>
  </si>
  <si>
    <t>Hotel Aldama Golf</t>
  </si>
  <si>
    <t>Hotel La Malvasia</t>
  </si>
  <si>
    <t>BEST WESTERN City Hotel Leiden</t>
  </si>
  <si>
    <t>City Hotel Odense</t>
  </si>
  <si>
    <t>Aparthotel Florasol</t>
  </si>
  <si>
    <t>Hotel Alcadima</t>
  </si>
  <si>
    <t>Sercotel Pazo do Rio</t>
  </si>
  <si>
    <t>BC Hotel</t>
  </si>
  <si>
    <t>Kaktues Apart Hotel</t>
  </si>
  <si>
    <t>HOTEL DEGERBY</t>
  </si>
  <si>
    <t>Hampshire Hof van Gelre</t>
  </si>
  <si>
    <t>Fontana Hotel Rantakalla</t>
  </si>
  <si>
    <t>CIUDAD DE ALCANIZ</t>
  </si>
  <si>
    <t>Hotel Macia Plaza</t>
  </si>
  <si>
    <t>Saylu</t>
  </si>
  <si>
    <t>Hotel Birkerod</t>
  </si>
  <si>
    <t>BEST WESTERN Hotel Carlton</t>
  </si>
  <si>
    <t>Hotel De Beer</t>
  </si>
  <si>
    <t>Atlas Hotel</t>
  </si>
  <si>
    <t>BEST WESTERN Amber Hotel</t>
  </si>
  <si>
    <t>Hotel Beyaz Melek</t>
  </si>
  <si>
    <t>Atlantis Hotel</t>
  </si>
  <si>
    <t>Promise Hotel</t>
  </si>
  <si>
    <t>Stone Hotel Istanbul</t>
  </si>
  <si>
    <t>Fletcher Hotel Bosrijk</t>
  </si>
  <si>
    <t>Chateau De Feuilles</t>
  </si>
  <si>
    <t>Uemit Hotel</t>
  </si>
  <si>
    <t>Hotel Zonne</t>
  </si>
  <si>
    <t>Sebel Hotel</t>
  </si>
  <si>
    <t>HOTEL AMALFI</t>
  </si>
  <si>
    <t>Hotel Continental Palacete</t>
  </si>
  <si>
    <t>Auberge de Papenberg</t>
  </si>
  <si>
    <t>Laleli Gonen Hotel</t>
  </si>
  <si>
    <t>Sorriso Hotel</t>
  </si>
  <si>
    <t>Christian Iv Hotel</t>
  </si>
  <si>
    <t>VINCCI SELECCION ALEYSA HOTEL B &amp; SPA</t>
  </si>
  <si>
    <t>Emporium Hotel Istanbul</t>
  </si>
  <si>
    <t>Sembol Hotel</t>
  </si>
  <si>
    <t>Sevi Life Hotel</t>
  </si>
  <si>
    <t>Noordzee</t>
  </si>
  <si>
    <t>Bed Breakfast Naranjo</t>
  </si>
  <si>
    <t>HOTEL GASTRONOMICO ECHAURREN</t>
  </si>
  <si>
    <t>Hotel Sant Roc</t>
  </si>
  <si>
    <t>Hotel Spa Villalba</t>
  </si>
  <si>
    <t>Qbic Hotel Amsterdam WTC</t>
  </si>
  <si>
    <t>Top Eurohotel Centrum</t>
  </si>
  <si>
    <t>Hotel City Express Covadonga</t>
  </si>
  <si>
    <t>HOTEL DOMO - VILAFRANCA DEL PENEDES</t>
  </si>
  <si>
    <t>Petit Palace Bristol Valencia Hotel</t>
  </si>
  <si>
    <t>Sercotel Spa Jardines De Lorca</t>
  </si>
  <si>
    <t>Sercotel Villa Engracia Hotel Rural</t>
  </si>
  <si>
    <t>Husa Tres Torres</t>
  </si>
  <si>
    <t>Petit Palace Cliper Gran Via</t>
  </si>
  <si>
    <t>Pirineos</t>
  </si>
  <si>
    <t>Hotel Fehmi Bey</t>
  </si>
  <si>
    <t>Casa Dell Arte Hotel Residence</t>
  </si>
  <si>
    <t>Limak Thermal Boutique Hotel</t>
  </si>
  <si>
    <t>ATRIO Restaurante Hotel</t>
  </si>
  <si>
    <t>Hostal San Antonio</t>
  </si>
  <si>
    <t>WestCord Hotel Schylge Terschel</t>
  </si>
  <si>
    <t>Golden Tulip West Ende</t>
  </si>
  <si>
    <t>Ada Home</t>
  </si>
  <si>
    <t>Adora Hotel</t>
  </si>
  <si>
    <t>Mini Hotel</t>
  </si>
  <si>
    <t>Selcuklu Evi Boutique Hotel</t>
  </si>
  <si>
    <t>Hostal Pizarro</t>
  </si>
  <si>
    <t>HOTEL ARTRIP</t>
  </si>
  <si>
    <t>BREDAL KRO</t>
  </si>
  <si>
    <t>Hampshire Churchill Terneuzen</t>
  </si>
  <si>
    <t>Hampshire Hotel- Paping Ommen</t>
  </si>
  <si>
    <t>COSO VIEJO</t>
  </si>
  <si>
    <t>Petit Palace Tamarises</t>
  </si>
  <si>
    <t>Hildegard Hotel</t>
  </si>
  <si>
    <t>Hotel Guelec</t>
  </si>
  <si>
    <t>Melek Apart Hotel Fethiye</t>
  </si>
  <si>
    <t>Hotel Nazar Garden Aqua Park</t>
  </si>
  <si>
    <t>Hacienda de San Rafael</t>
  </si>
  <si>
    <t>Basilica Hotel</t>
  </si>
  <si>
    <t>Datca Villa Asina</t>
  </si>
  <si>
    <t>La Capria Suite Hotel</t>
  </si>
  <si>
    <t>Tomtom Suites The Old Franciscan House</t>
  </si>
  <si>
    <t>Yesilkoy Airport Boutique Hotel</t>
  </si>
  <si>
    <t>Casas de Parauta</t>
  </si>
  <si>
    <t>Hotel Espresso City Center</t>
  </si>
  <si>
    <t>NH Best</t>
  </si>
  <si>
    <t>Hilton Seychelles Northolme Resort and Spa</t>
  </si>
  <si>
    <t>HOTEL PAZO LOS ESCUDOS HOTEL AND SPA RESORT</t>
  </si>
  <si>
    <t>Fletcher Hotel Spaarnwoude</t>
  </si>
  <si>
    <t>Paleis Hotel</t>
  </si>
  <si>
    <t>Apartmentos Internacional</t>
  </si>
  <si>
    <t>El Jardin De La Abadia</t>
  </si>
  <si>
    <t>exe HOTEL M</t>
  </si>
  <si>
    <t>Aterna Hotel</t>
  </si>
  <si>
    <t>BEST WESTERN PREMIER Regency Suites Hotel-Spa</t>
  </si>
  <si>
    <t>Blue Sea Garden</t>
  </si>
  <si>
    <t>Erten Konak Hotel</t>
  </si>
  <si>
    <t>Kamer Motel</t>
  </si>
  <si>
    <t>Vica Palace Hotel</t>
  </si>
  <si>
    <t>Hotel Hacienda La Laguna</t>
  </si>
  <si>
    <t>FLETCHER HOTEL EGMOND AAN ZEE</t>
  </si>
  <si>
    <t>Bertiz Bozcaada</t>
  </si>
  <si>
    <t>Club Caravanserail</t>
  </si>
  <si>
    <t>HOTEL CLUB BARBAROSSA</t>
  </si>
  <si>
    <t>Hotel Imga</t>
  </si>
  <si>
    <t>Seahorse Deluxe Hotel Residence</t>
  </si>
  <si>
    <t>Selay Hotel</t>
  </si>
  <si>
    <t>Bilderberg Hotel De Keizerskroon</t>
  </si>
  <si>
    <t>Estudiotel Alicante</t>
  </si>
  <si>
    <t>FONTECRUZ SEVILLA</t>
  </si>
  <si>
    <t>INDIAN OCEAN LODGE</t>
  </si>
  <si>
    <t>Hotel and Restaurant De Arendshoeve</t>
  </si>
  <si>
    <t>FLETCHER HOTEL ZUIDERDUIN</t>
  </si>
  <si>
    <t>Apartamentos Mur Mar</t>
  </si>
  <si>
    <t>Hotel Albaida Nature</t>
  </si>
  <si>
    <t>Hotel Naranjo de Bulnes</t>
  </si>
  <si>
    <t>PALACIO SAN FACUNDO</t>
  </si>
  <si>
    <t>Sophiendal Gods</t>
  </si>
  <si>
    <t>NH Orus</t>
  </si>
  <si>
    <t>BEST WESTERN Hotel Ikibin-2000</t>
  </si>
  <si>
    <t>Court Hotel City Centre Utrecht</t>
  </si>
  <si>
    <t>Hotel Sint Nicolaas</t>
  </si>
  <si>
    <t>HOTEL DAMRAK INN</t>
  </si>
  <si>
    <t>In den Hoof</t>
  </si>
  <si>
    <t>Emos Hotel</t>
  </si>
  <si>
    <t>Hotel Baylan</t>
  </si>
  <si>
    <t>Hotel Broken Column</t>
  </si>
  <si>
    <t>Mervehan Residence</t>
  </si>
  <si>
    <t>Paradise Hotel</t>
  </si>
  <si>
    <t>Seven Stars Exclusive Hotel</t>
  </si>
  <si>
    <t>Vatan Izmir Center Hotel</t>
  </si>
  <si>
    <t>Hotel Des Indes The Hague</t>
  </si>
  <si>
    <t>Tulip Inn Rotterdam</t>
  </si>
  <si>
    <t>Biz Cevahir Hotel Sultanahmet</t>
  </si>
  <si>
    <t>Kozan Hotel</t>
  </si>
  <si>
    <t>Hotel Grand Liza</t>
  </si>
  <si>
    <t>FLETCHER HOTEL HEIDEHOF</t>
  </si>
  <si>
    <t>Amadore Grand Hotel Arion</t>
  </si>
  <si>
    <t>Bastion Hotel Rotterdam Briell</t>
  </si>
  <si>
    <t>40 FLATS CIUDAD DE LAS CIENCIAS</t>
  </si>
  <si>
    <t>Hotel Ocean Drive</t>
  </si>
  <si>
    <t>Parador de El Saler</t>
  </si>
  <si>
    <t>Posada Del Lucero</t>
  </si>
  <si>
    <t>The Blue Apartments by Ibiza Feeling</t>
  </si>
  <si>
    <t>Hotel Ciudad Del Jerte</t>
  </si>
  <si>
    <t>Atrio</t>
  </si>
  <si>
    <t>Hotel Apartamentos Los Dragos D</t>
  </si>
  <si>
    <t>Hotel Spa Villa De Mogarraz</t>
  </si>
  <si>
    <t>Byzas Hotel</t>
  </si>
  <si>
    <t>Emirhan Inn Apartment</t>
  </si>
  <si>
    <t>Hotel Grenadine Lodge</t>
  </si>
  <si>
    <t>La Piano Hotel City Center</t>
  </si>
  <si>
    <t>Muyan Suites</t>
  </si>
  <si>
    <t>Hotel Astoria</t>
  </si>
  <si>
    <t>Arya Hotel</t>
  </si>
  <si>
    <t>Deniz Houses</t>
  </si>
  <si>
    <t>Kum Hotel</t>
  </si>
  <si>
    <t>Tempo Residence Comfort</t>
  </si>
  <si>
    <t>Hotel Rector</t>
  </si>
  <si>
    <t>Hotel Rural Emina</t>
  </si>
  <si>
    <t>La Pepa Chic</t>
  </si>
  <si>
    <t>HOTEL CARRIS CASA DA TROYA</t>
  </si>
  <si>
    <t>Hotel Hermes</t>
  </si>
  <si>
    <t>Melis Pansiyon</t>
  </si>
  <si>
    <t>Nisantasi Time Hotel</t>
  </si>
  <si>
    <t>STONE HOTEL</t>
  </si>
  <si>
    <t>Troas Hotel</t>
  </si>
  <si>
    <t>APARTHOTEL GRUPOTEL PLAYA CLUB</t>
  </si>
  <si>
    <t>Carema Siesta Playa</t>
  </si>
  <si>
    <t>DON PEDRO APARTMENTS</t>
  </si>
  <si>
    <t>EL MOLINO DEL PUENTE</t>
  </si>
  <si>
    <t>Hostal Carmen</t>
  </si>
  <si>
    <t>Hotel Araba</t>
  </si>
  <si>
    <t>HOTEL BENDINAT</t>
  </si>
  <si>
    <t>HOTEL CALA BONA</t>
  </si>
  <si>
    <t>Hotel Trinimar</t>
  </si>
  <si>
    <t>HOTEL VILLA DE BENAVENTE</t>
  </si>
  <si>
    <t>La Posada de Cortegana</t>
  </si>
  <si>
    <t>Selenza Estepona Thalasso e Spa</t>
  </si>
  <si>
    <t>Bilderberg Kasteel Kerckebosch</t>
  </si>
  <si>
    <t>Rusticae Quinta de los Cedros</t>
  </si>
  <si>
    <t>Villas Puerto Calero</t>
  </si>
  <si>
    <t>Efe Hotel Goecek</t>
  </si>
  <si>
    <t>Hotel Kirstine</t>
  </si>
  <si>
    <t>Abcoude Hotel</t>
  </si>
  <si>
    <t>Kasteel Daelenbroeck-Hampshire</t>
  </si>
  <si>
    <t>Montaverde Hotel</t>
  </si>
  <si>
    <t>Savoy Hotel Amsterdam</t>
  </si>
  <si>
    <t>Best Town Palace Hotel</t>
  </si>
  <si>
    <t>Taksim SV Boutique Hotel</t>
  </si>
  <si>
    <t>VALIDE HOTEL</t>
  </si>
  <si>
    <t>Hospes Maricel</t>
  </si>
  <si>
    <t>MONTECARLO</t>
  </si>
  <si>
    <t>Atarazanas Malaga</t>
  </si>
  <si>
    <t>HOTEL AROI PONFERRADA</t>
  </si>
  <si>
    <t>Parador de Caceres</t>
  </si>
  <si>
    <t>Tulip Inn Meerkerk</t>
  </si>
  <si>
    <t>Hotel Casa Espana</t>
  </si>
  <si>
    <t>Hotel San Anton Abad</t>
  </si>
  <si>
    <t>GEDIK PASA KONAGI</t>
  </si>
  <si>
    <t>Ontur Hotel</t>
  </si>
  <si>
    <t>PLUSSUITE HOTEL TAKSIM</t>
  </si>
  <si>
    <t>Fletcher Hotel-Restaurant Veldenbos</t>
  </si>
  <si>
    <t>QUENTIN ARRIVE HOTEL</t>
  </si>
  <si>
    <t>Apollo Hotel Breda City Centre</t>
  </si>
  <si>
    <t>Bib Rambla</t>
  </si>
  <si>
    <t>Hotel Torre Del Clavero</t>
  </si>
  <si>
    <t>HOTEL L ARCHIPEL</t>
  </si>
  <si>
    <t>Alma Sevilla</t>
  </si>
  <si>
    <t>Andia</t>
  </si>
  <si>
    <t>Executive Sport</t>
  </si>
  <si>
    <t>Hotel Marques de Vallejo</t>
  </si>
  <si>
    <t>HOTEL OASIS CORDOBA</t>
  </si>
  <si>
    <t>HOTEL VILLA COVELO</t>
  </si>
  <si>
    <t>PARADOR DE MANZANARES</t>
  </si>
  <si>
    <t>PUERTA DE GREDOS</t>
  </si>
  <si>
    <t>Best Beach Hotel</t>
  </si>
  <si>
    <t>Hotel Hoogeveen</t>
  </si>
  <si>
    <t>The College Hotel Preferred Boutique</t>
  </si>
  <si>
    <t>THE DYLAN AMSTERDAM</t>
  </si>
  <si>
    <t>Idh Angel</t>
  </si>
  <si>
    <t>Sercotel Azul</t>
  </si>
  <si>
    <t>Sercotel Torico Plaza</t>
  </si>
  <si>
    <t>Campanile - Venlo</t>
  </si>
  <si>
    <t>Santa Hill Hotel</t>
  </si>
  <si>
    <t>Star Holiday Hotel</t>
  </si>
  <si>
    <t>NH Aravaca</t>
  </si>
  <si>
    <t>Parador de Chinchon</t>
  </si>
  <si>
    <t>PHOTO ZABALBURU HOTEL</t>
  </si>
  <si>
    <t>Room Mate Vega</t>
  </si>
  <si>
    <t>Aristol Hotel</t>
  </si>
  <si>
    <t>Bade Hotel</t>
  </si>
  <si>
    <t>Kabacam Hotel</t>
  </si>
  <si>
    <t>Mediterra Art Hotel</t>
  </si>
  <si>
    <t>MANGO HOTEL</t>
  </si>
  <si>
    <t>Hotel Palacio De Los Navas</t>
  </si>
  <si>
    <t>Sant Pere del Bosc Hotel and SPA</t>
  </si>
  <si>
    <t>Hotel Sol</t>
  </si>
  <si>
    <t>Hotel De Weyman</t>
  </si>
  <si>
    <t>Rembrandtplein Hotel Amsterdam</t>
  </si>
  <si>
    <t>Hotel De Koophandel Delft</t>
  </si>
  <si>
    <t>Mozaic Hotel</t>
  </si>
  <si>
    <t>Abba Rambla</t>
  </si>
  <si>
    <t>CONDE ANSUREZ</t>
  </si>
  <si>
    <t>Hotel Esplugues</t>
  </si>
  <si>
    <t>Sercotel Mirasierra</t>
  </si>
  <si>
    <t>Fletcher Hotel Restaurant De Zalm</t>
  </si>
  <si>
    <t>Hotel Restaurant Groenendijk</t>
  </si>
  <si>
    <t>Quality Reservations</t>
  </si>
  <si>
    <t>Amphora Hotel</t>
  </si>
  <si>
    <t>Global Vision Manolya Hotel Apa</t>
  </si>
  <si>
    <t>Hotel Park</t>
  </si>
  <si>
    <t>BEST APART AND HOTEL</t>
  </si>
  <si>
    <t>Senator Hotel Taksim</t>
  </si>
  <si>
    <t>Hampshire Bon Aparte</t>
  </si>
  <si>
    <t>Hampshire Vue des Montagnes</t>
  </si>
  <si>
    <t>Hotel Nieuw Minerva</t>
  </si>
  <si>
    <t>NES HOTEL</t>
  </si>
  <si>
    <t>Kroisos Lake Resort Hotel</t>
  </si>
  <si>
    <t>PASHA PORT HOTEL</t>
  </si>
  <si>
    <t>Sultanahmet Cesme Hotel</t>
  </si>
  <si>
    <t>Hotel Hestia</t>
  </si>
  <si>
    <t>Faaborg Byferie Hotel and Apart</t>
  </si>
  <si>
    <t>TARS HOTEL</t>
  </si>
  <si>
    <t>Hampshire Hotel Mijdrecht</t>
  </si>
  <si>
    <t>Nova Hotel</t>
  </si>
  <si>
    <t>HUSA Compostela</t>
  </si>
  <si>
    <t>Husa Pedralbes</t>
  </si>
  <si>
    <t>Sercotel Ciudad de Soria</t>
  </si>
  <si>
    <t>Full House Residence</t>
  </si>
  <si>
    <t>Karahan Residence</t>
  </si>
  <si>
    <t>HOTEL EMPERATRIZ</t>
  </si>
  <si>
    <t>PARADOR DE ALCANIZ</t>
  </si>
  <si>
    <t>The Meretto Hotel</t>
  </si>
  <si>
    <t>Hotel New Amsterdam</t>
  </si>
  <si>
    <t>LANDA HOTEL</t>
  </si>
  <si>
    <t>Plaza Nueva Hotel</t>
  </si>
  <si>
    <t>Vilassar</t>
  </si>
  <si>
    <t>Hojby kro og hotel</t>
  </si>
  <si>
    <t>Ibis Utrecht</t>
  </si>
  <si>
    <t>Parador de Oropesa</t>
  </si>
  <si>
    <t>Parador de Santo Domingo Bernardo de Fresneda</t>
  </si>
  <si>
    <t>Hotel Zwanenburg</t>
  </si>
  <si>
    <t>Mozart</t>
  </si>
  <si>
    <t>Finca Son Roig</t>
  </si>
  <si>
    <t>Hotel Cal Batlle</t>
  </si>
  <si>
    <t>Hotel Plateros</t>
  </si>
  <si>
    <t>Hotel Ruta del Poniente</t>
  </si>
  <si>
    <t>Son Penya Petit Hotel</t>
  </si>
  <si>
    <t>Emerald Hotel</t>
  </si>
  <si>
    <t>Kadikoey Kervansaray Hotel</t>
  </si>
  <si>
    <t>Rental House Bakirkoey Studio</t>
  </si>
  <si>
    <t>Tria Hotel Istanbul</t>
  </si>
  <si>
    <t>Ibrahim Bey Hotel</t>
  </si>
  <si>
    <t>Sinemis Airport Hotel</t>
  </si>
  <si>
    <t>Tuntas Apartments Altinkum</t>
  </si>
  <si>
    <t>Hotel Nezih Istanbul</t>
  </si>
  <si>
    <t>Mono Suites</t>
  </si>
  <si>
    <t>BEST WESTERN Hotel Baars</t>
  </si>
  <si>
    <t>Hotel Greenside</t>
  </si>
  <si>
    <t>Hotel Resort De Zeven Heuvelen</t>
  </si>
  <si>
    <t>Lubbelinkhof Hampshire Classic</t>
  </si>
  <si>
    <t>Singel Hotel City Center</t>
  </si>
  <si>
    <t>PERA RESIDENCE</t>
  </si>
  <si>
    <t>Sultanahmet Park Hotel</t>
  </si>
  <si>
    <t>Castillo de Arteaga</t>
  </si>
  <si>
    <t>Rusticae Urbisol</t>
  </si>
  <si>
    <t>Hotel Benno</t>
  </si>
  <si>
    <t>Hotel Julia</t>
  </si>
  <si>
    <t>Parador de Ribadeo</t>
  </si>
  <si>
    <t>PETIT PALACE SANTA CRUZ</t>
  </si>
  <si>
    <t>Sercotel Costabella</t>
  </si>
  <si>
    <t>CASA DON FERNANDO</t>
  </si>
  <si>
    <t>EXE HOTEL PUERTA DE SAN PEDRO</t>
  </si>
  <si>
    <t>Hotel Dona Lola</t>
  </si>
  <si>
    <t>NH Ciutat de Vic</t>
  </si>
  <si>
    <t>Hotel GalamaDammen</t>
  </si>
  <si>
    <t>Hotel Listana Istanbul</t>
  </si>
  <si>
    <t>Apartments Arenal</t>
  </si>
  <si>
    <t>Complejo Rural Caicune</t>
  </si>
  <si>
    <t>Hotel Castro Real</t>
  </si>
  <si>
    <t>Hotel Infanta Leonor</t>
  </si>
  <si>
    <t>INFANTA LEONOR</t>
  </si>
  <si>
    <t>Club Sunset Apartments</t>
  </si>
  <si>
    <t>Hotel Amira Istanbul</t>
  </si>
  <si>
    <t>Hotel Artemis</t>
  </si>
  <si>
    <t>Marti Hemithea Hotel</t>
  </si>
  <si>
    <t>Parkhouse Hotel Spa</t>
  </si>
  <si>
    <t>Iris Hotel</t>
  </si>
  <si>
    <t>Corral Del Rey</t>
  </si>
  <si>
    <t>HOTEL DOMUS PLAZA ZOCODOVER</t>
  </si>
  <si>
    <t>Hotel El Globo</t>
  </si>
  <si>
    <t>Hotel Puerto Magina</t>
  </si>
  <si>
    <t>Bilinc Hotel</t>
  </si>
  <si>
    <t>Opus Apart Hotel</t>
  </si>
  <si>
    <t>FLETCHER HOTEL BURGHOEVE</t>
  </si>
  <si>
    <t>Landgoed Klinze Hampshire</t>
  </si>
  <si>
    <t>Havreholm Slot</t>
  </si>
  <si>
    <t>Aparthotel Venus Albir</t>
  </si>
  <si>
    <t>DEL TEATRE</t>
  </si>
  <si>
    <t>Hotel Cupidor</t>
  </si>
  <si>
    <t>JAIZKIBEL HOTEL</t>
  </si>
  <si>
    <t>Pago del Vicario</t>
  </si>
  <si>
    <t>PITORT HOTEL</t>
  </si>
  <si>
    <t>BEST WESTERN Hotel Walram</t>
  </si>
  <si>
    <t>Trivium Hotel and spa</t>
  </si>
  <si>
    <t>Witt Istanbul Suites</t>
  </si>
  <si>
    <t>Valuas</t>
  </si>
  <si>
    <t>Eurostars Lex</t>
  </si>
  <si>
    <t>Home Suite Home Sisli</t>
  </si>
  <si>
    <t>Nh Centre Utrecht</t>
  </si>
  <si>
    <t>Hotel Cal Teixido</t>
  </si>
  <si>
    <t>Hotel Los Balcones de Zafra</t>
  </si>
  <si>
    <t>Hotel Villa VIK</t>
  </si>
  <si>
    <t>Caretta Caretta Hotel</t>
  </si>
  <si>
    <t>Inncity Hotel Nisantasi</t>
  </si>
  <si>
    <t>Hotel Don Juan</t>
  </si>
  <si>
    <t>Hotel Serit</t>
  </si>
  <si>
    <t>VALBUSENDA HOTEL RESORT SPA</t>
  </si>
  <si>
    <t>BASTION DELUXE HOTEL GRONINGEN</t>
  </si>
  <si>
    <t>Hotel Villa Gulle</t>
  </si>
  <si>
    <t>SDR. OMME KRO</t>
  </si>
  <si>
    <t>ADRASAN PAPIRUS HOTEL</t>
  </si>
  <si>
    <t>Boutique Hotel Aladin</t>
  </si>
  <si>
    <t>Divan Cukurhan Preferred Boutique</t>
  </si>
  <si>
    <t>Hotel de Palatijn</t>
  </si>
  <si>
    <t>B B Gebr de Muynck</t>
  </si>
  <si>
    <t>ROSLEV KRO</t>
  </si>
  <si>
    <t>Orty Airport Hotel</t>
  </si>
  <si>
    <t>AGROTURISMO CAN LLUC</t>
  </si>
  <si>
    <t>Hotel Abril</t>
  </si>
  <si>
    <t>HOTEL BERSOCA</t>
  </si>
  <si>
    <t>Hotel San Roque</t>
  </si>
  <si>
    <t>HOTEL SOL PONENT</t>
  </si>
  <si>
    <t>Golden Tulip Parkstad Zuid Limburg</t>
  </si>
  <si>
    <t>Conscious Hotel Museum Square</t>
  </si>
  <si>
    <t>FLETCHER HOTEL PAASBERG</t>
  </si>
  <si>
    <t>Klein Zwitserland Hampshire</t>
  </si>
  <si>
    <t>FLETCHER HOTEL DU COMMERCE</t>
  </si>
  <si>
    <t>ibis Styles amsterdam city (voorheen all seasons)</t>
  </si>
  <si>
    <t>Fletcher Hotel Koogerend</t>
  </si>
  <si>
    <t>Sacred House</t>
  </si>
  <si>
    <t>Serdar I Ekrem 59 Hotel</t>
  </si>
  <si>
    <t>De Sluiskop</t>
  </si>
  <si>
    <t>Hotel de Sluiskop</t>
  </si>
  <si>
    <t>Rhisos Hotel Bostanci</t>
  </si>
  <si>
    <t>BEST WESTERN Hotel Gl. Skivehus</t>
  </si>
  <si>
    <t>Sirin Villa Hotel</t>
  </si>
  <si>
    <t>FLETCHER HOTEL DUINOORD</t>
  </si>
  <si>
    <t>Hotel Modez</t>
  </si>
  <si>
    <t>Oldruitenborgh Hampshire</t>
  </si>
  <si>
    <t>Hich Hotel Konya</t>
  </si>
  <si>
    <t>Suite Home Hotel Cihangir</t>
  </si>
  <si>
    <t>TAXIMTOWN GUMUSSUYU RESIDENCE</t>
  </si>
  <si>
    <t>Blau Mar Llafranc</t>
  </si>
  <si>
    <t>Hotel Mas Salvanera</t>
  </si>
  <si>
    <t>BEL AIR HOTEL</t>
  </si>
  <si>
    <t>Sercotel Bahia Malaga</t>
  </si>
  <si>
    <t>ABAC RESTAURANT   HOTEL</t>
  </si>
  <si>
    <t>Barcelona Apartment Villarroel</t>
  </si>
  <si>
    <t>Hacienda Olontigi</t>
  </si>
  <si>
    <t>ibis Styles Amsterdam Central Station</t>
  </si>
  <si>
    <t>Armagrandi Spina</t>
  </si>
  <si>
    <t>Bella Hotel Kadikoy</t>
  </si>
  <si>
    <t>Hotel V Nesplein City Centre</t>
  </si>
  <si>
    <t>FLETCHER HOTEL DE MALLEJAN</t>
  </si>
  <si>
    <t>Fletcher Hotel Nieuwvliet Bad</t>
  </si>
  <si>
    <t>Sultanahmet Suites</t>
  </si>
  <si>
    <t>Mirador de Dalt Vila</t>
  </si>
  <si>
    <t>Catedral</t>
  </si>
  <si>
    <t>Ajia Hotel</t>
  </si>
  <si>
    <t>Daphnis Hotel</t>
  </si>
  <si>
    <t>Harmony Hotel Istanbul</t>
  </si>
  <si>
    <t>Sempati Apart Hotel</t>
  </si>
  <si>
    <t>Sultans Royal Hotel</t>
  </si>
  <si>
    <t>The Amsterdam Canal Hotel</t>
  </si>
  <si>
    <t>Campanile Amersfoort</t>
  </si>
  <si>
    <t>Art Hotel Dulac</t>
  </si>
  <si>
    <t>Hotel Isis</t>
  </si>
  <si>
    <t>HOTEL TORO HAMPSHIRE CLASSIC</t>
  </si>
  <si>
    <t>Rode Kro I S</t>
  </si>
  <si>
    <t>Imren Lokum Konak Boutique Hotel</t>
  </si>
  <si>
    <t>Seven Hills Hotel</t>
  </si>
  <si>
    <t>Aparthotel Napols Abapart</t>
  </si>
  <si>
    <t>San Glorio</t>
  </si>
  <si>
    <t>Fletcher Hotel De Kieviet</t>
  </si>
  <si>
    <t>Hotel Monopole</t>
  </si>
  <si>
    <t>Parkhotel Auberge Vincent</t>
  </si>
  <si>
    <t>ACAJOU HOTEL</t>
  </si>
  <si>
    <t>FLETCHER HOTEL REST BON REPOS</t>
  </si>
  <si>
    <t>Hostal Loreto</t>
  </si>
  <si>
    <t>Hotel Desitges</t>
  </si>
  <si>
    <t>La Residence</t>
  </si>
  <si>
    <t>Hotel Cerro de Hijar</t>
  </si>
  <si>
    <t>Hotel Restaurant Moli Del Mig</t>
  </si>
  <si>
    <t>Hotel Gastronomique De Echoput</t>
  </si>
  <si>
    <t>Hotel CC</t>
  </si>
  <si>
    <t>Otto Pera Hotel</t>
  </si>
  <si>
    <t>Centrum Hotel</t>
  </si>
  <si>
    <t>Germir Palas Hotel</t>
  </si>
  <si>
    <t>Guendem Resort Hotel</t>
  </si>
  <si>
    <t>Hampshire - Prinsengracht</t>
  </si>
  <si>
    <t>NM SUITES</t>
  </si>
  <si>
    <t>VILLA DE ANDOSILLA</t>
  </si>
  <si>
    <t>Elif Otel</t>
  </si>
  <si>
    <t>Sirkeci Park Hotel</t>
  </si>
  <si>
    <t>Green Beyza Airport Hotel</t>
  </si>
  <si>
    <t>Kalem Island Oliviera Resort</t>
  </si>
  <si>
    <t>Hotel Ravel</t>
  </si>
  <si>
    <t>Librije s Hotel</t>
  </si>
  <si>
    <t>Castell D Emporda</t>
  </si>
  <si>
    <t>AC Hotel Ciudad de Tudela</t>
  </si>
  <si>
    <t>Parador de Puebla de Sanabria - Zamora</t>
  </si>
  <si>
    <t>Hotel Bazaar</t>
  </si>
  <si>
    <t>Sultanahmet Palace</t>
  </si>
  <si>
    <t>d Amsterdam Hotel</t>
  </si>
  <si>
    <t>BALCON DE COMPETA</t>
  </si>
  <si>
    <t>Hosteria De Torazo</t>
  </si>
  <si>
    <t>Hotel Granada Centro</t>
  </si>
  <si>
    <t>Fletcher Hotel Restaurant De Witte Raaf</t>
  </si>
  <si>
    <t>Park hotel Frederikshavn</t>
  </si>
  <si>
    <t>Sky Kamer Boutique Hotel City Center</t>
  </si>
  <si>
    <t>Tuvana Hotel</t>
  </si>
  <si>
    <t>Adonis House</t>
  </si>
  <si>
    <t>Palmen Apart Otel</t>
  </si>
  <si>
    <t>YUSUF PASA KONAGI HOTEL</t>
  </si>
  <si>
    <t>D Orangerie Hotel</t>
  </si>
  <si>
    <t>Hotel Asselt</t>
  </si>
  <si>
    <t>Hotel Apartamento Rural Atxurra</t>
  </si>
  <si>
    <t>Herbergh Amsterdam Airport</t>
  </si>
  <si>
    <t>Landhotel Legemeer Hampshire</t>
  </si>
  <si>
    <t>Max Hotel</t>
  </si>
  <si>
    <t>BEST WESTERN Hotel Slenaken</t>
  </si>
  <si>
    <t>Blue Moon Hotel</t>
  </si>
  <si>
    <t>Bucoleon Palace Hotel</t>
  </si>
  <si>
    <t>Lalinn Hotel</t>
  </si>
  <si>
    <t>Fuente Las Piedras</t>
  </si>
  <si>
    <t>Majadahonda Hotel</t>
  </si>
  <si>
    <t>PETIT PALACE BOQUERIA</t>
  </si>
  <si>
    <t>Istanbul Suites Hotel</t>
  </si>
  <si>
    <t>Hotel Oceans 7</t>
  </si>
  <si>
    <t>Dias Hotel</t>
  </si>
  <si>
    <t>Apollofirst Hampshire</t>
  </si>
  <si>
    <t>Bastion Hotel Tilburg</t>
  </si>
  <si>
    <t>Van der Valk Purmerend</t>
  </si>
  <si>
    <t>Grand Emir Hotel</t>
  </si>
  <si>
    <t>Republika Academic Aparts Ortak</t>
  </si>
  <si>
    <t>SARI KONAK</t>
  </si>
  <si>
    <t>El Blanco</t>
  </si>
  <si>
    <t>Pera City Suites</t>
  </si>
  <si>
    <t>Septimum Hotel</t>
  </si>
  <si>
    <t>Vita Park Boutique Hotel and Spa</t>
  </si>
  <si>
    <t>DingDong Telas</t>
  </si>
  <si>
    <t>Hotel Apartamentos Nogal</t>
  </si>
  <si>
    <t>Hotel Boutique El Cigarral de L</t>
  </si>
  <si>
    <t>PR Rosa Rosae</t>
  </si>
  <si>
    <t>Hotel Villa Oniria</t>
  </si>
  <si>
    <t>CPH Living Hotel</t>
  </si>
  <si>
    <t>ROBERTRAMON Leidsesquare Hotel</t>
  </si>
  <si>
    <t>Casa Camper Barcelona</t>
  </si>
  <si>
    <t>VILLA PROVENCE</t>
  </si>
  <si>
    <t>Hotel Rural Es Turo</t>
  </si>
  <si>
    <t>MERCER BORIA</t>
  </si>
  <si>
    <t>CHALETS COTE MER COLIBRI</t>
  </si>
  <si>
    <t>Apartamentos Jade</t>
  </si>
  <si>
    <t>FINCA PRATS HOTEL GOLF AND SPA</t>
  </si>
  <si>
    <t>Hotel Centro Vitoria hcv</t>
  </si>
  <si>
    <t>Hotel Panama</t>
  </si>
  <si>
    <t>Tryp Arenal</t>
  </si>
  <si>
    <t>FLETCHER HOTEL DE GEULVALLEI</t>
  </si>
  <si>
    <t>Rutskerferie Apartments</t>
  </si>
  <si>
    <t>Nisa Sultan Apart</t>
  </si>
  <si>
    <t>Serdivan Apart Hotel</t>
  </si>
  <si>
    <t>CANAL HOUSE</t>
  </si>
  <si>
    <t>Hotel Kijkduin</t>
  </si>
  <si>
    <t>CORDIAL HOTEL CITY CENTER</t>
  </si>
  <si>
    <t>ARGOS IN CAPPADOCIA</t>
  </si>
  <si>
    <t>LA MAISON HOTEL</t>
  </si>
  <si>
    <t>IBRAHIM PASA OTELI</t>
  </si>
  <si>
    <t>Muskara Cave Hotel</t>
  </si>
  <si>
    <t>Trio Suites</t>
  </si>
  <si>
    <t>Dara Hotel Istanbul</t>
  </si>
  <si>
    <t>Taksim Star Express</t>
  </si>
  <si>
    <t>Hotel Casa Arcas</t>
  </si>
  <si>
    <t>Hotel Los Jarales</t>
  </si>
  <si>
    <t>Eurostars Ramblas Boqueria</t>
  </si>
  <si>
    <t>Hotel Travessera</t>
  </si>
  <si>
    <t>Altinsaray Hotel</t>
  </si>
  <si>
    <t>Hotel Akcinar</t>
  </si>
  <si>
    <t>Hotel Ugurlu</t>
  </si>
  <si>
    <t>Majestic Hotel</t>
  </si>
  <si>
    <t>Sehir Hotel</t>
  </si>
  <si>
    <t>Aparthotel Villa de Parla</t>
  </si>
  <si>
    <t>LA TRUFA NEGRA</t>
  </si>
  <si>
    <t>Parador de Bielsa - Huesca</t>
  </si>
  <si>
    <t>Alacati Kapari Otel</t>
  </si>
  <si>
    <t>Ares Hotel Sultanahmet</t>
  </si>
  <si>
    <t>Galata Istanbul Hotel</t>
  </si>
  <si>
    <t>APARTAMENTOS LAS LETRAS</t>
  </si>
  <si>
    <t>Hotel Ansotegi</t>
  </si>
  <si>
    <t>Torre De Ruesga</t>
  </si>
  <si>
    <t>CASONA DE LA REYNA</t>
  </si>
  <si>
    <t>Hospederia Real de Quevedo</t>
  </si>
  <si>
    <t>HOSTAL LIMA</t>
  </si>
  <si>
    <t>BEST WESTERN Dam Square Inn</t>
  </si>
  <si>
    <t>HOTEL DE FILOSOOF</t>
  </si>
  <si>
    <t>HOTEL MEDANO</t>
  </si>
  <si>
    <t>Hotel Rural Binigaus Vell</t>
  </si>
  <si>
    <t>Laguna Park I</t>
  </si>
  <si>
    <t>Mas Pau</t>
  </si>
  <si>
    <t>Portago Suites</t>
  </si>
  <si>
    <t>Rusticae San Roque</t>
  </si>
  <si>
    <t>Auberge du Bonheur</t>
  </si>
  <si>
    <t>Hampshire Boshotel Overberg</t>
  </si>
  <si>
    <t>Alara Hotel</t>
  </si>
  <si>
    <t>Dost Hotel</t>
  </si>
  <si>
    <t>Saricay Otel Rhodius</t>
  </si>
  <si>
    <t>Elite Hotel</t>
  </si>
  <si>
    <t>Retro Pera Hotel</t>
  </si>
  <si>
    <t>Yarbasan Boutique Holiday Homes</t>
  </si>
  <si>
    <t>Hotel Simper</t>
  </si>
  <si>
    <t>THE HOUSE HOTEL NISANTASI</t>
  </si>
  <si>
    <t>Zoe Airport Boutique Hotel</t>
  </si>
  <si>
    <t>116 Residence Hotel</t>
  </si>
  <si>
    <t>Ar Suites Taksim</t>
  </si>
  <si>
    <t>Atici Hotel The BB s</t>
  </si>
  <si>
    <t>Beydagi Konak</t>
  </si>
  <si>
    <t>Cumbali Luxury Boutique Hotel</t>
  </si>
  <si>
    <t>Invictum Residence</t>
  </si>
  <si>
    <t>Troya Residence</t>
  </si>
  <si>
    <t>Lale Hotel</t>
  </si>
  <si>
    <t>Savelberg</t>
  </si>
  <si>
    <t>Hampshire Htl Bieze Borger</t>
  </si>
  <si>
    <t>Hotel D Orangerie</t>
  </si>
  <si>
    <t>Pension Elmehoj</t>
  </si>
  <si>
    <t>Hotel Bor</t>
  </si>
  <si>
    <t>Hotel Maurits</t>
  </si>
  <si>
    <t>Arpacioglu Hotel</t>
  </si>
  <si>
    <t>Erkal Pansion</t>
  </si>
  <si>
    <t>SUMAHAN HOTEL</t>
  </si>
  <si>
    <t>The Magnaura Palace Hotel</t>
  </si>
  <si>
    <t>Klintholm Bed and Breakfast</t>
  </si>
  <si>
    <t>Anatolia Suites</t>
  </si>
  <si>
    <t>Berk Hotel</t>
  </si>
  <si>
    <t>Beyazhan Hotel Cesme</t>
  </si>
  <si>
    <t>Blue Jasmine Villas</t>
  </si>
  <si>
    <t>Cetin Pension</t>
  </si>
  <si>
    <t>Divalis Hotel</t>
  </si>
  <si>
    <t>HEZEN CAVE HOTEL</t>
  </si>
  <si>
    <t>Levant Hotel and Aparts</t>
  </si>
  <si>
    <t>Misafir Evi Hotel</t>
  </si>
  <si>
    <t>Cesmeli Konak</t>
  </si>
  <si>
    <t>Hypnos Hotel</t>
  </si>
  <si>
    <t>Kaleici Hotel Pension</t>
  </si>
  <si>
    <t>Beliz Hotel</t>
  </si>
  <si>
    <t>Alvin Hotel</t>
  </si>
  <si>
    <t>Luxer Hotel</t>
  </si>
  <si>
    <t>NEW HOUSE ANGELOS HOME HOTEL</t>
  </si>
  <si>
    <t>Old City Sultanahmet Hotel</t>
  </si>
  <si>
    <t>KONGENSBRO KRO</t>
  </si>
  <si>
    <t>BEST WESTERN Hotel 't Voorhuys</t>
  </si>
  <si>
    <t>Hotel De Lindeboom</t>
  </si>
  <si>
    <t>Milano Rotterdam Hotel</t>
  </si>
  <si>
    <t>NH Marquette</t>
  </si>
  <si>
    <t>Amber Suites</t>
  </si>
  <si>
    <t>Anil Boutique Hotel</t>
  </si>
  <si>
    <t>Kaleici Eliza Hotel</t>
  </si>
  <si>
    <t>KITAP EVI HOTEL BURSA</t>
  </si>
  <si>
    <t>Sultans Eye Comfort Hotel</t>
  </si>
  <si>
    <t>Tiryaki Boutique Hotel</t>
  </si>
  <si>
    <t>Travel Inn Cave Hotel</t>
  </si>
  <si>
    <t>Villa Hagia Sophia Hotel</t>
  </si>
  <si>
    <t>Hotel Corona Hampshire Classic</t>
  </si>
  <si>
    <t>ISTANBUL HOLIDAY HOTEL</t>
  </si>
  <si>
    <t>Selis Otel</t>
  </si>
  <si>
    <t>Antea Hotel</t>
  </si>
  <si>
    <t>B Suites Hotel</t>
  </si>
  <si>
    <t>Firat Mert Hotel</t>
  </si>
  <si>
    <t>Hotel Grand Cafe Heeren van Noo</t>
  </si>
  <si>
    <t>Ada Hotel</t>
  </si>
  <si>
    <t>Galata Palace</t>
  </si>
  <si>
    <t>Nergiz Hotel</t>
  </si>
  <si>
    <t>Taksim Istanbul Apart</t>
  </si>
  <si>
    <t>HOTEL PRINSEN</t>
  </si>
  <si>
    <t>Cappa Villa Cave Hotel and Spa</t>
  </si>
  <si>
    <t>Tuntas Apart Hotel Altinkum</t>
  </si>
  <si>
    <t>Fullhouse Residence</t>
  </si>
  <si>
    <t>Suite Home Galata</t>
  </si>
  <si>
    <t>Taksim Istanbul Inn Residence</t>
  </si>
  <si>
    <t>Taksim Premium Residence</t>
  </si>
  <si>
    <t>Aristocrat Hotel</t>
  </si>
  <si>
    <t>Hotel Sultan s Inn</t>
  </si>
  <si>
    <t>LVZZ Hotel</t>
  </si>
  <si>
    <t>Moss Residence</t>
  </si>
  <si>
    <t>Valide Sultan Konagi Hotel</t>
  </si>
  <si>
    <t>Travelers Inn And Suites</t>
  </si>
  <si>
    <t>Asmin Hotel Bodrum</t>
  </si>
  <si>
    <t>Malabadi Beyazit Hotel</t>
  </si>
  <si>
    <t>SOKULLUPASA HOTEL</t>
  </si>
  <si>
    <t>Alexander Hotel</t>
  </si>
  <si>
    <t>Grand Uemit Hotel</t>
  </si>
  <si>
    <t>Sonno Boutique Rooms</t>
  </si>
  <si>
    <t>Venessa Beach Hotel</t>
  </si>
  <si>
    <t>Hotel Sandvig Havn</t>
  </si>
  <si>
    <t>ORTUNC HOTEL</t>
  </si>
  <si>
    <t>Hotel Gulpenerland</t>
  </si>
  <si>
    <t>Hotel Sebastian s</t>
  </si>
  <si>
    <t>SANDTON IJSSEL HOTEL</t>
  </si>
  <si>
    <t>Hampshire - Auberge de Hilver</t>
  </si>
  <si>
    <t>Hotel Restaurant Larende</t>
  </si>
  <si>
    <t>Hotel Roemer</t>
  </si>
  <si>
    <t>Maashof</t>
  </si>
  <si>
    <t>Bastion Hotel Leiden Oegstgees</t>
  </si>
  <si>
    <t>Hotel Plato</t>
  </si>
  <si>
    <t>Beyaz Apartments</t>
  </si>
  <si>
    <t>Ozhan Pension</t>
  </si>
  <si>
    <t>HOTEL NORRE VINKEL</t>
  </si>
  <si>
    <t>Al Sinno Hotel</t>
  </si>
  <si>
    <t>Corinne Hotel</t>
  </si>
  <si>
    <t>Hotel Berke Ranch</t>
  </si>
  <si>
    <t>Hotel Niles Istanbul</t>
  </si>
  <si>
    <t>Pasham Residence</t>
  </si>
  <si>
    <t>Buelbuel Yuvasi Butik Otel</t>
  </si>
  <si>
    <t>Masal Hotel</t>
  </si>
  <si>
    <t>SELENES MINI HOTEL</t>
  </si>
  <si>
    <t>Triada Residence Suites and Apart Hotel</t>
  </si>
  <si>
    <t>Ersari Hotel</t>
  </si>
  <si>
    <t>Bakirkoey Sahil Hotel</t>
  </si>
  <si>
    <t>Akropolis Guest House</t>
  </si>
  <si>
    <t>Nisantasi My Residence</t>
  </si>
  <si>
    <t>Faik Pasa Hotel</t>
  </si>
  <si>
    <t>Ottoman Konak Hotel Kerme</t>
  </si>
  <si>
    <t>Pasifik Hotel Cesme</t>
  </si>
  <si>
    <t>BEST WESTERN Hotel Restaurant Stadskanaal</t>
  </si>
  <si>
    <t>Beyoglu Suites</t>
  </si>
  <si>
    <t>Celik Apart Hotel</t>
  </si>
  <si>
    <t>Merial Hotel</t>
  </si>
  <si>
    <t>Siesta Hotel</t>
  </si>
  <si>
    <t>Schuddebeurs</t>
  </si>
  <si>
    <t>WESTCORD HOTEL DE WADDEN</t>
  </si>
  <si>
    <t>New Bodrum Hotel</t>
  </si>
  <si>
    <t>Hotel de Gerstekorrel Amsterdam</t>
  </si>
  <si>
    <t>Hotel Hogerhuys</t>
  </si>
  <si>
    <t>Mayflower Hotel</t>
  </si>
  <si>
    <t>KASTEEL ENGELENBURG</t>
  </si>
  <si>
    <t>Tugay Hotel</t>
  </si>
  <si>
    <t>Vela Apart Hotel</t>
  </si>
  <si>
    <t>Alaaddin Hotel</t>
  </si>
  <si>
    <t>Ale Boutique Hotel</t>
  </si>
  <si>
    <t>Pendik Marine Hotel</t>
  </si>
  <si>
    <t>Hotel de Roosterhoeve</t>
  </si>
  <si>
    <t>Bastion Hotel Geleen</t>
  </si>
  <si>
    <t>Bastion Hotel Leiden Voorschot</t>
  </si>
  <si>
    <t>Bastion Hotel Nijmegen</t>
  </si>
  <si>
    <t>BEST WESTERN Hotel Talens</t>
  </si>
  <si>
    <t>Sarphati Hotel</t>
  </si>
  <si>
    <t>Alacati Beyevi</t>
  </si>
  <si>
    <t>Hilfon Hotel</t>
  </si>
  <si>
    <t>Turhan Otel</t>
  </si>
  <si>
    <t>Lyon Apart Hotel</t>
  </si>
  <si>
    <t>Three Apples Suites and Hotel</t>
  </si>
  <si>
    <t>Gumusluk Hotel</t>
  </si>
  <si>
    <t>BEST WESTERN Hotel Restaurant Fidder</t>
  </si>
  <si>
    <t>Hotel Amstelzicht</t>
  </si>
  <si>
    <t>Amsterdam Identity Apartments</t>
  </si>
  <si>
    <t>May Hotel Istanbul</t>
  </si>
  <si>
    <t>Entes Apart Hotel</t>
  </si>
  <si>
    <t>Hotel Villa Turka</t>
  </si>
  <si>
    <t>Sultanahmet King Palace Hotel</t>
  </si>
  <si>
    <t>City Guest House</t>
  </si>
  <si>
    <t>Efes Konaklari</t>
  </si>
  <si>
    <t>Istanbul Inn Hotel</t>
  </si>
  <si>
    <t>Lazy Lizard Boutique Hotel</t>
  </si>
  <si>
    <t>Het Roode Koper</t>
  </si>
  <si>
    <t>Hotel Hof van Twente</t>
  </si>
  <si>
    <t>Logies de Tabaksplant</t>
  </si>
  <si>
    <t>Hotel Inter Istanbul</t>
  </si>
  <si>
    <t>Hotel Ksantos</t>
  </si>
  <si>
    <t>Hotel The Pera Hill</t>
  </si>
  <si>
    <t>Nova Apart Hotel</t>
  </si>
  <si>
    <t>Home Suite Home Valikonagi</t>
  </si>
  <si>
    <t>Sultan Palas Hotel</t>
  </si>
  <si>
    <t>The Boutique Amisos Hotel</t>
  </si>
  <si>
    <t>Stories Apart Karakol</t>
  </si>
  <si>
    <t>Three Apples Residence</t>
  </si>
  <si>
    <t>10 Suites Taksim</t>
  </si>
  <si>
    <t>Alacati Sir Hotel</t>
  </si>
  <si>
    <t>Ansen Suites</t>
  </si>
  <si>
    <t>Budget Hostel Istanbul</t>
  </si>
  <si>
    <t>Bunk</t>
  </si>
  <si>
    <t>Citadel Hotel</t>
  </si>
  <si>
    <t>Hotel Mosaic</t>
  </si>
  <si>
    <t>Antique House Istanbul</t>
  </si>
  <si>
    <t>Dora Hotel</t>
  </si>
  <si>
    <t>Millennium Suites</t>
  </si>
  <si>
    <t>Myndos Pansiyon</t>
  </si>
  <si>
    <t>Hotel Jagershuis</t>
  </si>
  <si>
    <t>Hotel De Unie</t>
  </si>
  <si>
    <t>FLETCHER HOTEL PRINSEN</t>
  </si>
  <si>
    <t>YACHT BOUTIQUE  HOTEL</t>
  </si>
  <si>
    <t>Hotel Park View Amsterdam</t>
  </si>
  <si>
    <t>Hotel Sansa</t>
  </si>
  <si>
    <t>Hettie Hotel</t>
  </si>
  <si>
    <t>Hotel Grand Tahir</t>
  </si>
  <si>
    <t>Hotel Hidden Garden</t>
  </si>
  <si>
    <t>Hotel Tashkonak Old City</t>
  </si>
  <si>
    <t>Saka Hotel</t>
  </si>
  <si>
    <t>QUENTIN AMSTERDAM HOTEL</t>
  </si>
  <si>
    <t>Hurriyet Hotel</t>
  </si>
  <si>
    <t>Rescate Boutique Hotel</t>
  </si>
  <si>
    <t>Alaturca Hotel Historical Peninsula</t>
  </si>
  <si>
    <t>Bianco Residence Taksim</t>
  </si>
  <si>
    <t>Full House Boutique</t>
  </si>
  <si>
    <t>Jade Hotel</t>
  </si>
  <si>
    <t>ACH Trianon Hotel</t>
  </si>
  <si>
    <t>Hotel One Rotterdam</t>
  </si>
  <si>
    <t>Grand Anatolia Hotel</t>
  </si>
  <si>
    <t>HOTEL VAN WALSUM</t>
  </si>
  <si>
    <t>Atlanta Hotel</t>
  </si>
  <si>
    <t>Hotel Nomade</t>
  </si>
  <si>
    <t>Sunrise Hotel</t>
  </si>
  <si>
    <t>Taskule Hotel</t>
  </si>
  <si>
    <t>YUSUF PASA SUITES</t>
  </si>
  <si>
    <t>Hotel Falcon Plaza</t>
  </si>
  <si>
    <t>SANDTON CHATEAU DE RAAY</t>
  </si>
  <si>
    <t>Ferman Hotel</t>
  </si>
  <si>
    <t>Hakcan Izmir Airport Hotel</t>
  </si>
  <si>
    <t>Housez Suites and Apartments</t>
  </si>
  <si>
    <t>Mad Sea Beach Hotel</t>
  </si>
  <si>
    <t>Temenos Hotel</t>
  </si>
  <si>
    <t>Asitane Life Hotel</t>
  </si>
  <si>
    <t>Alkoclar La Boutique Hotel Bodrum</t>
  </si>
  <si>
    <t>Kondu Hotel</t>
  </si>
  <si>
    <t>Padok Premium Hotel and Stables</t>
  </si>
  <si>
    <t>Tugra Hotel</t>
  </si>
  <si>
    <t>Palas Apart Otel</t>
  </si>
  <si>
    <t>Romantic Hotel</t>
  </si>
  <si>
    <t>Hermitage Hotel Amsterdam City Centre</t>
  </si>
  <si>
    <t>Holiday Time Hotel</t>
  </si>
  <si>
    <t>Galata Tower s Boutique Hotel</t>
  </si>
  <si>
    <t>Mystic Hotel</t>
  </si>
  <si>
    <t>Derlon Hotel Maastricht</t>
  </si>
  <si>
    <t>Golden Tulip Zoetermeer Centre</t>
  </si>
  <si>
    <t>Hotel Forest Gate</t>
  </si>
  <si>
    <t>La Reine Eindhoven</t>
  </si>
  <si>
    <t>Cem Sultan Hotel</t>
  </si>
  <si>
    <t>Sayeban Hotel Istanbul</t>
  </si>
  <si>
    <t>Special Class Abella Hotel</t>
  </si>
  <si>
    <t>TAKSIM ISTANBUL APARTMENT</t>
  </si>
  <si>
    <t>Ipekyolu Hotel</t>
  </si>
  <si>
    <t>My Apart Cihangir</t>
  </si>
  <si>
    <t>Kerme Ottoman Konak</t>
  </si>
  <si>
    <t>Ladies Beach Hotel</t>
  </si>
  <si>
    <t>Residence La Vue Istanbul</t>
  </si>
  <si>
    <t>Appartment Mavikoesk</t>
  </si>
  <si>
    <t>Oezmen Pension</t>
  </si>
  <si>
    <t>Papillon Hotel Cesme</t>
  </si>
  <si>
    <t>BEST WESTERN PREMIER Acropol Suites &amp; Spa</t>
  </si>
  <si>
    <t>Eden Otel</t>
  </si>
  <si>
    <t>Hotel Darussaade Istanbul</t>
  </si>
  <si>
    <t>Hotel Hippodrome</t>
  </si>
  <si>
    <t>Beurshotel</t>
  </si>
  <si>
    <t>AMRATH HOTEL DUCASQUE</t>
  </si>
  <si>
    <t>QUENTIN ENGLAND HOTEL</t>
  </si>
  <si>
    <t>Inner City Hotel</t>
  </si>
  <si>
    <t>Ams Hotel Concert Inn</t>
  </si>
  <si>
    <t>BEST WESTERN Hotel Restaurant De Zwaan</t>
  </si>
  <si>
    <t>Hotel Restaurant Umberto</t>
  </si>
  <si>
    <t>Art Suites Istanbul</t>
  </si>
  <si>
    <t>Elanaz Hotel</t>
  </si>
  <si>
    <t>Emma Saray Boutique Hotel</t>
  </si>
  <si>
    <t>Preferred Hotel Old City</t>
  </si>
  <si>
    <t>Rand Guesthouse Hotel</t>
  </si>
  <si>
    <t>Boutique Hotel Quartier du Port</t>
  </si>
  <si>
    <t>Hotel Pakhuys</t>
  </si>
  <si>
    <t>Sander Hotel Amsterdam</t>
  </si>
  <si>
    <t>Elegance Berkeren Hotel</t>
  </si>
  <si>
    <t>Hotel Sultanahmet</t>
  </si>
  <si>
    <t>Hotel Sur 2</t>
  </si>
  <si>
    <t>Mercan Bungalow and Apart</t>
  </si>
  <si>
    <t>Poem Hotel</t>
  </si>
  <si>
    <t>Villa Konak Hotel</t>
  </si>
  <si>
    <t>Bosphorus Palace Hotel</t>
  </si>
  <si>
    <t>Rumeli Residence</t>
  </si>
  <si>
    <t>Zeynep Hanim Konagi Hotel</t>
  </si>
  <si>
    <t>Ada Apart Hotel</t>
  </si>
  <si>
    <t>Peradays Hotel</t>
  </si>
  <si>
    <t>Yali Butik Otel</t>
  </si>
  <si>
    <t>CLUB PIRINC HOTEL</t>
  </si>
  <si>
    <t>Sunset Cave Hotel</t>
  </si>
  <si>
    <t>City Hostel Vlissingen</t>
  </si>
  <si>
    <t>Hotel Bleecker</t>
  </si>
  <si>
    <t>GEORGES HOTEL GALATA</t>
  </si>
  <si>
    <t>Sarnic Boutique Hotel</t>
  </si>
  <si>
    <t>Hotel Epping</t>
  </si>
  <si>
    <t>AAdam Wilhelmina</t>
  </si>
  <si>
    <t>Boutique Hotel View Amsterdam</t>
  </si>
  <si>
    <t>Hotel De Gouden Leeuw</t>
  </si>
  <si>
    <t>PLANTAGE HOTEL</t>
  </si>
  <si>
    <t>Manoir Inter Scaldes</t>
  </si>
  <si>
    <t>Dikker and Thijs Fenice Hotel</t>
  </si>
  <si>
    <t>Fletcher Hotel het Witte Huis</t>
  </si>
  <si>
    <t>Hotel Asterisk</t>
  </si>
  <si>
    <t>Hotel Velsen</t>
  </si>
  <si>
    <t>Hotel Chariot</t>
  </si>
  <si>
    <t>Minotel Zandbergen</t>
  </si>
  <si>
    <t>NL Hotel Leidseplein Amsterdam</t>
  </si>
  <si>
    <t>What was the highest revenue earned per room?</t>
  </si>
  <si>
    <t>What was the lowest revenue earned per room?</t>
  </si>
  <si>
    <t>First, produce a scatter diagram where hotels' number of rooms is on the x axis and their annual revenue is on the y axis. Fit a linear trend line to the data.</t>
  </si>
  <si>
    <t xml:space="preserve">After analyzing the data Ernoyan, remembering his economics courses, states that it may be possible that as a company gets bigger it may start to make less money due to increase in costs. After hearing this Ernoyan's friend starts to wonder if the hotel sector also experiences this phenomenon, so they decides to look at the correlation between number rooms a hotel has and their total gross profit. </t>
  </si>
  <si>
    <t>2d_1</t>
  </si>
  <si>
    <t>2d_2</t>
  </si>
  <si>
    <t>2i</t>
  </si>
  <si>
    <t>2j</t>
  </si>
  <si>
    <t>1f</t>
  </si>
  <si>
    <t>YES</t>
  </si>
  <si>
    <t>NO</t>
  </si>
  <si>
    <t>HW3 - Business Statistics</t>
  </si>
  <si>
    <t>What percentage of the data can be greater than the value you found for the previous question?</t>
  </si>
  <si>
    <t>In general, will there be another value in the dataset that appears as frequently as the value you reported for question 1c?</t>
  </si>
  <si>
    <t>Report the correlation coefficient</t>
  </si>
  <si>
    <t xml:space="preserve">What percent of the variation in hotel revenues per room (annual revenue per room) can be explained by the variation in hotel size (total rooms)? </t>
  </si>
  <si>
    <t>Part 5</t>
  </si>
  <si>
    <t>Definetly No</t>
  </si>
  <si>
    <t>Definetly Yes</t>
  </si>
  <si>
    <t>Highly unlikely but possible</t>
  </si>
  <si>
    <t>1g</t>
  </si>
  <si>
    <t>i</t>
  </si>
  <si>
    <t>4g</t>
  </si>
  <si>
    <t>4h</t>
  </si>
  <si>
    <t>5a</t>
  </si>
  <si>
    <t>5b</t>
  </si>
  <si>
    <t>A</t>
  </si>
  <si>
    <t>B</t>
  </si>
  <si>
    <t>C</t>
  </si>
  <si>
    <t>D</t>
  </si>
  <si>
    <t>average</t>
  </si>
  <si>
    <t>Two more questions to finish your homework!</t>
  </si>
  <si>
    <t>total</t>
  </si>
  <si>
    <t>Not skewed</t>
  </si>
  <si>
    <t xml:space="preserve">Which hotel gained the most excess revenue from its expected revenue given its number of rooms? Report the hotels' annual revenue. </t>
  </si>
  <si>
    <t>What percent of the total annual revenue among hotels in European Union comes from Hilton International?</t>
  </si>
  <si>
    <t xml:space="preserve">Left skewed </t>
  </si>
  <si>
    <t>Right skewed</t>
  </si>
  <si>
    <t xml:space="preserve">Consider the "TOTAL ROOMS" column for your assigned country to answer the questions below: </t>
  </si>
  <si>
    <r>
      <t>Using the country name provided above, answer the following questions in Part 1, 2, &amp; 3 as related to this particular subset of the data. (</t>
    </r>
    <r>
      <rPr>
        <i/>
        <sz val="15"/>
        <rFont val="Calibri"/>
        <family val="2"/>
        <scheme val="minor"/>
      </rPr>
      <t>Hint: use a filter on the data to identify your subset.</t>
    </r>
    <r>
      <rPr>
        <sz val="15"/>
        <rFont val="Calibri"/>
        <family val="2"/>
        <scheme val="minor"/>
      </rPr>
      <t xml:space="preserve">) </t>
    </r>
    <r>
      <rPr>
        <b/>
        <sz val="15"/>
        <color rgb="FFFF0000"/>
        <rFont val="Calibri"/>
        <family val="2"/>
        <scheme val="minor"/>
      </rPr>
      <t>DO NOT answer the questions based on the entire set of data.</t>
    </r>
  </si>
  <si>
    <t>What is the mean?</t>
  </si>
  <si>
    <t>What is the number that divides the data into two equal parts?</t>
  </si>
  <si>
    <t>What is the most observed hotel size in terms of total rooms?</t>
  </si>
  <si>
    <t>Ernoyan's friend can't seem to decide how big his hotel is going to be. He thinks that he could manage his cost no matter how big his hotel is, but he needs to know how much revenue he has to work with. So, with the help of Ernoyan, he starts to analyze the data.</t>
  </si>
  <si>
    <t>Your manager is tired of all the data and curious about only 10 hotels and their total number of rooms. He gives you the hotel names in a list and wants a table which will contain only names of those 10 hotels and their total number of rooms. Which formula would you use to create LOOKUP table from the data provided in DataSheet? Assume that K6 is our lookup value.                                                                                                                                                                         
a)VLOOKUP(K6,A2:J6500,3,FALSE)                                                                                                                                                                    
b)VLOOKUP(K6,A2:J6500,5,FALSE)                                                                                                                                                                  
c)HLOOKUP(K6,A2:J6500,3,FALSE)                                                                                                                                                            
d)HLOOKUP(K6,A2:J6500,5,FALSE)</t>
  </si>
  <si>
    <t>Frequency (Array Function)</t>
  </si>
  <si>
    <t>Calculate the ANNUAL REVENUE PER ROOM for each hotel in your assigned country and answer the questions below accordingly.</t>
  </si>
  <si>
    <r>
      <t xml:space="preserve">For Part 4 and 5 use </t>
    </r>
    <r>
      <rPr>
        <i/>
        <sz val="22"/>
        <color rgb="FFFF0000"/>
        <rFont val="Calibri"/>
        <family val="2"/>
        <charset val="162"/>
        <scheme val="minor"/>
      </rPr>
      <t>ALL THE DATA</t>
    </r>
    <r>
      <rPr>
        <i/>
        <sz val="18"/>
        <color rgb="FFFF0000"/>
        <rFont val="Calibri"/>
        <family val="2"/>
        <scheme val="minor"/>
      </rPr>
      <t xml:space="preserve"> provided in the Data sheet, all Hotels, all Countries to answer the following questions. </t>
    </r>
  </si>
  <si>
    <t>What is the 10th percentile of the  annual revenue per room for your assigned country?</t>
  </si>
  <si>
    <t>What is the 90th percentile of the annual revenue per room for your assigned country?</t>
  </si>
  <si>
    <t>What percentage of your assigned country's revenue per room is between 21400 and 31900 (including the ones equal to those two values)?</t>
  </si>
  <si>
    <t>Suppose you want to generate a histogram of this data. The first step would be to create a frequency table using the bin limits. How many of the revenue per room fall into the range ( 0  - 28900] (i.e. bin 28900)? How many of the revenue per room fall into the range (28900 - 30300] (i.e. bin 30300)? How many of the data points fall into the range (30300 - 35600] (i.e. bin 35600)? Report the numbers that correspond with the bins to the right.</t>
  </si>
  <si>
    <t>Based on the linear trendline, if the number of rooms in a hotel is 108 , what will be his total revenue? (Do not round your answer to the nearest integer)</t>
  </si>
  <si>
    <t>Sketch a scatter diagram where the number of hotels' room  is on the x axis and their total annual gross profit is on the y axis. Fit a linear trendline to the data.</t>
  </si>
  <si>
    <t>Is the data skewed or not, if it is choose the correct skewness?</t>
  </si>
  <si>
    <t>Based on the linear trendline, if a hotel has a total gross profit of 437000. What does the linear treadline estimate the number of rooms the hotel should have? (Round your answer to the nearest integer)</t>
  </si>
  <si>
    <t>If the change of total gross profit due to increase in the number of rooms, increases by 24%, what is the change rate of slope?</t>
  </si>
  <si>
    <t>ercum</t>
  </si>
  <si>
    <t>MertD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</si>
</sst>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_);_(* \(#,##0.00\);_(* &quot;-&quot;??_);_(@_)"/>
    <numFmt numFmtId="165" formatCode="_(* #,##0_);_(* \(#,##0\);_(* &quot;-&quot;??_);_(@_)"/>
    <numFmt numFmtId="166" formatCode="0.000"/>
    <numFmt numFmtId="167" formatCode="_(* #,##0.000_);_(* \(#,##0.000\);_(* &quot;-&quot;??_);_(@_)"/>
    <numFmt numFmtId="168" formatCode="_(* #,##0.0_);_(* \(#,##0.0\);_(* &quot;-&quot;??_);_(@_)"/>
  </numFmts>
  <fonts count="30" x14ac:knownFonts="1">
    <font>
      <sz val="11"/>
      <color theme="1"/>
      <name val="Calibri"/>
      <family val="2"/>
      <scheme val="minor"/>
    </font>
    <font>
      <sz val="10"/>
      <name val="Arial"/>
      <family val="2"/>
    </font>
    <font>
      <b/>
      <sz val="10"/>
      <color indexed="12"/>
      <name val="Arial"/>
      <family val="2"/>
    </font>
    <font>
      <b/>
      <sz val="10"/>
      <name val="Arial"/>
      <family val="2"/>
    </font>
    <font>
      <sz val="10"/>
      <color indexed="9"/>
      <name val="Arial"/>
      <family val="2"/>
    </font>
    <font>
      <sz val="11"/>
      <color indexed="8"/>
      <name val="Calibri"/>
      <family val="2"/>
    </font>
    <font>
      <sz val="16"/>
      <color indexed="8"/>
      <name val="Calibri"/>
      <family val="2"/>
    </font>
    <font>
      <sz val="11"/>
      <color indexed="55"/>
      <name val="Calibri"/>
      <family val="2"/>
    </font>
    <font>
      <b/>
      <sz val="11"/>
      <color indexed="55"/>
      <name val="Calibri"/>
      <family val="2"/>
    </font>
    <font>
      <sz val="10"/>
      <name val="Arial"/>
      <family val="2"/>
      <charset val="162"/>
    </font>
    <font>
      <sz val="11"/>
      <color theme="1"/>
      <name val="Calibri"/>
      <family val="2"/>
      <scheme val="minor"/>
    </font>
    <font>
      <sz val="11"/>
      <color theme="0"/>
      <name val="Calibri"/>
      <family val="2"/>
      <scheme val="minor"/>
    </font>
    <font>
      <sz val="11"/>
      <name val="Calibri"/>
      <family val="2"/>
      <scheme val="minor"/>
    </font>
    <font>
      <u/>
      <sz val="11"/>
      <color theme="10"/>
      <name val="Calibri"/>
      <family val="2"/>
      <scheme val="minor"/>
    </font>
    <font>
      <u/>
      <sz val="11"/>
      <color theme="11"/>
      <name val="Calibri"/>
      <family val="2"/>
      <scheme val="minor"/>
    </font>
    <font>
      <sz val="11"/>
      <color rgb="FFFFC000"/>
      <name val="Calibri"/>
      <family val="2"/>
      <scheme val="minor"/>
    </font>
    <font>
      <b/>
      <sz val="11"/>
      <color theme="0"/>
      <name val="Calibri"/>
      <family val="2"/>
      <scheme val="minor"/>
    </font>
    <font>
      <sz val="10"/>
      <color rgb="FF222222"/>
      <name val="Arial"/>
      <family val="2"/>
      <charset val="162"/>
    </font>
    <font>
      <b/>
      <sz val="12"/>
      <color rgb="FFD2A000"/>
      <name val="Arial"/>
      <family val="2"/>
      <charset val="162"/>
    </font>
    <font>
      <sz val="11"/>
      <color theme="4" tint="0.59999389629810485"/>
      <name val="Calibri"/>
      <family val="2"/>
      <scheme val="minor"/>
    </font>
    <font>
      <sz val="10"/>
      <color rgb="FF222222"/>
      <name val="Arial"/>
      <family val="2"/>
    </font>
    <font>
      <b/>
      <sz val="15"/>
      <color indexed="8"/>
      <name val="Calibri"/>
      <family val="2"/>
    </font>
    <font>
      <i/>
      <sz val="18"/>
      <color rgb="FFFF0000"/>
      <name val="Calibri"/>
      <family val="2"/>
      <scheme val="minor"/>
    </font>
    <font>
      <sz val="13"/>
      <color theme="0"/>
      <name val="Calibri"/>
      <family val="2"/>
      <scheme val="minor"/>
    </font>
    <font>
      <b/>
      <sz val="20"/>
      <color theme="1"/>
      <name val="Calibri"/>
      <family val="2"/>
      <scheme val="minor"/>
    </font>
    <font>
      <sz val="15"/>
      <name val="Calibri"/>
      <family val="2"/>
      <scheme val="minor"/>
    </font>
    <font>
      <i/>
      <sz val="15"/>
      <name val="Calibri"/>
      <family val="2"/>
      <scheme val="minor"/>
    </font>
    <font>
      <b/>
      <sz val="15"/>
      <color rgb="FFFF0000"/>
      <name val="Calibri"/>
      <family val="2"/>
      <scheme val="minor"/>
    </font>
    <font>
      <sz val="11"/>
      <color rgb="FF000000"/>
      <name val="Calibri"/>
      <family val="2"/>
      <charset val="162"/>
    </font>
    <font>
      <i/>
      <sz val="22"/>
      <color rgb="FFFF0000"/>
      <name val="Calibri"/>
      <family val="2"/>
      <charset val="162"/>
      <scheme val="minor"/>
    </font>
  </fonts>
  <fills count="13">
    <fill>
      <patternFill patternType="none"/>
    </fill>
    <fill>
      <patternFill patternType="gray125"/>
    </fill>
    <fill>
      <patternFill patternType="solid">
        <fgColor theme="5" tint="0.59999389629810485"/>
        <bgColor indexed="65"/>
      </patternFill>
    </fill>
    <fill>
      <patternFill patternType="solid">
        <fgColor theme="6" tint="0.59999389629810485"/>
        <bgColor indexed="65"/>
      </patternFill>
    </fill>
    <fill>
      <patternFill patternType="solid">
        <fgColor theme="5"/>
      </patternFill>
    </fill>
    <fill>
      <patternFill patternType="solid">
        <fgColor theme="0"/>
        <bgColor indexed="64"/>
      </patternFill>
    </fill>
    <fill>
      <patternFill patternType="solid">
        <fgColor theme="5" tint="0.39997558519241921"/>
        <bgColor indexed="64"/>
      </patternFill>
    </fill>
    <fill>
      <patternFill patternType="solid">
        <fgColor theme="4" tint="-0.249977111117893"/>
        <bgColor indexed="64"/>
      </patternFill>
    </fill>
    <fill>
      <patternFill patternType="solid">
        <fgColor theme="4" tint="0.59999389629810485"/>
        <bgColor indexed="64"/>
      </patternFill>
    </fill>
    <fill>
      <patternFill patternType="solid">
        <fgColor theme="3"/>
        <bgColor indexed="64"/>
      </patternFill>
    </fill>
    <fill>
      <patternFill patternType="solid">
        <fgColor theme="5" tint="0.79998168889431442"/>
        <bgColor indexed="64"/>
      </patternFill>
    </fill>
    <fill>
      <patternFill patternType="solid">
        <fgColor theme="4"/>
        <bgColor theme="4"/>
      </patternFill>
    </fill>
    <fill>
      <patternFill patternType="solid">
        <fgColor theme="4" tint="0.79998168889431442"/>
        <bgColor indexed="64"/>
      </patternFill>
    </fill>
  </fills>
  <borders count="17">
    <border>
      <left/>
      <right/>
      <top/>
      <bottom/>
      <diagonal/>
    </border>
    <border>
      <left style="thin">
        <color auto="1"/>
      </left>
      <right style="thin">
        <color auto="1"/>
      </right>
      <top style="thin">
        <color auto="1"/>
      </top>
      <bottom style="thin">
        <color auto="1"/>
      </bottom>
      <diagonal/>
    </border>
    <border>
      <left/>
      <right style="thin">
        <color auto="1"/>
      </right>
      <top/>
      <bottom style="thin">
        <color auto="1"/>
      </bottom>
      <diagonal/>
    </border>
    <border>
      <left/>
      <right style="thin">
        <color auto="1"/>
      </right>
      <top/>
      <bottom/>
      <diagonal/>
    </border>
    <border>
      <left/>
      <right style="thin">
        <color auto="1"/>
      </right>
      <top style="thin">
        <color auto="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style="thin">
        <color auto="1"/>
      </left>
      <right/>
      <top/>
      <bottom/>
      <diagonal/>
    </border>
    <border>
      <left style="thin">
        <color auto="1"/>
      </left>
      <right/>
      <top/>
      <bottom style="thin">
        <color auto="1"/>
      </bottom>
      <diagonal/>
    </border>
    <border>
      <left/>
      <right/>
      <top style="thin">
        <color auto="1"/>
      </top>
      <bottom/>
      <diagonal/>
    </border>
    <border>
      <left style="thin">
        <color theme="0" tint="-0.14996795556505021"/>
      </left>
      <right style="thin">
        <color theme="0" tint="-0.14996795556505021"/>
      </right>
      <top/>
      <bottom style="thin">
        <color theme="0" tint="-0.14996795556505021"/>
      </bottom>
      <diagonal/>
    </border>
    <border>
      <left/>
      <right/>
      <top/>
      <bottom style="double">
        <color theme="0" tint="-0.14993743705557422"/>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s>
  <cellStyleXfs count="139">
    <xf numFmtId="0" fontId="0" fillId="0" borderId="0"/>
    <xf numFmtId="0" fontId="10" fillId="2" borderId="0" applyNumberFormat="0" applyBorder="0" applyAlignment="0" applyProtection="0"/>
    <xf numFmtId="0" fontId="10" fillId="3" borderId="0" applyNumberFormat="0" applyBorder="0" applyAlignment="0" applyProtection="0"/>
    <xf numFmtId="0" fontId="11" fillId="4" borderId="0" applyNumberFormat="0" applyBorder="0" applyAlignment="0" applyProtection="0"/>
    <xf numFmtId="164" fontId="5" fillId="0" borderId="0" applyFont="0" applyFill="0" applyBorder="0" applyAlignment="0" applyProtection="0"/>
    <xf numFmtId="164" fontId="5" fillId="0" borderId="0" applyFont="0" applyFill="0" applyBorder="0" applyAlignment="0" applyProtection="0"/>
    <xf numFmtId="0" fontId="1" fillId="0" borderId="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164" fontId="5" fillId="0" borderId="0" applyFon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cellStyleXfs>
  <cellXfs count="117">
    <xf numFmtId="0" fontId="0" fillId="0" borderId="0" xfId="0"/>
    <xf numFmtId="0" fontId="1" fillId="0" borderId="0" xfId="6"/>
    <xf numFmtId="0" fontId="1" fillId="0" borderId="0" xfId="6" applyProtection="1">
      <protection locked="0"/>
    </xf>
    <xf numFmtId="0" fontId="1" fillId="0" borderId="0" xfId="6" applyFont="1" applyProtection="1"/>
    <xf numFmtId="0" fontId="1" fillId="0" borderId="0" xfId="6" applyProtection="1"/>
    <xf numFmtId="0" fontId="3" fillId="0" borderId="0" xfId="6" applyFont="1" applyAlignment="1" applyProtection="1">
      <alignment horizontal="left"/>
    </xf>
    <xf numFmtId="0" fontId="3" fillId="0" borderId="0" xfId="6" applyFont="1" applyProtection="1"/>
    <xf numFmtId="0" fontId="4" fillId="0" borderId="0" xfId="6" applyFont="1" applyProtection="1">
      <protection locked="0"/>
    </xf>
    <xf numFmtId="0" fontId="1" fillId="0" borderId="0" xfId="6" applyAlignment="1" applyProtection="1">
      <alignment horizontal="left"/>
      <protection locked="0"/>
    </xf>
    <xf numFmtId="1" fontId="1" fillId="0" borderId="0" xfId="6" applyNumberFormat="1" applyProtection="1">
      <protection locked="0"/>
    </xf>
    <xf numFmtId="0" fontId="3" fillId="0" borderId="0" xfId="6" applyFont="1" applyProtection="1">
      <protection locked="0"/>
    </xf>
    <xf numFmtId="49" fontId="1" fillId="0" borderId="0" xfId="6" applyNumberFormat="1" applyProtection="1">
      <protection locked="0"/>
    </xf>
    <xf numFmtId="0" fontId="2" fillId="0" borderId="0" xfId="6" applyFont="1" applyProtection="1">
      <protection locked="0"/>
    </xf>
    <xf numFmtId="0" fontId="0" fillId="0" borderId="0" xfId="0" applyAlignment="1">
      <alignment vertical="center" wrapText="1"/>
    </xf>
    <xf numFmtId="165" fontId="0" fillId="0" borderId="0" xfId="0" applyNumberFormat="1"/>
    <xf numFmtId="0" fontId="0" fillId="0" borderId="0" xfId="0" applyAlignment="1">
      <alignment vertical="center"/>
    </xf>
    <xf numFmtId="0" fontId="0" fillId="0" borderId="0" xfId="0" applyAlignment="1">
      <alignment horizontal="center" vertical="center"/>
    </xf>
    <xf numFmtId="167" fontId="1" fillId="0" borderId="0" xfId="4" applyNumberFormat="1" applyFont="1" applyProtection="1">
      <protection locked="0"/>
    </xf>
    <xf numFmtId="165" fontId="5" fillId="0" borderId="0" xfId="4" applyNumberFormat="1" applyFont="1" applyBorder="1"/>
    <xf numFmtId="0" fontId="0" fillId="0" borderId="0" xfId="0" applyFont="1" applyBorder="1"/>
    <xf numFmtId="166" fontId="0" fillId="0" borderId="0" xfId="0" applyNumberFormat="1" applyFont="1" applyBorder="1"/>
    <xf numFmtId="0" fontId="0" fillId="0" borderId="0" xfId="0" applyFill="1" applyBorder="1" applyAlignment="1">
      <alignment vertical="center"/>
    </xf>
    <xf numFmtId="0" fontId="4" fillId="0" borderId="0" xfId="6" applyFont="1" applyProtection="1"/>
    <xf numFmtId="0" fontId="9" fillId="0" borderId="0" xfId="0" quotePrefix="1" applyNumberFormat="1" applyFont="1"/>
    <xf numFmtId="165" fontId="0" fillId="0" borderId="0" xfId="4" applyNumberFormat="1" applyFont="1"/>
    <xf numFmtId="164" fontId="0" fillId="0" borderId="0" xfId="4" applyFont="1"/>
    <xf numFmtId="165" fontId="0" fillId="0" borderId="0" xfId="4" applyNumberFormat="1" applyFont="1" applyBorder="1"/>
    <xf numFmtId="0" fontId="0" fillId="5" borderId="0" xfId="0" applyFill="1" applyAlignment="1">
      <alignment vertical="center"/>
    </xf>
    <xf numFmtId="0" fontId="8" fillId="5" borderId="0" xfId="0" applyFont="1" applyFill="1" applyAlignment="1">
      <alignment horizontal="center" vertical="center"/>
    </xf>
    <xf numFmtId="0" fontId="7" fillId="5" borderId="0" xfId="0" applyFont="1" applyFill="1" applyAlignment="1">
      <alignment horizontal="center" vertical="center"/>
    </xf>
    <xf numFmtId="0" fontId="7" fillId="5" borderId="0" xfId="0" applyFont="1" applyFill="1" applyBorder="1" applyAlignment="1">
      <alignment horizontal="center" vertical="center"/>
    </xf>
    <xf numFmtId="0" fontId="6" fillId="5" borderId="0" xfId="0" applyFont="1" applyFill="1" applyAlignment="1">
      <alignment vertical="center" wrapText="1"/>
    </xf>
    <xf numFmtId="0" fontId="1" fillId="0" borderId="0" xfId="6" applyFill="1" applyProtection="1">
      <protection locked="0"/>
    </xf>
    <xf numFmtId="22" fontId="1" fillId="0" borderId="0" xfId="6" applyNumberFormat="1" applyProtection="1">
      <protection locked="0"/>
    </xf>
    <xf numFmtId="0" fontId="0" fillId="0" borderId="0" xfId="0" applyProtection="1">
      <protection locked="0"/>
    </xf>
    <xf numFmtId="0" fontId="0" fillId="0" borderId="0" xfId="0" applyAlignment="1" applyProtection="1">
      <alignment horizontal="center" vertical="center"/>
      <protection locked="0"/>
    </xf>
    <xf numFmtId="164" fontId="0" fillId="0" borderId="0" xfId="0" applyNumberFormat="1" applyProtection="1">
      <protection locked="0"/>
    </xf>
    <xf numFmtId="165" fontId="0" fillId="0" borderId="0" xfId="4" applyNumberFormat="1" applyFont="1" applyProtection="1">
      <protection locked="0"/>
    </xf>
    <xf numFmtId="2" fontId="1" fillId="0" borderId="0" xfId="6" applyNumberFormat="1" applyProtection="1">
      <protection locked="0"/>
    </xf>
    <xf numFmtId="0" fontId="0" fillId="0" borderId="0" xfId="0" applyAlignment="1" applyProtection="1">
      <alignment horizontal="left"/>
      <protection locked="0"/>
    </xf>
    <xf numFmtId="0" fontId="0" fillId="5" borderId="4" xfId="0" applyFill="1" applyBorder="1" applyAlignment="1">
      <alignment vertical="center"/>
    </xf>
    <xf numFmtId="0" fontId="0" fillId="5" borderId="3" xfId="0" applyFill="1" applyBorder="1" applyAlignment="1">
      <alignment vertical="center"/>
    </xf>
    <xf numFmtId="0" fontId="17" fillId="0" borderId="0" xfId="0" applyFont="1"/>
    <xf numFmtId="0" fontId="0" fillId="0" borderId="0" xfId="0"/>
    <xf numFmtId="0" fontId="0" fillId="0" borderId="0" xfId="0" applyAlignment="1" applyProtection="1">
      <alignment horizontal="center" vertical="center"/>
      <protection locked="0"/>
    </xf>
    <xf numFmtId="0" fontId="18" fillId="0" borderId="0" xfId="6" applyFont="1" applyAlignment="1" applyProtection="1">
      <alignment horizontal="center"/>
    </xf>
    <xf numFmtId="2" fontId="0" fillId="0" borderId="0" xfId="0" applyNumberFormat="1"/>
    <xf numFmtId="0" fontId="7" fillId="5" borderId="3" xfId="0" applyFont="1" applyFill="1" applyBorder="1" applyAlignment="1">
      <alignment horizontal="center" vertical="center"/>
    </xf>
    <xf numFmtId="0" fontId="0" fillId="0" borderId="0" xfId="0" applyBorder="1" applyAlignment="1">
      <alignment vertical="center" wrapText="1"/>
    </xf>
    <xf numFmtId="168" fontId="0" fillId="0" borderId="0" xfId="4" applyNumberFormat="1" applyFont="1" applyProtection="1">
      <protection locked="0"/>
    </xf>
    <xf numFmtId="0" fontId="7" fillId="5" borderId="12" xfId="0" applyFont="1" applyFill="1" applyBorder="1" applyAlignment="1">
      <alignment horizontal="center" vertical="center"/>
    </xf>
    <xf numFmtId="0" fontId="7" fillId="5" borderId="13" xfId="0" applyFont="1" applyFill="1" applyBorder="1" applyAlignment="1">
      <alignment horizontal="center" vertical="center"/>
    </xf>
    <xf numFmtId="0" fontId="15" fillId="7" borderId="1" xfId="3" applyFont="1" applyFill="1" applyBorder="1" applyAlignment="1">
      <alignment horizontal="center" vertical="center" wrapText="1"/>
    </xf>
    <xf numFmtId="0" fontId="11" fillId="6" borderId="1" xfId="3" applyFill="1" applyBorder="1" applyAlignment="1">
      <alignment horizontal="center" vertical="center" wrapText="1"/>
    </xf>
    <xf numFmtId="0" fontId="10" fillId="8" borderId="8" xfId="1" applyFill="1" applyBorder="1" applyAlignment="1">
      <alignment vertical="center"/>
    </xf>
    <xf numFmtId="0" fontId="10" fillId="8" borderId="4" xfId="1" applyFill="1" applyBorder="1" applyAlignment="1">
      <alignment vertical="center"/>
    </xf>
    <xf numFmtId="0" fontId="10" fillId="8" borderId="9" xfId="1" applyFill="1" applyBorder="1" applyAlignment="1">
      <alignment vertical="center"/>
    </xf>
    <xf numFmtId="0" fontId="10" fillId="8" borderId="3" xfId="1" applyFill="1" applyBorder="1" applyAlignment="1">
      <alignment vertical="center"/>
    </xf>
    <xf numFmtId="0" fontId="10" fillId="8" borderId="10" xfId="1" applyFill="1" applyBorder="1" applyAlignment="1">
      <alignment vertical="center"/>
    </xf>
    <xf numFmtId="0" fontId="0" fillId="8" borderId="3" xfId="1" applyFont="1" applyFill="1" applyBorder="1" applyAlignment="1">
      <alignment vertical="center"/>
    </xf>
    <xf numFmtId="0" fontId="0" fillId="8" borderId="2" xfId="1" applyFont="1" applyFill="1" applyBorder="1" applyAlignment="1">
      <alignment vertical="center"/>
    </xf>
    <xf numFmtId="0" fontId="10" fillId="10" borderId="7" xfId="2" applyNumberFormat="1" applyFill="1" applyBorder="1" applyAlignment="1">
      <alignment vertical="center"/>
    </xf>
    <xf numFmtId="0" fontId="10" fillId="10" borderId="1" xfId="2" applyNumberFormat="1" applyFill="1" applyBorder="1" applyAlignment="1">
      <alignment vertical="center"/>
    </xf>
    <xf numFmtId="0" fontId="0" fillId="5" borderId="8" xfId="0" applyFill="1" applyBorder="1" applyAlignment="1">
      <alignment horizontal="left" vertical="center" wrapText="1" indent="1"/>
    </xf>
    <xf numFmtId="0" fontId="0" fillId="5" borderId="9" xfId="0" applyFill="1" applyBorder="1" applyAlignment="1">
      <alignment horizontal="left" vertical="center" wrapText="1" indent="1"/>
    </xf>
    <xf numFmtId="0" fontId="0" fillId="5" borderId="3" xfId="0" applyFill="1" applyBorder="1" applyAlignment="1">
      <alignment horizontal="left" vertical="center" wrapText="1" indent="1"/>
    </xf>
    <xf numFmtId="0" fontId="12" fillId="5" borderId="10" xfId="0" applyFont="1" applyFill="1" applyBorder="1" applyAlignment="1">
      <alignment horizontal="left" vertical="center" wrapText="1" indent="1"/>
    </xf>
    <xf numFmtId="0" fontId="12" fillId="5" borderId="2" xfId="0" applyFont="1" applyFill="1" applyBorder="1" applyAlignment="1">
      <alignment horizontal="left" vertical="center" wrapText="1" indent="1"/>
    </xf>
    <xf numFmtId="0" fontId="10" fillId="10" borderId="5" xfId="2" applyNumberFormat="1" applyFill="1" applyBorder="1" applyAlignment="1">
      <alignment horizontal="center" vertical="center" wrapText="1"/>
    </xf>
    <xf numFmtId="0" fontId="16" fillId="11" borderId="14" xfId="0" applyFont="1" applyFill="1" applyBorder="1"/>
    <xf numFmtId="0" fontId="16" fillId="11" borderId="15" xfId="0" applyFont="1" applyFill="1" applyBorder="1"/>
    <xf numFmtId="0" fontId="16" fillId="11" borderId="16" xfId="0" applyFont="1" applyFill="1" applyBorder="1"/>
    <xf numFmtId="0" fontId="0" fillId="12" borderId="0" xfId="0" applyFill="1"/>
    <xf numFmtId="2" fontId="0" fillId="12" borderId="0" xfId="0" applyNumberFormat="1" applyFill="1"/>
    <xf numFmtId="0" fontId="0" fillId="8" borderId="4" xfId="1" applyFont="1" applyFill="1" applyBorder="1" applyAlignment="1">
      <alignment vertical="center"/>
    </xf>
    <xf numFmtId="0" fontId="0" fillId="5" borderId="9" xfId="0" applyFill="1" applyBorder="1" applyAlignment="1">
      <alignment horizontal="left" vertical="center" wrapText="1" indent="1"/>
    </xf>
    <xf numFmtId="0" fontId="0" fillId="5" borderId="3" xfId="0" applyFill="1" applyBorder="1" applyAlignment="1">
      <alignment horizontal="left" vertical="center" wrapText="1" indent="1"/>
    </xf>
    <xf numFmtId="0" fontId="12" fillId="5" borderId="10" xfId="0" applyFont="1" applyFill="1" applyBorder="1" applyAlignment="1">
      <alignment horizontal="left" vertical="center" wrapText="1" indent="1"/>
    </xf>
    <xf numFmtId="0" fontId="19" fillId="8" borderId="3" xfId="1" applyFont="1" applyFill="1" applyBorder="1" applyAlignment="1">
      <alignment vertical="center"/>
    </xf>
    <xf numFmtId="0" fontId="12" fillId="5" borderId="2" xfId="0" applyFont="1" applyFill="1" applyBorder="1" applyAlignment="1">
      <alignment vertical="center"/>
    </xf>
    <xf numFmtId="0" fontId="20" fillId="0" borderId="0" xfId="0" applyFont="1" applyAlignment="1">
      <alignment vertical="center" wrapText="1"/>
    </xf>
    <xf numFmtId="0" fontId="12" fillId="5" borderId="7" xfId="0" applyFont="1" applyFill="1" applyBorder="1" applyAlignment="1">
      <alignment horizontal="left" vertical="center" wrapText="1" indent="1"/>
    </xf>
    <xf numFmtId="0" fontId="0" fillId="0" borderId="8" xfId="0" applyBorder="1" applyAlignment="1">
      <alignment vertical="center"/>
    </xf>
    <xf numFmtId="0" fontId="22" fillId="5" borderId="0" xfId="0" applyFont="1" applyFill="1" applyAlignment="1"/>
    <xf numFmtId="0" fontId="24" fillId="5" borderId="0" xfId="0" applyFont="1" applyFill="1" applyAlignment="1">
      <alignment horizontal="left" vertical="center"/>
    </xf>
    <xf numFmtId="0" fontId="0" fillId="10" borderId="2" xfId="2" applyNumberFormat="1" applyFont="1" applyFill="1" applyBorder="1" applyAlignment="1">
      <alignment vertical="center"/>
    </xf>
    <xf numFmtId="0" fontId="10" fillId="10" borderId="1" xfId="2" applyNumberFormat="1" applyFill="1" applyBorder="1" applyAlignment="1" applyProtection="1">
      <alignment vertical="center"/>
    </xf>
    <xf numFmtId="22" fontId="0" fillId="0" borderId="0" xfId="0" applyNumberFormat="1" applyProtection="1">
      <protection locked="0"/>
    </xf>
    <xf numFmtId="0" fontId="12" fillId="5" borderId="9" xfId="0" applyFont="1" applyFill="1" applyBorder="1" applyAlignment="1">
      <alignment horizontal="left" vertical="center" wrapText="1" indent="1"/>
    </xf>
    <xf numFmtId="0" fontId="12" fillId="5" borderId="0" xfId="0" applyFont="1" applyFill="1" applyBorder="1" applyAlignment="1">
      <alignment horizontal="left" vertical="center" wrapText="1" indent="1"/>
    </xf>
    <xf numFmtId="0" fontId="11" fillId="9" borderId="5" xfId="3" applyFont="1" applyFill="1" applyBorder="1" applyAlignment="1">
      <alignment horizontal="left" vertical="center" wrapText="1"/>
    </xf>
    <xf numFmtId="0" fontId="11" fillId="9" borderId="7" xfId="3" applyFont="1" applyFill="1" applyBorder="1" applyAlignment="1">
      <alignment horizontal="left" vertical="center" wrapText="1"/>
    </xf>
    <xf numFmtId="0" fontId="23" fillId="9" borderId="5" xfId="3" applyFont="1" applyFill="1" applyBorder="1" applyAlignment="1">
      <alignment horizontal="left" vertical="center" wrapText="1" indent="1"/>
    </xf>
    <xf numFmtId="0" fontId="23" fillId="9" borderId="6" xfId="3" applyFont="1" applyFill="1" applyBorder="1" applyAlignment="1">
      <alignment horizontal="left" vertical="center" wrapText="1" indent="1"/>
    </xf>
    <xf numFmtId="0" fontId="23" fillId="9" borderId="4" xfId="3" applyFont="1" applyFill="1" applyBorder="1" applyAlignment="1">
      <alignment horizontal="left" vertical="center" wrapText="1" indent="1"/>
    </xf>
    <xf numFmtId="0" fontId="10" fillId="10" borderId="5" xfId="2" applyNumberFormat="1" applyFill="1" applyBorder="1" applyAlignment="1">
      <alignment horizontal="center" vertical="center" wrapText="1"/>
    </xf>
    <xf numFmtId="0" fontId="10" fillId="10" borderId="7" xfId="2" applyNumberFormat="1" applyFill="1" applyBorder="1" applyAlignment="1">
      <alignment horizontal="center" vertical="center" wrapText="1"/>
    </xf>
    <xf numFmtId="0" fontId="6" fillId="5" borderId="0" xfId="0" applyFont="1" applyFill="1" applyAlignment="1">
      <alignment horizontal="right" vertical="center"/>
    </xf>
    <xf numFmtId="0" fontId="21" fillId="5" borderId="0" xfId="0" applyFont="1" applyFill="1" applyAlignment="1">
      <alignment horizontal="right" vertical="center"/>
    </xf>
    <xf numFmtId="0" fontId="11" fillId="7" borderId="5" xfId="3" applyFont="1" applyFill="1" applyBorder="1" applyAlignment="1">
      <alignment horizontal="left" vertical="center"/>
    </xf>
    <xf numFmtId="0" fontId="11" fillId="7" borderId="6" xfId="3" applyFont="1" applyFill="1" applyBorder="1" applyAlignment="1">
      <alignment horizontal="left" vertical="center"/>
    </xf>
    <xf numFmtId="0" fontId="23" fillId="7" borderId="5" xfId="3" applyFont="1" applyFill="1" applyBorder="1" applyAlignment="1">
      <alignment horizontal="left" vertical="center" indent="1"/>
    </xf>
    <xf numFmtId="0" fontId="23" fillId="7" borderId="6" xfId="3" applyFont="1" applyFill="1" applyBorder="1" applyAlignment="1">
      <alignment horizontal="left" vertical="center" indent="1"/>
    </xf>
    <xf numFmtId="0" fontId="23" fillId="7" borderId="7" xfId="3" applyFont="1" applyFill="1" applyBorder="1" applyAlignment="1">
      <alignment horizontal="left" vertical="center" indent="1"/>
    </xf>
    <xf numFmtId="0" fontId="0" fillId="5" borderId="8" xfId="0" applyFill="1" applyBorder="1" applyAlignment="1">
      <alignment horizontal="left" vertical="center" wrapText="1" indent="1"/>
    </xf>
    <xf numFmtId="0" fontId="0" fillId="5" borderId="4" xfId="0" applyFill="1" applyBorder="1" applyAlignment="1">
      <alignment horizontal="left" vertical="center" wrapText="1" indent="1"/>
    </xf>
    <xf numFmtId="0" fontId="0" fillId="5" borderId="9" xfId="0" applyFill="1" applyBorder="1" applyAlignment="1">
      <alignment horizontal="left" vertical="center" wrapText="1" indent="1"/>
    </xf>
    <xf numFmtId="0" fontId="0" fillId="5" borderId="3" xfId="0" applyFill="1" applyBorder="1" applyAlignment="1">
      <alignment horizontal="left" vertical="center" wrapText="1" indent="1"/>
    </xf>
    <xf numFmtId="0" fontId="25" fillId="5" borderId="0" xfId="0" applyFont="1" applyFill="1" applyAlignment="1">
      <alignment horizontal="left" vertical="center" wrapText="1" indent="1"/>
    </xf>
    <xf numFmtId="0" fontId="0" fillId="0" borderId="9" xfId="0" applyBorder="1" applyAlignment="1">
      <alignment horizontal="left" vertical="center" wrapText="1" indent="1"/>
    </xf>
    <xf numFmtId="0" fontId="23" fillId="9" borderId="7" xfId="3" applyFont="1" applyFill="1" applyBorder="1" applyAlignment="1">
      <alignment horizontal="left" vertical="center" wrapText="1" indent="1"/>
    </xf>
    <xf numFmtId="0" fontId="0" fillId="5" borderId="11" xfId="0" applyFill="1" applyBorder="1" applyAlignment="1">
      <alignment horizontal="left" vertical="center" wrapText="1" indent="1"/>
    </xf>
    <xf numFmtId="0" fontId="12" fillId="5" borderId="9" xfId="0" applyFont="1" applyFill="1" applyBorder="1" applyAlignment="1">
      <alignment horizontal="left" vertical="center" wrapText="1"/>
    </xf>
    <xf numFmtId="0" fontId="12" fillId="5" borderId="3" xfId="0" applyFont="1" applyFill="1" applyBorder="1" applyAlignment="1">
      <alignment horizontal="left" vertical="center" wrapText="1"/>
    </xf>
    <xf numFmtId="0" fontId="12" fillId="5" borderId="10" xfId="0" applyFont="1" applyFill="1" applyBorder="1" applyAlignment="1">
      <alignment horizontal="left" vertical="center" wrapText="1" indent="1"/>
    </xf>
    <xf numFmtId="0" fontId="12" fillId="5" borderId="2" xfId="0" applyFont="1" applyFill="1" applyBorder="1" applyAlignment="1">
      <alignment horizontal="left" vertical="center" wrapText="1" indent="1"/>
    </xf>
    <xf numFmtId="0" fontId="12" fillId="5" borderId="3" xfId="0" applyFont="1" applyFill="1" applyBorder="1" applyAlignment="1">
      <alignment horizontal="left" vertical="center" wrapText="1" indent="1"/>
    </xf>
  </cellXfs>
  <cellStyles count="139">
    <cellStyle name="40% - Accent2" xfId="1" builtinId="35"/>
    <cellStyle name="40% - Accent3" xfId="2" builtinId="39"/>
    <cellStyle name="Accent2" xfId="3" builtinId="33"/>
    <cellStyle name="Comma" xfId="4" builtinId="3"/>
    <cellStyle name="Comma 2" xfId="5" xr:uid="{00000000-0005-0000-0000-000004000000}"/>
    <cellStyle name="Comma 3" xfId="48" xr:uid="{00000000-0005-0000-0000-000005000000}"/>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7"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1" builtinId="8" hidden="1"/>
    <cellStyle name="Hyperlink" xfId="133" builtinId="8" hidden="1"/>
    <cellStyle name="Hyperlink" xfId="135" builtinId="8" hidden="1"/>
    <cellStyle name="Hyperlink" xfId="137" builtinId="8" hidden="1"/>
    <cellStyle name="Normal" xfId="0" builtinId="0"/>
    <cellStyle name="Normal 2" xfId="6" xr:uid="{00000000-0005-0000-0000-00008A000000}"/>
  </cellStyles>
  <dxfs count="0"/>
  <tableStyles count="0" defaultTableStyle="TableStyleMedium9" defaultPivotStyle="PivotStyleLight16"/>
  <colors>
    <mruColors>
      <color rgb="FFD2A000"/>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Lines="4" dropStyle="combo" dx="16" fmlaLink="KEY!$I$11" fmlaRange="KEY!$O$22:$O$25" noThreeD="1" sel="1" val="0"/>
</file>

<file path=xl/ctrlProps/ctrlProp3.xml><?xml version="1.0" encoding="utf-8"?>
<formControlPr xmlns="http://schemas.microsoft.com/office/spreadsheetml/2009/9/main" objectType="Drop" dropLines="4" dropStyle="combo" dx="16" fmlaLink="KEY!$I$12" fmlaRange="KEY!$S$22:$S$25" noThreeD="1" sel="1" val="0"/>
</file>

<file path=xl/ctrlProps/ctrlProp4.xml><?xml version="1.0" encoding="utf-8"?>
<formControlPr xmlns="http://schemas.microsoft.com/office/spreadsheetml/2009/9/main" objectType="Drop" dropLines="4" dropStyle="combo" dx="16" fmlaLink="KEY!$I$35" fmlaRange="KEY!$P$22:$P$26" noThreeD="1" sel="1" val="0"/>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1</xdr:col>
      <xdr:colOff>352425</xdr:colOff>
      <xdr:row>28</xdr:row>
      <xdr:rowOff>19050</xdr:rowOff>
    </xdr:from>
    <xdr:to>
      <xdr:col>1</xdr:col>
      <xdr:colOff>428625</xdr:colOff>
      <xdr:row>29</xdr:row>
      <xdr:rowOff>57150</xdr:rowOff>
    </xdr:to>
    <xdr:sp macro="" textlink="">
      <xdr:nvSpPr>
        <xdr:cNvPr id="2050" name="Text Box 1">
          <a:extLst>
            <a:ext uri="{FF2B5EF4-FFF2-40B4-BE49-F238E27FC236}">
              <a16:creationId xmlns:a16="http://schemas.microsoft.com/office/drawing/2014/main" id="{00000000-0008-0000-0000-000002080000}"/>
            </a:ext>
          </a:extLst>
        </xdr:cNvPr>
        <xdr:cNvSpPr txBox="1">
          <a:spLocks noChangeArrowheads="1"/>
        </xdr:cNvSpPr>
      </xdr:nvSpPr>
      <xdr:spPr bwMode="auto">
        <a:xfrm>
          <a:off x="962025" y="4572000"/>
          <a:ext cx="76200" cy="200025"/>
        </a:xfrm>
        <a:prstGeom prst="rect">
          <a:avLst/>
        </a:prstGeom>
        <a:noFill/>
        <a:ln w="9525">
          <a:noFill/>
          <a:miter lim="800000"/>
          <a:headEnd/>
          <a:tailEnd/>
        </a:ln>
      </xdr:spPr>
    </xdr:sp>
    <xdr:clientData/>
  </xdr:twoCellAnchor>
  <mc:AlternateContent xmlns:mc="http://schemas.openxmlformats.org/markup-compatibility/2006">
    <mc:Choice xmlns:a14="http://schemas.microsoft.com/office/drawing/2010/main" Requires="a14">
      <xdr:twoCellAnchor>
        <xdr:from>
          <xdr:col>5</xdr:col>
          <xdr:colOff>28575</xdr:colOff>
          <xdr:row>2</xdr:row>
          <xdr:rowOff>38100</xdr:rowOff>
        </xdr:from>
        <xdr:to>
          <xdr:col>7</xdr:col>
          <xdr:colOff>581025</xdr:colOff>
          <xdr:row>4</xdr:row>
          <xdr:rowOff>114300</xdr:rowOff>
        </xdr:to>
        <xdr:sp macro="" textlink="">
          <xdr:nvSpPr>
            <xdr:cNvPr id="2" name="Button 2" hidden="1">
              <a:extLst>
                <a:ext uri="{63B3BB69-23CF-44E3-9099-C40C66FF867C}">
                  <a14:compatExt spid="_x0000_s2050"/>
                </a:ext>
                <a:ext uri="{FF2B5EF4-FFF2-40B4-BE49-F238E27FC236}">
                  <a16:creationId xmlns:a16="http://schemas.microsoft.com/office/drawing/2014/main" id="{00000000-0008-0000-0000-000002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Start Assignment</a:t>
              </a:r>
            </a:p>
          </xdr:txBody>
        </xdr:sp>
        <xdr:clientData fPrintsWithSheet="0"/>
      </xdr:twoCellAnchor>
    </mc:Choice>
    <mc:Fallback/>
  </mc:AlternateContent>
  <xdr:twoCellAnchor>
    <xdr:from>
      <xdr:col>0</xdr:col>
      <xdr:colOff>504825</xdr:colOff>
      <xdr:row>7</xdr:row>
      <xdr:rowOff>19050</xdr:rowOff>
    </xdr:from>
    <xdr:to>
      <xdr:col>11</xdr:col>
      <xdr:colOff>314325</xdr:colOff>
      <xdr:row>28</xdr:row>
      <xdr:rowOff>28575</xdr:rowOff>
    </xdr:to>
    <xdr:sp macro="" textlink="">
      <xdr:nvSpPr>
        <xdr:cNvPr id="4" name="Text Box 1">
          <a:extLst>
            <a:ext uri="{FF2B5EF4-FFF2-40B4-BE49-F238E27FC236}">
              <a16:creationId xmlns:a16="http://schemas.microsoft.com/office/drawing/2014/main" id="{00000000-0008-0000-0000-000004000000}"/>
            </a:ext>
          </a:extLst>
        </xdr:cNvPr>
        <xdr:cNvSpPr txBox="1">
          <a:spLocks noChangeArrowheads="1"/>
        </xdr:cNvSpPr>
      </xdr:nvSpPr>
      <xdr:spPr bwMode="auto">
        <a:xfrm>
          <a:off x="504825" y="1190625"/>
          <a:ext cx="6810375" cy="3409950"/>
        </a:xfrm>
        <a:prstGeom prst="rect">
          <a:avLst/>
        </a:prstGeom>
        <a:solidFill>
          <a:schemeClr val="accent5">
            <a:lumMod val="40000"/>
            <a:lumOff val="60000"/>
          </a:schemeClr>
        </a:solidFill>
        <a:ln w="9525">
          <a:solidFill>
            <a:srgbClr val="000000"/>
          </a:solidFill>
          <a:miter lim="800000"/>
          <a:headEnd/>
          <a:tailEnd/>
        </a:ln>
      </xdr:spPr>
      <xdr:txBody>
        <a:bodyPr vertOverflow="clip" wrap="square" lIns="36576" tIns="22860" rIns="0" bIns="0" anchor="t" upright="1"/>
        <a:lstStyle/>
        <a:p>
          <a:pPr algn="l" rtl="0">
            <a:defRPr sz="1000"/>
          </a:pPr>
          <a:r>
            <a:rPr lang="en-US" sz="1200" b="1" i="1" u="sng" strike="noStrike" baseline="0">
              <a:solidFill>
                <a:srgbClr val="FF0000"/>
              </a:solidFill>
              <a:latin typeface="Verdana"/>
            </a:rPr>
            <a:t>IMPORTANT INSTRUCTIONS - Please Read!</a:t>
          </a:r>
          <a:endParaRPr lang="en-US" sz="1000" b="1" i="0" u="none" strike="noStrike" baseline="0">
            <a:solidFill>
              <a:srgbClr val="FF0000"/>
            </a:solidFill>
            <a:latin typeface="Verdana"/>
          </a:endParaRPr>
        </a:p>
        <a:p>
          <a:pPr algn="l" rtl="0">
            <a:defRPr sz="1000"/>
          </a:pPr>
          <a:endParaRPr lang="en-US" sz="1000" b="0" i="0" u="none" strike="noStrike" baseline="0">
            <a:solidFill>
              <a:srgbClr val="000000"/>
            </a:solidFill>
            <a:latin typeface="Verdana"/>
          </a:endParaRPr>
        </a:p>
        <a:p>
          <a:pPr algn="l" rtl="0">
            <a:defRPr sz="1000"/>
          </a:pPr>
          <a:r>
            <a:rPr lang="en-US" sz="900" b="0" i="0" u="none" strike="noStrike" baseline="0">
              <a:solidFill>
                <a:srgbClr val="000000"/>
              </a:solidFill>
              <a:latin typeface="Verdana"/>
            </a:rPr>
            <a:t>1. </a:t>
          </a:r>
          <a:r>
            <a:rPr lang="en-US" sz="900" b="1" i="0" u="none" strike="noStrike" baseline="0">
              <a:solidFill>
                <a:srgbClr val="000000"/>
              </a:solidFill>
              <a:latin typeface="Verdana"/>
            </a:rPr>
            <a:t>There will be a new set of Instructions on the 'I</a:t>
          </a:r>
          <a:r>
            <a:rPr lang="tr-TR" sz="900" b="1" i="0" u="none" strike="noStrike" baseline="0">
              <a:solidFill>
                <a:srgbClr val="000000"/>
              </a:solidFill>
              <a:latin typeface="Verdana"/>
            </a:rPr>
            <a:t>nstructions</a:t>
          </a:r>
          <a:r>
            <a:rPr lang="en-US" sz="900" b="1" i="0" u="none" strike="noStrike" baseline="0">
              <a:solidFill>
                <a:srgbClr val="000000"/>
              </a:solidFill>
              <a:latin typeface="Verdana"/>
            </a:rPr>
            <a:t>' Sheet of each homework. </a:t>
          </a:r>
          <a:r>
            <a:rPr lang="en-US" sz="900" b="1" i="1" u="sng" strike="noStrike" baseline="0">
              <a:solidFill>
                <a:srgbClr val="000000"/>
              </a:solidFill>
              <a:latin typeface="Verdana"/>
            </a:rPr>
            <a:t>It is your responsibility to read the instructions for each homework.</a:t>
          </a:r>
          <a:r>
            <a:rPr lang="en-US" sz="900" b="1" i="0" u="none" strike="noStrike" baseline="0">
              <a:solidFill>
                <a:srgbClr val="000000"/>
              </a:solidFill>
              <a:latin typeface="Verdana"/>
            </a:rPr>
            <a:t> </a:t>
          </a:r>
          <a:r>
            <a:rPr lang="en-US" sz="900" b="0" i="0" u="none" strike="noStrike" baseline="0">
              <a:solidFill>
                <a:srgbClr val="000000"/>
              </a:solidFill>
              <a:latin typeface="Verdana"/>
            </a:rPr>
            <a:t>We will not give credit for not following directions. Pay special attention to formatting instructions. No credit will be given for improperly formatted answers or rounded answers. </a:t>
          </a:r>
        </a:p>
        <a:p>
          <a:pPr algn="l" rtl="0">
            <a:defRPr sz="1000"/>
          </a:pPr>
          <a:endParaRPr lang="en-US" sz="900" b="0" i="0" u="none" strike="noStrike" baseline="0">
            <a:solidFill>
              <a:srgbClr val="000000"/>
            </a:solidFill>
            <a:latin typeface="Verdana"/>
          </a:endParaRPr>
        </a:p>
        <a:p>
          <a:pPr algn="l" rtl="0">
            <a:defRPr sz="1000"/>
          </a:pPr>
          <a:r>
            <a:rPr lang="en-US" sz="900" b="0" i="0" u="none" strike="noStrike" baseline="0">
              <a:solidFill>
                <a:srgbClr val="000000"/>
              </a:solidFill>
              <a:latin typeface="Verdana"/>
            </a:rPr>
            <a:t>2. </a:t>
          </a:r>
          <a:r>
            <a:rPr lang="tr-TR" sz="900" b="1" i="0" u="sng" strike="noStrike" baseline="0">
              <a:solidFill>
                <a:srgbClr val="000000"/>
              </a:solidFill>
              <a:latin typeface="Verdana"/>
            </a:rPr>
            <a:t>DO NOT </a:t>
          </a:r>
          <a:r>
            <a:rPr lang="tr-TR" sz="900" b="0" i="0" u="none" strike="noStrike" baseline="0">
              <a:solidFill>
                <a:srgbClr val="000000"/>
              </a:solidFill>
              <a:latin typeface="Verdana"/>
            </a:rPr>
            <a:t>change the name of sheets and </a:t>
          </a:r>
          <a:r>
            <a:rPr lang="tr-TR" sz="900" b="1" i="0" u="sng" strike="noStrike" baseline="0">
              <a:solidFill>
                <a:srgbClr val="000000"/>
              </a:solidFill>
              <a:latin typeface="Verdana"/>
            </a:rPr>
            <a:t>DO NOT</a:t>
          </a:r>
          <a:r>
            <a:rPr lang="tr-TR" sz="900" b="0" i="0" u="none" strike="noStrike" baseline="0">
              <a:solidFill>
                <a:srgbClr val="000000"/>
              </a:solidFill>
              <a:latin typeface="Verdana"/>
            </a:rPr>
            <a:t> delete the sheets.</a:t>
          </a:r>
          <a:endParaRPr lang="tr-TR" sz="1000" b="0" i="0" u="none" strike="noStrike" baseline="0">
            <a:solidFill>
              <a:sysClr val="windowText" lastClr="000000"/>
            </a:solidFill>
            <a:effectLst/>
            <a:latin typeface="+mn-lt"/>
            <a:ea typeface="+mn-ea"/>
            <a:cs typeface="+mn-cs"/>
          </a:endParaRPr>
        </a:p>
        <a:p>
          <a:pPr algn="l" rtl="0">
            <a:defRPr sz="1000"/>
          </a:pPr>
          <a:endParaRPr lang="en-US" sz="900" b="0" i="0" u="none" strike="noStrike" baseline="0">
            <a:solidFill>
              <a:srgbClr val="000000"/>
            </a:solidFill>
            <a:latin typeface="Verdana"/>
          </a:endParaRPr>
        </a:p>
        <a:p>
          <a:pPr algn="l" rtl="0">
            <a:defRPr sz="1000"/>
          </a:pPr>
          <a:r>
            <a:rPr lang="tr-TR" sz="900" b="0" i="0" u="none" strike="noStrike" baseline="0">
              <a:solidFill>
                <a:srgbClr val="000000"/>
              </a:solidFill>
              <a:latin typeface="Verdana"/>
            </a:rPr>
            <a:t>3</a:t>
          </a:r>
          <a:r>
            <a:rPr lang="en-US" sz="900" b="0" i="0" u="none" strike="noStrike" baseline="0">
              <a:solidFill>
                <a:srgbClr val="000000"/>
              </a:solidFill>
              <a:latin typeface="Verdana"/>
            </a:rPr>
            <a:t>. This homework must be submitted online </a:t>
          </a:r>
          <a:r>
            <a:rPr lang="en-US" sz="900" b="1" i="1" u="sng" strike="noStrike" baseline="0">
              <a:solidFill>
                <a:srgbClr val="FF0000"/>
              </a:solidFill>
              <a:latin typeface="Verdana"/>
            </a:rPr>
            <a:t>before </a:t>
          </a:r>
          <a:r>
            <a:rPr lang="tr-TR" sz="900" b="1" i="1" u="sng" strike="noStrike" baseline="0">
              <a:solidFill>
                <a:srgbClr val="FF0000"/>
              </a:solidFill>
              <a:latin typeface="Verdana"/>
            </a:rPr>
            <a:t>9</a:t>
          </a:r>
          <a:r>
            <a:rPr lang="en-US" sz="900" b="1" i="1" u="sng" strike="noStrike" baseline="0">
              <a:solidFill>
                <a:srgbClr val="FF0000"/>
              </a:solidFill>
              <a:latin typeface="Verdana"/>
            </a:rPr>
            <a:t>:</a:t>
          </a:r>
          <a:r>
            <a:rPr lang="tr-TR" sz="900" b="1" i="1" u="sng" strike="noStrike" baseline="0">
              <a:solidFill>
                <a:srgbClr val="FF0000"/>
              </a:solidFill>
              <a:latin typeface="Verdana"/>
            </a:rPr>
            <a:t>0</a:t>
          </a:r>
          <a:r>
            <a:rPr lang="en-US" sz="900" b="1" i="1" u="sng" strike="noStrike" baseline="0">
              <a:solidFill>
                <a:srgbClr val="FF0000"/>
              </a:solidFill>
              <a:latin typeface="Verdana"/>
            </a:rPr>
            <a:t>0 AM on</a:t>
          </a:r>
          <a:r>
            <a:rPr lang="tr-TR" sz="900" b="1" i="1" u="sng" strike="noStrike" baseline="0">
              <a:solidFill>
                <a:srgbClr val="FF0000"/>
              </a:solidFill>
              <a:latin typeface="Verdana"/>
            </a:rPr>
            <a:t> Wednesday, November 1st</a:t>
          </a:r>
          <a:r>
            <a:rPr lang="en-US" sz="900" b="1" i="1" u="sng" strike="noStrike" baseline="0">
              <a:solidFill>
                <a:srgbClr val="FF0000"/>
              </a:solidFill>
              <a:latin typeface="Verdana"/>
            </a:rPr>
            <a:t>, 201</a:t>
          </a:r>
          <a:r>
            <a:rPr lang="tr-TR" sz="900" b="1" i="1" u="sng" strike="noStrike" baseline="0">
              <a:solidFill>
                <a:srgbClr val="FF0000"/>
              </a:solidFill>
              <a:latin typeface="Verdana"/>
            </a:rPr>
            <a:t>7</a:t>
          </a:r>
          <a:r>
            <a:rPr lang="en-US" sz="900" b="0" i="0" u="none" strike="noStrike" baseline="0">
              <a:solidFill>
                <a:srgbClr val="000000"/>
              </a:solidFill>
              <a:latin typeface="Verdana"/>
            </a:rPr>
            <a:t>. Late </a:t>
          </a:r>
          <a:r>
            <a:rPr lang="tr-TR" sz="1050" b="0" i="0">
              <a:effectLst/>
              <a:latin typeface="+mn-lt"/>
              <a:ea typeface="+mn-ea"/>
              <a:cs typeface="+mn-cs"/>
            </a:rPr>
            <a:t>submission will </a:t>
          </a:r>
          <a:r>
            <a:rPr lang="tr-TR" sz="1050" b="1" i="0">
              <a:effectLst/>
              <a:latin typeface="+mn-lt"/>
              <a:ea typeface="+mn-ea"/>
              <a:cs typeface="+mn-cs"/>
            </a:rPr>
            <a:t>not be accepted after the stated deadline</a:t>
          </a:r>
          <a:r>
            <a:rPr lang="tr-TR" sz="1050" b="0" i="0">
              <a:effectLst/>
              <a:latin typeface="+mn-lt"/>
              <a:ea typeface="+mn-ea"/>
              <a:cs typeface="+mn-cs"/>
            </a:rPr>
            <a:t> for any reason. </a:t>
          </a:r>
        </a:p>
        <a:p>
          <a:pPr algn="l" rtl="0">
            <a:defRPr sz="1000"/>
          </a:pPr>
          <a:endParaRPr lang="en-US" sz="900" b="0" i="0" u="none" strike="noStrike" baseline="0">
            <a:solidFill>
              <a:srgbClr val="000000"/>
            </a:solidFill>
            <a:latin typeface="Verdana"/>
          </a:endParaRPr>
        </a:p>
        <a:p>
          <a:pPr algn="l" rtl="0">
            <a:defRPr sz="1000"/>
          </a:pPr>
          <a:r>
            <a:rPr lang="tr-TR" sz="900" b="0" i="0" u="none" strike="noStrike" baseline="0">
              <a:solidFill>
                <a:srgbClr val="000000"/>
              </a:solidFill>
              <a:latin typeface="Verdana"/>
            </a:rPr>
            <a:t>4</a:t>
          </a:r>
          <a:r>
            <a:rPr lang="en-US" sz="900" b="0" i="0" u="none" strike="noStrike" baseline="0">
              <a:solidFill>
                <a:srgbClr val="000000"/>
              </a:solidFill>
              <a:latin typeface="Verdana"/>
            </a:rPr>
            <a:t>.  The </a:t>
          </a:r>
          <a:r>
            <a:rPr lang="en-US" sz="900" b="1" i="0" u="none" strike="noStrike" baseline="0">
              <a:solidFill>
                <a:srgbClr val="000000"/>
              </a:solidFill>
              <a:latin typeface="Verdana"/>
            </a:rPr>
            <a:t>BEST</a:t>
          </a:r>
          <a:r>
            <a:rPr lang="en-US" sz="900" b="0" i="0" u="none" strike="noStrike" baseline="0">
              <a:solidFill>
                <a:srgbClr val="000000"/>
              </a:solidFill>
              <a:latin typeface="Verdana"/>
            </a:rPr>
            <a:t> way to enter an answer into an </a:t>
          </a:r>
          <a:r>
            <a:rPr lang="en-US" sz="900" b="0" i="1" u="none" strike="noStrike" baseline="0">
              <a:solidFill>
                <a:srgbClr val="000000"/>
              </a:solidFill>
              <a:latin typeface="Verdana"/>
            </a:rPr>
            <a:t>answer cell</a:t>
          </a:r>
          <a:r>
            <a:rPr lang="en-US" sz="900" b="0" i="0" u="none" strike="noStrike" baseline="0">
              <a:solidFill>
                <a:srgbClr val="000000"/>
              </a:solidFill>
              <a:latin typeface="Verdana"/>
            </a:rPr>
            <a:t> in an Excel homework is to </a:t>
          </a:r>
          <a:r>
            <a:rPr lang="en-US" sz="900" b="0" i="1" u="none" strike="noStrike" baseline="0">
              <a:solidFill>
                <a:srgbClr val="000000"/>
              </a:solidFill>
              <a:latin typeface="Verdana"/>
            </a:rPr>
            <a:t>copy </a:t>
          </a:r>
          <a:r>
            <a:rPr lang="en-US" sz="900" b="0" i="0" u="none" strike="noStrike" baseline="0">
              <a:solidFill>
                <a:srgbClr val="000000"/>
              </a:solidFill>
              <a:latin typeface="Verdana"/>
            </a:rPr>
            <a:t>the cell containing the answer, then </a:t>
          </a:r>
          <a:r>
            <a:rPr lang="en-US" sz="900" b="0" i="1" u="none" strike="noStrike" baseline="0">
              <a:solidFill>
                <a:srgbClr val="000000"/>
              </a:solidFill>
              <a:latin typeface="Verdana"/>
            </a:rPr>
            <a:t>select </a:t>
          </a:r>
          <a:r>
            <a:rPr lang="en-US" sz="900" b="0" i="0" u="none" strike="noStrike" baseline="0">
              <a:solidFill>
                <a:srgbClr val="000000"/>
              </a:solidFill>
              <a:latin typeface="Verdana"/>
            </a:rPr>
            <a:t>the answer cell on the </a:t>
          </a:r>
          <a:r>
            <a:rPr lang="en-US" sz="900" b="0" i="1" u="none" strike="noStrike" baseline="0">
              <a:solidFill>
                <a:srgbClr val="000000"/>
              </a:solidFill>
              <a:latin typeface="Verdana"/>
            </a:rPr>
            <a:t>Answers</a:t>
          </a:r>
          <a:r>
            <a:rPr lang="en-US" sz="900" b="0" i="0" u="none" strike="noStrike" baseline="0">
              <a:solidFill>
                <a:srgbClr val="000000"/>
              </a:solidFill>
              <a:latin typeface="Verdana"/>
            </a:rPr>
            <a:t>Worksheet, and choose 'Paste-Special' </a:t>
          </a:r>
          <a:r>
            <a:rPr lang="en-US" sz="900" b="0" i="0" u="none" strike="noStrike" baseline="0">
              <a:solidFill>
                <a:srgbClr val="000000"/>
              </a:solidFill>
              <a:latin typeface="Wingdings"/>
            </a:rPr>
            <a:t>è</a:t>
          </a:r>
          <a:r>
            <a:rPr lang="en-US" sz="900" b="0" i="0" u="none" strike="noStrike" baseline="0">
              <a:solidFill>
                <a:srgbClr val="000000"/>
              </a:solidFill>
              <a:latin typeface="Verdana"/>
            </a:rPr>
            <a:t>'Values.' This will ensure that we receive your </a:t>
          </a:r>
          <a:r>
            <a:rPr lang="en-US" sz="900" b="1" i="1" u="none" strike="noStrike" baseline="0">
              <a:solidFill>
                <a:srgbClr val="000000"/>
              </a:solidFill>
              <a:latin typeface="Verdana"/>
            </a:rPr>
            <a:t>exact</a:t>
          </a:r>
          <a:r>
            <a:rPr lang="en-US" sz="900" b="0" i="0" u="none" strike="noStrike" baseline="0">
              <a:solidFill>
                <a:srgbClr val="000000"/>
              </a:solidFill>
              <a:latin typeface="Verdana"/>
            </a:rPr>
            <a:t> answer and not a </a:t>
          </a:r>
          <a:r>
            <a:rPr lang="en-US" sz="900" b="1" i="1" u="none" strike="noStrike" baseline="0">
              <a:solidFill>
                <a:srgbClr val="000000"/>
              </a:solidFill>
              <a:latin typeface="Verdana"/>
            </a:rPr>
            <a:t>rounded</a:t>
          </a:r>
          <a:r>
            <a:rPr lang="en-US" sz="900" b="0" i="1" u="none" strike="noStrike" baseline="0">
              <a:solidFill>
                <a:srgbClr val="000000"/>
              </a:solidFill>
              <a:latin typeface="Verdana"/>
            </a:rPr>
            <a:t> </a:t>
          </a:r>
          <a:r>
            <a:rPr lang="en-US" sz="900" b="0" i="0" u="none" strike="noStrike" baseline="0">
              <a:solidFill>
                <a:srgbClr val="000000"/>
              </a:solidFill>
              <a:latin typeface="Verdana"/>
            </a:rPr>
            <a:t>answer or a formula referring to the wrong cell.  </a:t>
          </a:r>
        </a:p>
        <a:p>
          <a:pPr algn="l" rtl="0">
            <a:defRPr sz="1000"/>
          </a:pPr>
          <a:endParaRPr lang="en-US" sz="900" b="0" i="0" u="none" strike="noStrike" baseline="0">
            <a:solidFill>
              <a:srgbClr val="000000"/>
            </a:solidFill>
            <a:latin typeface="Verdana"/>
          </a:endParaRPr>
        </a:p>
        <a:p>
          <a:pPr algn="l" rtl="0">
            <a:defRPr sz="1000"/>
          </a:pPr>
          <a:r>
            <a:rPr lang="tr-TR" sz="900" b="0" i="0" u="none" strike="noStrike" baseline="0">
              <a:solidFill>
                <a:srgbClr val="000000"/>
              </a:solidFill>
              <a:latin typeface="Verdana"/>
            </a:rPr>
            <a:t>5</a:t>
          </a:r>
          <a:r>
            <a:rPr lang="en-US" sz="900" b="0" i="0" u="none" strike="noStrike" baseline="0">
              <a:solidFill>
                <a:srgbClr val="000000"/>
              </a:solidFill>
              <a:latin typeface="Verdana"/>
            </a:rPr>
            <a:t>. </a:t>
          </a:r>
          <a:r>
            <a:rPr lang="en-US" sz="900" b="1" i="1" u="sng" strike="noStrike" baseline="0">
              <a:solidFill>
                <a:srgbClr val="000000"/>
              </a:solidFill>
              <a:latin typeface="Verdana"/>
            </a:rPr>
            <a:t>All questions that ask for percentages must be formatted so that Excel can tell it is a percentage.</a:t>
          </a:r>
          <a:r>
            <a:rPr lang="en-US" sz="900" b="0" i="0" u="none" strike="noStrike" baseline="0">
              <a:solidFill>
                <a:srgbClr val="000000"/>
              </a:solidFill>
              <a:latin typeface="Verdana"/>
            </a:rPr>
            <a:t> If the answer it '20 percent,' you may submit an answer that looks like '20%' or '0.2' but </a:t>
          </a:r>
          <a:r>
            <a:rPr lang="en-US" sz="900" b="1" i="1" u="none" strike="noStrike" baseline="0">
              <a:solidFill>
                <a:srgbClr val="000000"/>
              </a:solidFill>
              <a:latin typeface="Verdana"/>
            </a:rPr>
            <a:t>NOT</a:t>
          </a:r>
          <a:r>
            <a:rPr lang="en-US" sz="900" b="0" i="0" u="none" strike="noStrike" baseline="0">
              <a:solidFill>
                <a:srgbClr val="000000"/>
              </a:solidFill>
              <a:latin typeface="Verdana"/>
            </a:rPr>
            <a:t> '20' because Excel doesn't understand it as a %. </a:t>
          </a:r>
        </a:p>
        <a:p>
          <a:pPr algn="l" rtl="0">
            <a:defRPr sz="1000"/>
          </a:pPr>
          <a:endParaRPr lang="tr-TR" sz="900" b="0" i="0" u="none" strike="noStrike" baseline="0">
            <a:solidFill>
              <a:srgbClr val="000000"/>
            </a:solidFill>
            <a:latin typeface="Verdana"/>
          </a:endParaRPr>
        </a:p>
        <a:p>
          <a:pPr marL="0" marR="0" indent="0" algn="l" defTabSz="914400" rtl="0" eaLnBrk="1" fontAlgn="auto" latinLnBrk="0" hangingPunct="1">
            <a:lnSpc>
              <a:spcPct val="100000"/>
            </a:lnSpc>
            <a:spcBef>
              <a:spcPts val="0"/>
            </a:spcBef>
            <a:spcAft>
              <a:spcPts val="0"/>
            </a:spcAft>
            <a:buClrTx/>
            <a:buSzTx/>
            <a:buFontTx/>
            <a:buNone/>
            <a:tabLst/>
            <a:defRPr sz="1000"/>
          </a:pPr>
          <a:r>
            <a:rPr lang="tr-TR" sz="900" b="0" i="0" u="none" strike="noStrike" baseline="0">
              <a:solidFill>
                <a:srgbClr val="000000"/>
              </a:solidFill>
              <a:latin typeface="Verdana"/>
            </a:rPr>
            <a:t>6.</a:t>
          </a:r>
          <a:r>
            <a:rPr lang="tr-TR" sz="1050" b="0" i="0">
              <a:effectLst/>
              <a:latin typeface="+mn-lt"/>
              <a:ea typeface="+mn-ea"/>
              <a:cs typeface="+mn-cs"/>
            </a:rPr>
            <a:t>Please </a:t>
          </a:r>
          <a:r>
            <a:rPr lang="tr-TR" sz="1050" b="1" i="0">
              <a:effectLst/>
              <a:latin typeface="+mn-lt"/>
              <a:ea typeface="+mn-ea"/>
              <a:cs typeface="+mn-cs"/>
            </a:rPr>
            <a:t>DO</a:t>
          </a:r>
          <a:r>
            <a:rPr lang="tr-TR" sz="1050" b="1" i="0" baseline="0">
              <a:effectLst/>
              <a:latin typeface="+mn-lt"/>
              <a:ea typeface="+mn-ea"/>
              <a:cs typeface="+mn-cs"/>
            </a:rPr>
            <a:t> NOT </a:t>
          </a:r>
          <a:r>
            <a:rPr lang="tr-TR" sz="1050" b="0" i="0" baseline="0">
              <a:effectLst/>
              <a:latin typeface="+mn-lt"/>
              <a:ea typeface="+mn-ea"/>
              <a:cs typeface="+mn-cs"/>
            </a:rPr>
            <a:t>forget to </a:t>
          </a:r>
          <a:r>
            <a:rPr lang="en-US" sz="1050" b="0" i="0" baseline="0">
              <a:effectLst/>
              <a:latin typeface="+mn-lt"/>
              <a:ea typeface="+mn-ea"/>
              <a:cs typeface="+mn-cs"/>
            </a:rPr>
            <a:t>review the </a:t>
          </a:r>
          <a:r>
            <a:rPr lang="tr-TR" sz="1050" b="1" i="0" baseline="0">
              <a:effectLst/>
              <a:latin typeface="+mn-lt"/>
              <a:ea typeface="+mn-ea"/>
              <a:cs typeface="+mn-cs"/>
            </a:rPr>
            <a:t>Excel Manual </a:t>
          </a:r>
          <a:r>
            <a:rPr lang="tr-TR" sz="1050" b="0" i="0" baseline="0">
              <a:effectLst/>
              <a:latin typeface="+mn-lt"/>
              <a:ea typeface="+mn-ea"/>
              <a:cs typeface="+mn-cs"/>
            </a:rPr>
            <a:t>pdf file.</a:t>
          </a:r>
        </a:p>
        <a:p>
          <a:pPr marL="0" marR="0" indent="0" algn="l" defTabSz="914400" rtl="0" eaLnBrk="1" fontAlgn="auto" latinLnBrk="0" hangingPunct="1">
            <a:lnSpc>
              <a:spcPct val="100000"/>
            </a:lnSpc>
            <a:spcBef>
              <a:spcPts val="0"/>
            </a:spcBef>
            <a:spcAft>
              <a:spcPts val="0"/>
            </a:spcAft>
            <a:buClrTx/>
            <a:buSzTx/>
            <a:buFontTx/>
            <a:buNone/>
            <a:tabLst/>
            <a:defRPr sz="1000"/>
          </a:pPr>
          <a:endParaRPr lang="tr-TR" sz="900">
            <a:effectLst/>
          </a:endParaRPr>
        </a:p>
        <a:p>
          <a:pPr marL="0" marR="0" indent="0" algn="l" defTabSz="914400" rtl="0" eaLnBrk="1" fontAlgn="auto" latinLnBrk="0" hangingPunct="1">
            <a:lnSpc>
              <a:spcPct val="100000"/>
            </a:lnSpc>
            <a:spcBef>
              <a:spcPts val="0"/>
            </a:spcBef>
            <a:spcAft>
              <a:spcPts val="0"/>
            </a:spcAft>
            <a:buClrTx/>
            <a:buSzTx/>
            <a:buFontTx/>
            <a:buNone/>
            <a:tabLst/>
            <a:defRPr sz="1000"/>
          </a:pPr>
          <a:r>
            <a:rPr lang="tr-TR" sz="900">
              <a:effectLst/>
            </a:rPr>
            <a:t>7.</a:t>
          </a:r>
          <a:r>
            <a:rPr lang="tr-TR" sz="900" baseline="0">
              <a:effectLst/>
            </a:rPr>
            <a:t> </a:t>
          </a:r>
          <a:r>
            <a:rPr lang="tr-TR" sz="900" b="0" i="0" u="none" strike="noStrike" baseline="0">
              <a:solidFill>
                <a:srgbClr val="000000"/>
              </a:solidFill>
              <a:latin typeface="Verdana"/>
              <a:ea typeface="+mn-ea"/>
              <a:cs typeface="+mn-cs"/>
            </a:rPr>
            <a:t>Please  report your results with two decimals.</a:t>
          </a:r>
        </a:p>
        <a:p>
          <a:pPr algn="l" rtl="0">
            <a:defRPr sz="1000"/>
          </a:pPr>
          <a:endParaRPr lang="en-US" sz="800" b="0" i="0" u="none" strike="noStrike" baseline="0">
            <a:solidFill>
              <a:srgbClr val="000000"/>
            </a:solidFill>
            <a:latin typeface="Verdana"/>
          </a:endParaRPr>
        </a:p>
        <a:p>
          <a:pPr algn="l" rtl="0">
            <a:defRPr sz="1000"/>
          </a:pPr>
          <a:endParaRPr lang="en-US" sz="800" b="0" i="0" u="none" strike="noStrike" baseline="0">
            <a:solidFill>
              <a:srgbClr val="000000"/>
            </a:solidFill>
            <a:latin typeface="Verdana"/>
          </a:endParaRPr>
        </a:p>
      </xdr:txBody>
    </xdr:sp>
    <xdr:clientData/>
  </xdr:twoCellAnchor>
  <xdr:twoCellAnchor editAs="oneCell">
    <xdr:from>
      <xdr:col>13</xdr:col>
      <xdr:colOff>9525</xdr:colOff>
      <xdr:row>9</xdr:row>
      <xdr:rowOff>9525</xdr:rowOff>
    </xdr:from>
    <xdr:to>
      <xdr:col>18</xdr:col>
      <xdr:colOff>9525</xdr:colOff>
      <xdr:row>24</xdr:row>
      <xdr:rowOff>152400</xdr:rowOff>
    </xdr:to>
    <xdr:pic>
      <xdr:nvPicPr>
        <xdr:cNvPr id="7" name="Picture 6" descr="http://www.folister.ru/content/node/529/img(29).jpg">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91500" y="1533525"/>
          <a:ext cx="2952750" cy="2628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76200</xdr:colOff>
          <xdr:row>7</xdr:row>
          <xdr:rowOff>85725</xdr:rowOff>
        </xdr:from>
        <xdr:to>
          <xdr:col>5</xdr:col>
          <xdr:colOff>1466850</xdr:colOff>
          <xdr:row>7</xdr:row>
          <xdr:rowOff>314325</xdr:rowOff>
        </xdr:to>
        <xdr:sp macro="" textlink="">
          <xdr:nvSpPr>
            <xdr:cNvPr id="5127" name="Drop Down 7" hidden="1">
              <a:extLst>
                <a:ext uri="{63B3BB69-23CF-44E3-9099-C40C66FF867C}">
                  <a14:compatExt spid="_x0000_s5127"/>
                </a:ext>
                <a:ext uri="{FF2B5EF4-FFF2-40B4-BE49-F238E27FC236}">
                  <a16:creationId xmlns:a16="http://schemas.microsoft.com/office/drawing/2014/main" id="{00000000-0008-0000-0200-00000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76200</xdr:colOff>
          <xdr:row>8</xdr:row>
          <xdr:rowOff>85725</xdr:rowOff>
        </xdr:from>
        <xdr:to>
          <xdr:col>5</xdr:col>
          <xdr:colOff>1466850</xdr:colOff>
          <xdr:row>8</xdr:row>
          <xdr:rowOff>333375</xdr:rowOff>
        </xdr:to>
        <xdr:sp macro="" textlink="">
          <xdr:nvSpPr>
            <xdr:cNvPr id="5129" name="Drop Down 9" hidden="1">
              <a:extLst>
                <a:ext uri="{63B3BB69-23CF-44E3-9099-C40C66FF867C}">
                  <a14:compatExt spid="_x0000_s5129"/>
                </a:ext>
                <a:ext uri="{FF2B5EF4-FFF2-40B4-BE49-F238E27FC236}">
                  <a16:creationId xmlns:a16="http://schemas.microsoft.com/office/drawing/2014/main" id="{00000000-0008-0000-0200-00000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85725</xdr:colOff>
          <xdr:row>40</xdr:row>
          <xdr:rowOff>866775</xdr:rowOff>
        </xdr:from>
        <xdr:to>
          <xdr:col>5</xdr:col>
          <xdr:colOff>1476375</xdr:colOff>
          <xdr:row>40</xdr:row>
          <xdr:rowOff>1114425</xdr:rowOff>
        </xdr:to>
        <xdr:sp macro="" textlink="">
          <xdr:nvSpPr>
            <xdr:cNvPr id="5131" name="Drop Down 11" hidden="1">
              <a:extLst>
                <a:ext uri="{63B3BB69-23CF-44E3-9099-C40C66FF867C}">
                  <a14:compatExt spid="_x0000_s5131"/>
                </a:ext>
                <a:ext uri="{FF2B5EF4-FFF2-40B4-BE49-F238E27FC236}">
                  <a16:creationId xmlns:a16="http://schemas.microsoft.com/office/drawing/2014/main" id="{00000000-0008-0000-0200-00000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P30000"/>
  <sheetViews>
    <sheetView tabSelected="1" workbookViewId="0">
      <selection activeCell="D4" sqref="D4"/>
    </sheetView>
  </sheetViews>
  <sheetFormatPr defaultColWidth="8.85546875" defaultRowHeight="12.75" x14ac:dyDescent="0.2"/>
  <cols>
    <col min="1" max="2" width="8.85546875" style="1"/>
    <col min="3" max="3" width="11" style="1" customWidth="1"/>
    <col min="4" max="4" width="14.28515625" style="1" customWidth="1"/>
    <col min="5" max="237" width="8.85546875" style="1"/>
    <col min="238" max="238" width="8.85546875" style="2"/>
    <col min="239" max="239" width="16.7109375" style="2" bestFit="1" customWidth="1"/>
    <col min="240" max="240" width="8.85546875" style="2"/>
    <col min="241" max="241" width="10.28515625" style="2" bestFit="1" customWidth="1"/>
    <col min="242" max="247" width="8.85546875" style="2"/>
    <col min="248" max="248" width="11.7109375" style="2" customWidth="1"/>
    <col min="249" max="16384" width="8.85546875" style="2"/>
  </cols>
  <sheetData>
    <row r="1" spans="3:15" x14ac:dyDescent="0.2">
      <c r="C1" s="4"/>
      <c r="D1" s="4"/>
      <c r="E1" s="4"/>
      <c r="F1" s="4"/>
      <c r="G1" s="4"/>
      <c r="H1" s="4"/>
      <c r="I1" s="4"/>
      <c r="J1" s="4"/>
      <c r="K1" s="4"/>
      <c r="L1" s="4"/>
      <c r="M1" s="4"/>
      <c r="N1" s="4"/>
      <c r="O1" s="4"/>
    </row>
    <row r="2" spans="3:15" x14ac:dyDescent="0.2">
      <c r="C2" s="6" t="s">
        <v>4968</v>
      </c>
      <c r="D2" s="4"/>
      <c r="E2" s="4"/>
      <c r="F2" s="4"/>
      <c r="G2" s="4"/>
      <c r="H2" s="4"/>
      <c r="I2" s="4"/>
      <c r="J2" s="4"/>
      <c r="K2" s="4"/>
      <c r="L2" s="4"/>
      <c r="M2" s="4"/>
      <c r="N2" s="4"/>
      <c r="O2" s="4"/>
    </row>
    <row r="3" spans="3:15" x14ac:dyDescent="0.2">
      <c r="C3" s="4"/>
      <c r="D3" s="4"/>
      <c r="E3" s="4"/>
      <c r="F3" s="4"/>
      <c r="G3" s="4"/>
      <c r="H3" s="4"/>
      <c r="I3" s="4"/>
      <c r="J3" s="4"/>
      <c r="K3" s="4"/>
      <c r="L3" s="4"/>
      <c r="M3" s="4"/>
      <c r="N3" s="4"/>
      <c r="O3" s="4"/>
    </row>
    <row r="4" spans="3:15" x14ac:dyDescent="0.2">
      <c r="C4" s="5"/>
      <c r="D4" s="5"/>
      <c r="E4" s="4"/>
      <c r="F4" s="4"/>
      <c r="G4" s="4"/>
      <c r="H4" s="4"/>
      <c r="I4" s="4"/>
      <c r="J4" s="4"/>
      <c r="K4" s="4"/>
      <c r="L4" s="4"/>
      <c r="M4" s="4"/>
      <c r="N4" s="4"/>
      <c r="O4" s="4"/>
    </row>
    <row r="5" spans="3:15" ht="15.75" x14ac:dyDescent="0.25">
      <c r="C5" s="4"/>
      <c r="D5" s="4"/>
      <c r="E5" s="4"/>
      <c r="F5" s="4"/>
      <c r="G5" s="4"/>
      <c r="H5" s="4"/>
      <c r="I5" s="4"/>
      <c r="J5" s="4"/>
      <c r="K5" s="4"/>
      <c r="L5" s="4"/>
      <c r="M5" s="4"/>
      <c r="N5" s="45"/>
      <c r="O5" s="4"/>
    </row>
    <row r="6" spans="3:15" x14ac:dyDescent="0.2">
      <c r="C6" s="4"/>
      <c r="D6" s="4"/>
      <c r="E6" s="4"/>
      <c r="F6" s="4"/>
      <c r="G6" s="4"/>
      <c r="H6" s="4"/>
      <c r="I6" s="4"/>
      <c r="J6" s="4"/>
      <c r="K6" s="4"/>
      <c r="L6" s="4"/>
      <c r="M6" s="4"/>
      <c r="N6" s="4"/>
      <c r="O6" s="4"/>
    </row>
    <row r="9" spans="3:15" ht="15" x14ac:dyDescent="0.25">
      <c r="O9"/>
    </row>
    <row r="10" spans="3:15" ht="15" x14ac:dyDescent="0.25">
      <c r="O10"/>
    </row>
    <row r="11" spans="3:15" ht="15" x14ac:dyDescent="0.25">
      <c r="O11"/>
    </row>
    <row r="30" spans="4:247" s="2" customFormat="1" x14ac:dyDescent="0.2">
      <c r="D30" s="3"/>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c r="DU30" s="1"/>
      <c r="DV30" s="1"/>
      <c r="DW30" s="1"/>
      <c r="DX30" s="1"/>
      <c r="DY30" s="1"/>
      <c r="DZ30" s="1"/>
      <c r="EA30" s="1"/>
      <c r="EB30" s="1"/>
      <c r="EC30" s="1"/>
      <c r="ED30" s="1"/>
      <c r="EE30" s="1"/>
      <c r="EF30" s="1"/>
      <c r="EG30" s="1"/>
      <c r="EH30" s="1"/>
      <c r="EI30" s="1"/>
      <c r="EJ30" s="1"/>
      <c r="EK30" s="1"/>
      <c r="EL30" s="1"/>
      <c r="EM30" s="1"/>
      <c r="EN30" s="1"/>
      <c r="EO30" s="1"/>
      <c r="EP30" s="1"/>
      <c r="EQ30" s="1"/>
      <c r="ER30" s="1"/>
      <c r="ES30" s="1"/>
      <c r="ET30" s="1"/>
      <c r="EU30" s="1"/>
      <c r="EV30" s="1"/>
      <c r="EW30" s="1"/>
      <c r="EX30" s="1"/>
      <c r="EY30" s="1"/>
      <c r="EZ30" s="1"/>
      <c r="FA30" s="1"/>
      <c r="FB30" s="1"/>
      <c r="FC30" s="1"/>
      <c r="FD30" s="1"/>
      <c r="FE30" s="1"/>
      <c r="FF30" s="1"/>
      <c r="FG30" s="1"/>
      <c r="FH30" s="1"/>
      <c r="FI30" s="1"/>
      <c r="FJ30" s="1"/>
      <c r="FK30" s="1"/>
      <c r="FL30" s="1"/>
      <c r="FM30" s="1"/>
      <c r="FN30" s="1"/>
      <c r="FO30" s="1"/>
      <c r="FP30" s="1"/>
      <c r="FQ30" s="1"/>
      <c r="FR30" s="1"/>
      <c r="FS30" s="1"/>
      <c r="FT30" s="1"/>
      <c r="FU30" s="1"/>
      <c r="FV30" s="1"/>
      <c r="FW30" s="1"/>
      <c r="FX30" s="1"/>
      <c r="FY30" s="1"/>
      <c r="FZ30" s="1"/>
      <c r="GA30" s="1"/>
      <c r="GB30" s="1"/>
      <c r="GC30" s="1"/>
      <c r="GD30" s="1"/>
      <c r="GE30" s="1"/>
      <c r="GF30" s="1"/>
      <c r="GG30" s="1"/>
      <c r="GH30" s="1"/>
      <c r="GI30" s="1"/>
      <c r="GJ30" s="1"/>
      <c r="GK30" s="1"/>
      <c r="GL30" s="1"/>
      <c r="GM30" s="1"/>
      <c r="GN30" s="1"/>
      <c r="GO30" s="1"/>
      <c r="GP30" s="1"/>
      <c r="GQ30" s="1"/>
      <c r="GR30" s="1"/>
      <c r="GS30" s="1"/>
      <c r="GT30" s="1"/>
      <c r="GU30" s="1"/>
      <c r="GV30" s="1"/>
      <c r="GW30" s="1"/>
      <c r="GX30" s="1"/>
      <c r="GY30" s="1"/>
      <c r="GZ30" s="1"/>
      <c r="HA30" s="1"/>
      <c r="HB30" s="1"/>
      <c r="HC30" s="1"/>
      <c r="HD30" s="1"/>
      <c r="HE30" s="1"/>
      <c r="HF30" s="1"/>
      <c r="HG30" s="1"/>
      <c r="HH30" s="1"/>
      <c r="HI30" s="1"/>
      <c r="HJ30" s="1"/>
      <c r="HK30" s="1"/>
      <c r="HL30" s="1"/>
      <c r="HM30" s="1"/>
      <c r="HN30" s="1"/>
      <c r="HO30" s="1"/>
      <c r="HP30" s="1"/>
      <c r="HQ30" s="1"/>
      <c r="HR30" s="1"/>
      <c r="HS30" s="1"/>
      <c r="HT30" s="1"/>
      <c r="HU30" s="1"/>
      <c r="HV30" s="1"/>
      <c r="HW30" s="1"/>
      <c r="HX30" s="1"/>
      <c r="HY30" s="1"/>
      <c r="HZ30" s="1"/>
      <c r="IA30" s="1"/>
      <c r="IB30" s="1"/>
      <c r="IC30" s="1"/>
    </row>
    <row r="32" spans="4:247" s="2" customFormat="1" x14ac:dyDescent="0.2">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c r="DU32" s="1"/>
      <c r="DV32" s="1"/>
      <c r="DW32" s="1"/>
      <c r="DX32" s="1"/>
      <c r="DY32" s="1"/>
      <c r="DZ32" s="1"/>
      <c r="EA32" s="1"/>
      <c r="EB32" s="1"/>
      <c r="EC32" s="1"/>
      <c r="ED32" s="1"/>
      <c r="EE32" s="1"/>
      <c r="EF32" s="1"/>
      <c r="EG32" s="1"/>
      <c r="EH32" s="1"/>
      <c r="EI32" s="1"/>
      <c r="EJ32" s="1"/>
      <c r="EK32" s="1"/>
      <c r="EL32" s="1"/>
      <c r="EM32" s="1"/>
      <c r="EN32" s="1"/>
      <c r="EO32" s="1"/>
      <c r="EP32" s="1"/>
      <c r="EQ32" s="1"/>
      <c r="ER32" s="1"/>
      <c r="ES32" s="1"/>
      <c r="ET32" s="1"/>
      <c r="EU32" s="1"/>
      <c r="EV32" s="1"/>
      <c r="EW32" s="1"/>
      <c r="EX32" s="1"/>
      <c r="EY32" s="1"/>
      <c r="EZ32" s="1"/>
      <c r="FA32" s="1"/>
      <c r="FB32" s="1"/>
      <c r="FC32" s="1"/>
      <c r="FD32" s="1"/>
      <c r="FE32" s="1"/>
      <c r="FF32" s="1"/>
      <c r="FG32" s="1"/>
      <c r="FH32" s="1"/>
      <c r="FI32" s="1"/>
      <c r="FJ32" s="1"/>
      <c r="FK32" s="1"/>
      <c r="FL32" s="1"/>
      <c r="FM32" s="1"/>
      <c r="FN32" s="1"/>
      <c r="FO32" s="1"/>
      <c r="FP32" s="1"/>
      <c r="FQ32" s="1"/>
      <c r="FR32" s="1"/>
      <c r="FS32" s="1"/>
      <c r="FT32" s="1"/>
      <c r="FU32" s="1"/>
      <c r="FV32" s="1"/>
      <c r="FW32" s="1"/>
      <c r="FX32" s="1"/>
      <c r="FY32" s="1"/>
      <c r="FZ32" s="1"/>
      <c r="GA32" s="1"/>
      <c r="GB32" s="1"/>
      <c r="GC32" s="1"/>
      <c r="GD32" s="1"/>
      <c r="GE32" s="1"/>
      <c r="GF32" s="1"/>
      <c r="GG32" s="1"/>
      <c r="GH32" s="1"/>
      <c r="GI32" s="1"/>
      <c r="GJ32" s="1"/>
      <c r="GK32" s="1"/>
      <c r="GL32" s="1"/>
      <c r="GM32" s="1"/>
      <c r="GN32" s="1"/>
      <c r="GO32" s="1"/>
      <c r="GP32" s="1"/>
      <c r="GQ32" s="1"/>
      <c r="GR32" s="1"/>
      <c r="GS32" s="1"/>
      <c r="GT32" s="1"/>
      <c r="GU32" s="1"/>
      <c r="GV32" s="1"/>
      <c r="GW32" s="1"/>
      <c r="GX32" s="1"/>
      <c r="GY32" s="1"/>
      <c r="GZ32" s="1"/>
      <c r="HA32" s="1"/>
      <c r="HB32" s="1"/>
      <c r="HC32" s="1"/>
      <c r="HD32" s="1"/>
      <c r="HE32" s="1"/>
      <c r="HF32" s="1"/>
      <c r="HG32" s="1"/>
      <c r="HH32" s="1"/>
      <c r="HI32" s="1"/>
      <c r="HJ32" s="1"/>
      <c r="HK32" s="1"/>
      <c r="HL32" s="1"/>
      <c r="HM32" s="1"/>
      <c r="HN32" s="1"/>
      <c r="HO32" s="1"/>
      <c r="HP32" s="1"/>
      <c r="HQ32" s="1"/>
      <c r="HR32" s="1"/>
      <c r="HS32" s="1"/>
      <c r="HT32" s="1"/>
      <c r="HU32" s="1"/>
      <c r="HV32" s="1"/>
      <c r="HW32" s="1"/>
      <c r="HX32" s="1"/>
      <c r="HY32" s="1"/>
      <c r="IA32" s="1"/>
      <c r="IB32" s="1"/>
      <c r="IC32" s="1"/>
      <c r="IM32" s="12"/>
    </row>
    <row r="35" spans="1:237" x14ac:dyDescent="0.2">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c r="AX35" s="2"/>
      <c r="AY35" s="2"/>
      <c r="AZ35" s="2"/>
      <c r="BA35" s="2"/>
      <c r="BB35" s="2"/>
      <c r="BC35" s="2"/>
      <c r="BD35" s="2"/>
      <c r="BE35" s="2"/>
      <c r="BF35" s="2"/>
      <c r="BG35" s="2"/>
      <c r="BH35" s="2"/>
      <c r="BI35" s="2"/>
      <c r="BJ35" s="2"/>
      <c r="BK35" s="2"/>
      <c r="BL35" s="2"/>
      <c r="BM35" s="2"/>
      <c r="BN35" s="2"/>
      <c r="BO35" s="2"/>
      <c r="BP35" s="2"/>
      <c r="BQ35" s="2"/>
      <c r="BR35" s="2"/>
      <c r="BS35" s="2"/>
      <c r="BT35" s="2"/>
      <c r="BU35" s="2"/>
      <c r="BV35" s="2"/>
      <c r="BW35" s="2"/>
      <c r="BX35" s="2"/>
      <c r="BY35" s="2"/>
      <c r="BZ35" s="2"/>
      <c r="CA35" s="2"/>
      <c r="CB35" s="2"/>
      <c r="CC35" s="2"/>
      <c r="CD35" s="2"/>
      <c r="CE35" s="2"/>
      <c r="CF35" s="2"/>
      <c r="CG35" s="2"/>
      <c r="CH35" s="2"/>
      <c r="CI35" s="2"/>
      <c r="CJ35" s="2"/>
      <c r="CK35" s="2"/>
      <c r="CL35" s="2"/>
      <c r="CM35" s="2"/>
      <c r="CN35" s="2"/>
      <c r="CO35" s="2"/>
      <c r="CP35" s="2"/>
      <c r="CQ35" s="2"/>
      <c r="CR35" s="2"/>
      <c r="CS35" s="2"/>
      <c r="CT35" s="2"/>
      <c r="CU35" s="2"/>
      <c r="CV35" s="2"/>
      <c r="CW35" s="2"/>
      <c r="CX35" s="2"/>
      <c r="CY35" s="2"/>
      <c r="CZ35" s="2"/>
      <c r="DA35" s="2"/>
      <c r="DB35" s="2"/>
      <c r="DC35" s="2"/>
      <c r="DD35" s="2"/>
      <c r="DE35" s="2"/>
      <c r="DF35" s="2"/>
      <c r="DG35" s="2"/>
      <c r="DH35" s="2"/>
      <c r="DI35" s="2"/>
      <c r="DJ35" s="2"/>
      <c r="DK35" s="2"/>
      <c r="DL35" s="2"/>
      <c r="DM35" s="2"/>
      <c r="DN35" s="2"/>
      <c r="DO35" s="2"/>
      <c r="DP35" s="2"/>
      <c r="DQ35" s="2"/>
      <c r="DR35" s="2"/>
      <c r="DS35" s="2"/>
      <c r="DT35" s="2"/>
      <c r="DU35" s="2"/>
      <c r="DV35" s="2"/>
      <c r="DW35" s="2"/>
      <c r="DX35" s="2"/>
      <c r="DY35" s="2"/>
      <c r="DZ35" s="2"/>
      <c r="EA35" s="2"/>
      <c r="EB35" s="2"/>
      <c r="EC35" s="2"/>
      <c r="ED35" s="2"/>
      <c r="EE35" s="2"/>
      <c r="EF35" s="2"/>
      <c r="EG35" s="2"/>
      <c r="EH35" s="2"/>
      <c r="EI35" s="2"/>
      <c r="EJ35" s="2"/>
      <c r="EK35" s="2"/>
      <c r="EL35" s="2"/>
      <c r="EM35" s="2"/>
      <c r="EN35" s="2"/>
      <c r="EO35" s="2"/>
      <c r="EP35" s="2"/>
      <c r="EQ35" s="2"/>
      <c r="ER35" s="2"/>
      <c r="ES35" s="2"/>
      <c r="ET35" s="2"/>
      <c r="EU35" s="2"/>
      <c r="EV35" s="2"/>
      <c r="EW35" s="2"/>
      <c r="EX35" s="2"/>
      <c r="EY35" s="2"/>
      <c r="EZ35" s="2"/>
      <c r="FA35" s="2"/>
      <c r="FB35" s="2"/>
      <c r="FC35" s="2"/>
      <c r="FD35" s="2"/>
      <c r="FE35" s="2"/>
      <c r="FF35" s="2"/>
      <c r="FG35" s="2"/>
      <c r="FH35" s="2"/>
      <c r="FI35" s="2"/>
      <c r="FJ35" s="2"/>
      <c r="FK35" s="2"/>
      <c r="FL35" s="2"/>
      <c r="FM35" s="2"/>
      <c r="FN35" s="2"/>
      <c r="FO35" s="2"/>
      <c r="FP35" s="2"/>
      <c r="FQ35" s="2"/>
      <c r="FR35" s="2"/>
      <c r="FS35" s="2"/>
      <c r="FT35" s="2"/>
      <c r="FU35" s="2"/>
      <c r="FV35" s="2"/>
      <c r="FW35" s="2"/>
      <c r="FX35" s="2"/>
      <c r="FY35" s="2"/>
      <c r="FZ35" s="2"/>
      <c r="GA35" s="2"/>
      <c r="GB35" s="2"/>
      <c r="GC35" s="2"/>
      <c r="GD35" s="2"/>
      <c r="GE35" s="2"/>
      <c r="GF35" s="2"/>
      <c r="GG35" s="2"/>
      <c r="GH35" s="2"/>
      <c r="GI35" s="2"/>
      <c r="GJ35" s="2"/>
      <c r="GK35" s="2"/>
      <c r="GL35" s="2"/>
      <c r="GM35" s="2"/>
      <c r="GN35" s="2"/>
      <c r="GO35" s="2"/>
      <c r="GP35" s="2"/>
      <c r="GQ35" s="2"/>
      <c r="GR35" s="2"/>
      <c r="GS35" s="2"/>
      <c r="GT35" s="2"/>
      <c r="GU35" s="2"/>
      <c r="GV35" s="2"/>
      <c r="GW35" s="2"/>
      <c r="GX35" s="2"/>
      <c r="GY35" s="2"/>
      <c r="GZ35" s="2"/>
      <c r="HA35" s="2"/>
      <c r="HB35" s="2"/>
      <c r="HC35" s="2"/>
      <c r="HD35" s="2"/>
      <c r="HE35" s="2"/>
      <c r="HF35" s="2"/>
      <c r="HG35" s="2"/>
      <c r="HH35" s="2"/>
      <c r="HI35" s="2"/>
      <c r="HJ35" s="2"/>
      <c r="HK35" s="2"/>
      <c r="HL35" s="2"/>
      <c r="HM35" s="2"/>
      <c r="HN35" s="2"/>
      <c r="HO35" s="2"/>
      <c r="HP35" s="2"/>
      <c r="HQ35" s="2"/>
      <c r="HR35" s="2"/>
      <c r="HS35" s="2"/>
      <c r="HT35" s="2"/>
      <c r="HU35" s="2"/>
      <c r="HV35" s="2"/>
      <c r="HW35" s="2"/>
      <c r="HX35" s="2"/>
      <c r="HY35" s="2"/>
      <c r="HZ35" s="2"/>
      <c r="IA35" s="2"/>
      <c r="IB35" s="2"/>
      <c r="IC35" s="2"/>
    </row>
    <row r="36" spans="1:237" x14ac:dyDescent="0.2">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c r="AX36" s="2"/>
      <c r="AY36" s="2"/>
      <c r="AZ36" s="2"/>
      <c r="BA36" s="2"/>
      <c r="BB36" s="2"/>
      <c r="BC36" s="2"/>
      <c r="BD36" s="2"/>
      <c r="BE36" s="2"/>
      <c r="BF36" s="2"/>
      <c r="BG36" s="2"/>
      <c r="BH36" s="2"/>
      <c r="BI36" s="2"/>
      <c r="BJ36" s="2"/>
      <c r="BK36" s="2"/>
      <c r="BL36" s="2"/>
      <c r="BM36" s="2"/>
      <c r="BN36" s="2"/>
      <c r="BO36" s="2"/>
      <c r="BP36" s="2"/>
      <c r="BQ36" s="2"/>
      <c r="BR36" s="2"/>
      <c r="BS36" s="2"/>
      <c r="BT36" s="2"/>
      <c r="BU36" s="2"/>
      <c r="BV36" s="2"/>
      <c r="BW36" s="2"/>
      <c r="BX36" s="2"/>
      <c r="BY36" s="2"/>
      <c r="BZ36" s="2"/>
      <c r="CA36" s="2"/>
      <c r="CB36" s="2"/>
      <c r="CC36" s="2"/>
      <c r="CD36" s="2"/>
      <c r="CE36" s="2"/>
      <c r="CF36" s="2"/>
      <c r="CG36" s="2"/>
      <c r="CH36" s="2"/>
      <c r="CI36" s="2"/>
      <c r="CJ36" s="2"/>
      <c r="CK36" s="2"/>
      <c r="CL36" s="2"/>
      <c r="CM36" s="2"/>
      <c r="CN36" s="2"/>
      <c r="CO36" s="2"/>
      <c r="CP36" s="2"/>
      <c r="CQ36" s="2"/>
      <c r="CR36" s="2"/>
      <c r="CS36" s="2"/>
      <c r="CT36" s="2"/>
      <c r="CU36" s="2"/>
      <c r="CV36" s="2"/>
      <c r="CW36" s="2"/>
      <c r="CX36" s="2"/>
      <c r="CY36" s="2"/>
      <c r="CZ36" s="2"/>
      <c r="DA36" s="2"/>
      <c r="DB36" s="2"/>
      <c r="DC36" s="2"/>
      <c r="DD36" s="2"/>
      <c r="DE36" s="2"/>
      <c r="DF36" s="2"/>
      <c r="DG36" s="2"/>
      <c r="DH36" s="2"/>
      <c r="DI36" s="2"/>
      <c r="DJ36" s="2"/>
      <c r="DK36" s="2"/>
      <c r="DL36" s="2"/>
      <c r="DM36" s="2"/>
      <c r="DN36" s="2"/>
      <c r="DO36" s="2"/>
      <c r="DP36" s="2"/>
      <c r="DQ36" s="2"/>
      <c r="DR36" s="2"/>
      <c r="DS36" s="2"/>
      <c r="DT36" s="2"/>
      <c r="DU36" s="2"/>
      <c r="DV36" s="2"/>
      <c r="DW36" s="2"/>
      <c r="DX36" s="2"/>
      <c r="DY36" s="2"/>
      <c r="DZ36" s="2"/>
      <c r="EA36" s="2"/>
      <c r="EB36" s="2"/>
      <c r="EC36" s="2"/>
      <c r="ED36" s="2"/>
      <c r="EE36" s="2"/>
      <c r="EF36" s="2"/>
      <c r="EG36" s="2"/>
      <c r="EH36" s="2"/>
      <c r="EI36" s="2"/>
      <c r="EJ36" s="2"/>
      <c r="EK36" s="2"/>
      <c r="EL36" s="2"/>
      <c r="EM36" s="2"/>
      <c r="EN36" s="2"/>
      <c r="EO36" s="2"/>
      <c r="EP36" s="2"/>
      <c r="EQ36" s="2"/>
      <c r="ER36" s="2"/>
      <c r="ES36" s="2"/>
      <c r="ET36" s="2"/>
      <c r="EU36" s="2"/>
      <c r="EV36" s="2"/>
      <c r="EW36" s="2"/>
      <c r="EX36" s="2"/>
      <c r="EY36" s="2"/>
      <c r="EZ36" s="2"/>
      <c r="FA36" s="2"/>
      <c r="FB36" s="2"/>
      <c r="FC36" s="2"/>
      <c r="FD36" s="2"/>
      <c r="FE36" s="2"/>
      <c r="FF36" s="2"/>
      <c r="FG36" s="2"/>
      <c r="FH36" s="2"/>
      <c r="FI36" s="2"/>
      <c r="FJ36" s="2"/>
      <c r="FK36" s="2"/>
      <c r="FL36" s="2"/>
      <c r="FM36" s="2"/>
      <c r="FN36" s="2"/>
      <c r="FO36" s="2"/>
      <c r="FP36" s="2"/>
      <c r="FQ36" s="2"/>
      <c r="FR36" s="2"/>
      <c r="FS36" s="2"/>
      <c r="FT36" s="2"/>
      <c r="FU36" s="2"/>
      <c r="FV36" s="2"/>
      <c r="FW36" s="2"/>
      <c r="FX36" s="2"/>
      <c r="FY36" s="2"/>
      <c r="FZ36" s="2"/>
      <c r="GA36" s="2"/>
      <c r="GB36" s="2"/>
      <c r="GC36" s="2"/>
      <c r="GD36" s="2"/>
      <c r="GE36" s="2"/>
      <c r="GF36" s="2"/>
      <c r="GG36" s="2"/>
      <c r="GH36" s="2"/>
      <c r="GI36" s="2"/>
      <c r="GJ36" s="2"/>
      <c r="GK36" s="2"/>
      <c r="GL36" s="2"/>
      <c r="GM36" s="2"/>
      <c r="GN36" s="2"/>
      <c r="GO36" s="2"/>
      <c r="GP36" s="2"/>
      <c r="GQ36" s="2"/>
      <c r="GR36" s="2"/>
      <c r="GS36" s="2"/>
      <c r="GT36" s="2"/>
      <c r="GU36" s="2"/>
      <c r="GV36" s="2"/>
      <c r="GW36" s="2"/>
      <c r="GX36" s="2"/>
      <c r="GY36" s="2"/>
      <c r="GZ36" s="2"/>
      <c r="HA36" s="2"/>
      <c r="HB36" s="2"/>
      <c r="HC36" s="2"/>
      <c r="HD36" s="2"/>
      <c r="HE36" s="2"/>
      <c r="HF36" s="2"/>
      <c r="HG36" s="2"/>
      <c r="HH36" s="2"/>
      <c r="HI36" s="2"/>
      <c r="HJ36" s="2"/>
      <c r="HK36" s="2"/>
      <c r="HL36" s="2"/>
      <c r="HM36" s="2"/>
      <c r="HN36" s="2"/>
      <c r="HO36" s="2"/>
      <c r="HP36" s="2"/>
      <c r="HQ36" s="2"/>
      <c r="HR36" s="2"/>
      <c r="HS36" s="2"/>
      <c r="HT36" s="2"/>
      <c r="HU36" s="2"/>
      <c r="HV36" s="2"/>
      <c r="HW36" s="2"/>
      <c r="HX36" s="2"/>
      <c r="HY36" s="2"/>
      <c r="HZ36" s="2"/>
      <c r="IA36" s="2"/>
      <c r="IB36" s="2"/>
      <c r="IC36" s="2"/>
    </row>
    <row r="37" spans="1:237" x14ac:dyDescent="0.2">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c r="AX37" s="2"/>
      <c r="AY37" s="2"/>
      <c r="AZ37" s="2"/>
      <c r="BA37" s="2"/>
      <c r="BB37" s="2"/>
      <c r="BC37" s="2"/>
      <c r="BD37" s="2"/>
      <c r="BE37" s="2"/>
      <c r="BF37" s="2"/>
      <c r="BG37" s="2"/>
      <c r="BH37" s="2"/>
      <c r="BI37" s="2"/>
      <c r="BJ37" s="2"/>
      <c r="BK37" s="2"/>
      <c r="BL37" s="2"/>
      <c r="BM37" s="2"/>
      <c r="BN37" s="2"/>
      <c r="BO37" s="2"/>
      <c r="BP37" s="2"/>
      <c r="BQ37" s="2"/>
      <c r="BR37" s="2"/>
      <c r="BS37" s="2"/>
      <c r="BT37" s="2"/>
      <c r="BU37" s="2"/>
      <c r="BV37" s="2"/>
      <c r="BW37" s="2"/>
      <c r="BX37" s="2"/>
      <c r="BY37" s="2"/>
      <c r="BZ37" s="2"/>
      <c r="CA37" s="2"/>
      <c r="CB37" s="2"/>
      <c r="CC37" s="2"/>
      <c r="CD37" s="2"/>
      <c r="CE37" s="2"/>
      <c r="CF37" s="2"/>
      <c r="CG37" s="2"/>
      <c r="CH37" s="2"/>
      <c r="CI37" s="2"/>
      <c r="CJ37" s="2"/>
      <c r="CK37" s="2"/>
      <c r="CL37" s="2"/>
      <c r="CM37" s="2"/>
      <c r="CN37" s="2"/>
      <c r="CO37" s="2"/>
      <c r="CP37" s="2"/>
      <c r="CQ37" s="2"/>
      <c r="CR37" s="2"/>
      <c r="CS37" s="2"/>
      <c r="CT37" s="2"/>
      <c r="CU37" s="2"/>
      <c r="CV37" s="2"/>
      <c r="CW37" s="2"/>
      <c r="CX37" s="2"/>
      <c r="CY37" s="2"/>
      <c r="CZ37" s="2"/>
      <c r="DA37" s="2"/>
      <c r="DB37" s="2"/>
      <c r="DC37" s="2"/>
      <c r="DD37" s="2"/>
      <c r="DE37" s="2"/>
      <c r="DF37" s="2"/>
      <c r="DG37" s="2"/>
      <c r="DH37" s="2"/>
      <c r="DI37" s="2"/>
      <c r="DJ37" s="2"/>
      <c r="DK37" s="2"/>
      <c r="DL37" s="2"/>
      <c r="DM37" s="2"/>
      <c r="DN37" s="2"/>
      <c r="DO37" s="2"/>
      <c r="DP37" s="2"/>
      <c r="DQ37" s="2"/>
      <c r="DR37" s="2"/>
      <c r="DS37" s="2"/>
      <c r="DT37" s="2"/>
      <c r="DU37" s="2"/>
      <c r="DV37" s="2"/>
      <c r="DW37" s="2"/>
      <c r="DX37" s="2"/>
      <c r="DY37" s="2"/>
      <c r="DZ37" s="2"/>
      <c r="EA37" s="2"/>
      <c r="EB37" s="2"/>
      <c r="EC37" s="2"/>
      <c r="ED37" s="2"/>
      <c r="EE37" s="2"/>
      <c r="EF37" s="2"/>
      <c r="EG37" s="2"/>
      <c r="EH37" s="2"/>
      <c r="EI37" s="2"/>
      <c r="EJ37" s="2"/>
      <c r="EK37" s="2"/>
      <c r="EL37" s="2"/>
      <c r="EM37" s="2"/>
      <c r="EN37" s="2"/>
      <c r="EO37" s="2"/>
      <c r="EP37" s="2"/>
      <c r="EQ37" s="2"/>
      <c r="ER37" s="2"/>
      <c r="ES37" s="2"/>
      <c r="ET37" s="2"/>
      <c r="EU37" s="2"/>
      <c r="EV37" s="2"/>
      <c r="EW37" s="2"/>
      <c r="EX37" s="2"/>
      <c r="EY37" s="2"/>
      <c r="EZ37" s="2"/>
      <c r="FA37" s="2"/>
      <c r="FB37" s="2"/>
      <c r="FC37" s="2"/>
      <c r="FD37" s="2"/>
      <c r="FE37" s="2"/>
      <c r="FF37" s="2"/>
      <c r="FG37" s="2"/>
      <c r="FH37" s="2"/>
      <c r="FI37" s="2"/>
      <c r="FJ37" s="2"/>
      <c r="FK37" s="2"/>
      <c r="FL37" s="2"/>
      <c r="FM37" s="2"/>
      <c r="FN37" s="2"/>
      <c r="FO37" s="2"/>
      <c r="FP37" s="2"/>
      <c r="FQ37" s="2"/>
      <c r="FR37" s="2"/>
      <c r="FS37" s="2"/>
      <c r="FT37" s="2"/>
      <c r="FU37" s="2"/>
      <c r="FV37" s="2"/>
      <c r="FW37" s="2"/>
      <c r="FX37" s="2"/>
      <c r="FY37" s="2"/>
      <c r="FZ37" s="2"/>
      <c r="GA37" s="2"/>
      <c r="GB37" s="2"/>
      <c r="GC37" s="2"/>
      <c r="GD37" s="2"/>
      <c r="GE37" s="2"/>
      <c r="GF37" s="2"/>
      <c r="GG37" s="2"/>
      <c r="GH37" s="2"/>
      <c r="GI37" s="2"/>
      <c r="GJ37" s="2"/>
      <c r="GK37" s="2"/>
      <c r="GL37" s="2"/>
      <c r="GM37" s="2"/>
      <c r="GN37" s="2"/>
      <c r="GO37" s="2"/>
      <c r="GP37" s="2"/>
      <c r="GQ37" s="2"/>
      <c r="GR37" s="2"/>
      <c r="GS37" s="2"/>
      <c r="GT37" s="2"/>
      <c r="GU37" s="2"/>
      <c r="GV37" s="2"/>
      <c r="GW37" s="2"/>
      <c r="GX37" s="2"/>
      <c r="GY37" s="2"/>
      <c r="GZ37" s="2"/>
      <c r="HA37" s="2"/>
      <c r="HB37" s="2"/>
      <c r="HC37" s="2"/>
      <c r="HD37" s="2"/>
      <c r="HE37" s="2"/>
      <c r="HF37" s="2"/>
      <c r="HG37" s="2"/>
      <c r="HH37" s="2"/>
      <c r="HI37" s="2"/>
      <c r="HJ37" s="2"/>
      <c r="HK37" s="2"/>
      <c r="HL37" s="2"/>
      <c r="HM37" s="2"/>
      <c r="HN37" s="2"/>
      <c r="HO37" s="2"/>
      <c r="HP37" s="2"/>
      <c r="HQ37" s="2"/>
      <c r="HR37" s="2"/>
      <c r="HS37" s="2"/>
      <c r="HT37" s="2"/>
      <c r="HU37" s="2"/>
      <c r="HV37" s="2"/>
      <c r="HW37" s="2"/>
      <c r="HX37" s="2"/>
      <c r="HY37" s="2"/>
      <c r="HZ37" s="2"/>
      <c r="IA37" s="2"/>
      <c r="IB37" s="2"/>
      <c r="IC37" s="2"/>
    </row>
    <row r="38" spans="1:237" x14ac:dyDescent="0.2">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c r="AX38" s="2"/>
      <c r="AY38" s="2"/>
      <c r="AZ38" s="2"/>
      <c r="BA38" s="2"/>
      <c r="BB38" s="2"/>
      <c r="BC38" s="2"/>
      <c r="BD38" s="2"/>
      <c r="BE38" s="2"/>
      <c r="BF38" s="2"/>
      <c r="BG38" s="2"/>
      <c r="BH38" s="2"/>
      <c r="BI38" s="2"/>
      <c r="BJ38" s="2"/>
      <c r="BK38" s="2"/>
      <c r="BL38" s="2"/>
      <c r="BM38" s="2"/>
      <c r="BN38" s="2"/>
      <c r="BO38" s="2"/>
      <c r="BP38" s="2"/>
      <c r="BQ38" s="2"/>
      <c r="BR38" s="2"/>
      <c r="BS38" s="2"/>
      <c r="BT38" s="2"/>
      <c r="BU38" s="2"/>
      <c r="BV38" s="2"/>
      <c r="BW38" s="2"/>
      <c r="BX38" s="2"/>
      <c r="BY38" s="2"/>
      <c r="BZ38" s="2"/>
      <c r="CA38" s="2"/>
      <c r="CB38" s="2"/>
      <c r="CC38" s="2"/>
      <c r="CD38" s="2"/>
      <c r="CE38" s="2"/>
      <c r="CF38" s="2"/>
      <c r="CG38" s="2"/>
      <c r="CH38" s="2"/>
      <c r="CI38" s="2"/>
      <c r="CJ38" s="2"/>
      <c r="CK38" s="2"/>
      <c r="CL38" s="2"/>
      <c r="CM38" s="2"/>
      <c r="CN38" s="2"/>
      <c r="CO38" s="2"/>
      <c r="CP38" s="2"/>
      <c r="CQ38" s="2"/>
      <c r="CR38" s="2"/>
      <c r="CS38" s="2"/>
      <c r="CT38" s="2"/>
      <c r="CU38" s="2"/>
      <c r="CV38" s="2"/>
      <c r="CW38" s="2"/>
      <c r="CX38" s="2"/>
      <c r="CY38" s="2"/>
      <c r="CZ38" s="2"/>
      <c r="DA38" s="2"/>
      <c r="DB38" s="2"/>
      <c r="DC38" s="2"/>
      <c r="DD38" s="2"/>
      <c r="DE38" s="2"/>
      <c r="DF38" s="2"/>
      <c r="DG38" s="2"/>
      <c r="DH38" s="2"/>
      <c r="DI38" s="2"/>
      <c r="DJ38" s="2"/>
      <c r="DK38" s="2"/>
      <c r="DL38" s="2"/>
      <c r="DM38" s="2"/>
      <c r="DN38" s="2"/>
      <c r="DO38" s="2"/>
      <c r="DP38" s="2"/>
      <c r="DQ38" s="2"/>
      <c r="DR38" s="2"/>
      <c r="DS38" s="2"/>
      <c r="DT38" s="2"/>
      <c r="DU38" s="2"/>
      <c r="DV38" s="2"/>
      <c r="DW38" s="2"/>
      <c r="DX38" s="2"/>
      <c r="DY38" s="2"/>
      <c r="DZ38" s="2"/>
      <c r="EA38" s="2"/>
      <c r="EB38" s="2"/>
      <c r="EC38" s="2"/>
      <c r="ED38" s="2"/>
      <c r="EE38" s="2"/>
      <c r="EF38" s="2"/>
      <c r="EG38" s="2"/>
      <c r="EH38" s="2"/>
      <c r="EI38" s="2"/>
      <c r="EJ38" s="2"/>
      <c r="EK38" s="2"/>
      <c r="EL38" s="2"/>
      <c r="EM38" s="2"/>
      <c r="EN38" s="2"/>
      <c r="EO38" s="2"/>
      <c r="EP38" s="2"/>
      <c r="EQ38" s="2"/>
      <c r="ER38" s="2"/>
      <c r="ES38" s="2"/>
      <c r="ET38" s="2"/>
      <c r="EU38" s="2"/>
      <c r="EV38" s="2"/>
      <c r="EW38" s="2"/>
      <c r="EX38" s="2"/>
      <c r="EY38" s="2"/>
      <c r="EZ38" s="2"/>
      <c r="FA38" s="2"/>
      <c r="FB38" s="2"/>
      <c r="FC38" s="2"/>
      <c r="FD38" s="2"/>
      <c r="FE38" s="2"/>
      <c r="FF38" s="2"/>
      <c r="FG38" s="2"/>
      <c r="FH38" s="2"/>
      <c r="FI38" s="2"/>
      <c r="FJ38" s="2"/>
      <c r="FK38" s="2"/>
      <c r="FL38" s="2"/>
      <c r="FM38" s="2"/>
      <c r="FN38" s="2"/>
      <c r="FO38" s="2"/>
      <c r="FP38" s="2"/>
      <c r="FQ38" s="2"/>
      <c r="FR38" s="2"/>
      <c r="FS38" s="2"/>
      <c r="FT38" s="2"/>
      <c r="FU38" s="2"/>
      <c r="FV38" s="2"/>
      <c r="FW38" s="2"/>
      <c r="FX38" s="2"/>
      <c r="FY38" s="2"/>
      <c r="FZ38" s="2"/>
      <c r="GA38" s="2"/>
      <c r="GB38" s="2"/>
      <c r="GC38" s="2"/>
      <c r="GD38" s="2"/>
      <c r="GE38" s="2"/>
      <c r="GF38" s="2"/>
      <c r="GG38" s="2"/>
      <c r="GH38" s="2"/>
      <c r="GI38" s="2"/>
      <c r="GJ38" s="2"/>
      <c r="GK38" s="2"/>
      <c r="GL38" s="2"/>
      <c r="GM38" s="2"/>
      <c r="GN38" s="2"/>
      <c r="GO38" s="2"/>
      <c r="GP38" s="2"/>
      <c r="GQ38" s="2"/>
      <c r="GR38" s="2"/>
      <c r="GS38" s="2"/>
      <c r="GT38" s="2"/>
      <c r="GU38" s="2"/>
      <c r="GV38" s="2"/>
      <c r="GW38" s="2"/>
      <c r="GX38" s="2"/>
      <c r="GY38" s="2"/>
      <c r="GZ38" s="2"/>
      <c r="HA38" s="2"/>
      <c r="HB38" s="2"/>
      <c r="HC38" s="2"/>
      <c r="HD38" s="2"/>
      <c r="HE38" s="2"/>
      <c r="HF38" s="2"/>
      <c r="HG38" s="2"/>
      <c r="HH38" s="2"/>
      <c r="HI38" s="2"/>
      <c r="HJ38" s="2"/>
      <c r="HK38" s="2"/>
      <c r="HL38" s="2"/>
      <c r="HM38" s="2"/>
      <c r="HN38" s="2"/>
      <c r="HO38" s="2"/>
      <c r="HP38" s="2"/>
      <c r="HQ38" s="2"/>
      <c r="HR38" s="2"/>
      <c r="HS38" s="2"/>
      <c r="HT38" s="2"/>
      <c r="HU38" s="2"/>
      <c r="HV38" s="2"/>
      <c r="HW38" s="2"/>
      <c r="HX38" s="2"/>
      <c r="HY38" s="2"/>
      <c r="HZ38" s="2"/>
      <c r="IA38" s="2"/>
      <c r="IB38" s="2"/>
      <c r="IC38" s="2"/>
    </row>
    <row r="39" spans="1:237" x14ac:dyDescent="0.2">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c r="AX39" s="2"/>
      <c r="AY39" s="2"/>
      <c r="AZ39" s="2"/>
      <c r="BA39" s="2"/>
      <c r="BB39" s="2"/>
      <c r="BC39" s="2"/>
      <c r="BD39" s="2"/>
      <c r="BE39" s="2"/>
      <c r="BF39" s="2"/>
      <c r="BG39" s="2"/>
      <c r="BH39" s="2"/>
      <c r="BI39" s="2"/>
      <c r="BJ39" s="2"/>
      <c r="BK39" s="2"/>
      <c r="BL39" s="2"/>
      <c r="BM39" s="2"/>
      <c r="BN39" s="2"/>
      <c r="BO39" s="2"/>
      <c r="BP39" s="2"/>
      <c r="BQ39" s="2"/>
      <c r="BR39" s="2"/>
      <c r="BS39" s="2"/>
      <c r="BT39" s="2"/>
      <c r="BU39" s="2"/>
      <c r="BV39" s="2"/>
      <c r="BW39" s="2"/>
      <c r="BX39" s="2"/>
      <c r="BY39" s="2"/>
      <c r="BZ39" s="2"/>
      <c r="CA39" s="2"/>
      <c r="CB39" s="2"/>
      <c r="CC39" s="2"/>
      <c r="CD39" s="2"/>
      <c r="CE39" s="2"/>
      <c r="CF39" s="2"/>
      <c r="CG39" s="2"/>
      <c r="CH39" s="2"/>
      <c r="CI39" s="2"/>
      <c r="CJ39" s="2"/>
      <c r="CK39" s="2"/>
      <c r="CL39" s="2"/>
      <c r="CM39" s="2"/>
      <c r="CN39" s="2"/>
      <c r="CO39" s="2"/>
      <c r="CP39" s="2"/>
      <c r="CQ39" s="2"/>
      <c r="CR39" s="2"/>
      <c r="CS39" s="2"/>
      <c r="CT39" s="2"/>
      <c r="CU39" s="2"/>
      <c r="CV39" s="2"/>
      <c r="CW39" s="2"/>
      <c r="CX39" s="2"/>
      <c r="CY39" s="2"/>
      <c r="CZ39" s="2"/>
      <c r="DA39" s="2"/>
      <c r="DB39" s="2"/>
      <c r="DC39" s="2"/>
      <c r="DD39" s="2"/>
      <c r="DE39" s="2"/>
      <c r="DF39" s="2"/>
      <c r="DG39" s="2"/>
      <c r="DH39" s="2"/>
      <c r="DI39" s="2"/>
      <c r="DJ39" s="2"/>
      <c r="DK39" s="2"/>
      <c r="DL39" s="2"/>
      <c r="DM39" s="2"/>
      <c r="DN39" s="2"/>
      <c r="DO39" s="2"/>
      <c r="DP39" s="2"/>
      <c r="DQ39" s="2"/>
      <c r="DR39" s="2"/>
      <c r="DS39" s="2"/>
      <c r="DT39" s="2"/>
      <c r="DU39" s="2"/>
      <c r="DV39" s="2"/>
      <c r="DW39" s="2"/>
      <c r="DX39" s="2"/>
      <c r="DY39" s="2"/>
      <c r="DZ39" s="2"/>
      <c r="EA39" s="2"/>
      <c r="EB39" s="2"/>
      <c r="EC39" s="2"/>
      <c r="ED39" s="2"/>
      <c r="EE39" s="2"/>
      <c r="EF39" s="2"/>
      <c r="EG39" s="2"/>
      <c r="EH39" s="2"/>
      <c r="EI39" s="2"/>
      <c r="EJ39" s="2"/>
      <c r="EK39" s="2"/>
      <c r="EL39" s="2"/>
      <c r="EM39" s="2"/>
      <c r="EN39" s="2"/>
      <c r="EO39" s="2"/>
      <c r="EP39" s="2"/>
      <c r="EQ39" s="2"/>
      <c r="ER39" s="2"/>
      <c r="ES39" s="2"/>
      <c r="ET39" s="2"/>
      <c r="EU39" s="2"/>
      <c r="EV39" s="2"/>
      <c r="EW39" s="2"/>
      <c r="EX39" s="2"/>
      <c r="EY39" s="2"/>
      <c r="EZ39" s="2"/>
      <c r="FA39" s="2"/>
      <c r="FB39" s="2"/>
      <c r="FC39" s="2"/>
      <c r="FD39" s="2"/>
      <c r="FE39" s="2"/>
      <c r="FF39" s="2"/>
      <c r="FG39" s="2"/>
      <c r="FH39" s="2"/>
      <c r="FI39" s="2"/>
      <c r="FJ39" s="2"/>
      <c r="FK39" s="2"/>
      <c r="FL39" s="2"/>
      <c r="FM39" s="2"/>
      <c r="FN39" s="2"/>
      <c r="FO39" s="2"/>
      <c r="FP39" s="2"/>
      <c r="FQ39" s="2"/>
      <c r="FR39" s="2"/>
      <c r="FS39" s="2"/>
      <c r="FT39" s="2"/>
      <c r="FU39" s="2"/>
      <c r="FV39" s="2"/>
      <c r="FW39" s="2"/>
      <c r="FX39" s="2"/>
      <c r="FY39" s="2"/>
      <c r="FZ39" s="2"/>
      <c r="GA39" s="2"/>
      <c r="GB39" s="2"/>
      <c r="GC39" s="2"/>
      <c r="GD39" s="2"/>
      <c r="GE39" s="2"/>
      <c r="GF39" s="2"/>
      <c r="GG39" s="2"/>
      <c r="GH39" s="2"/>
      <c r="GI39" s="2"/>
      <c r="GJ39" s="2"/>
      <c r="GK39" s="2"/>
      <c r="GL39" s="2"/>
      <c r="GM39" s="2"/>
      <c r="GN39" s="2"/>
      <c r="GO39" s="2"/>
      <c r="GP39" s="2"/>
      <c r="GQ39" s="2"/>
      <c r="GR39" s="2"/>
      <c r="GS39" s="2"/>
      <c r="GT39" s="2"/>
      <c r="GU39" s="2"/>
      <c r="GV39" s="2"/>
      <c r="GW39" s="2"/>
      <c r="GX39" s="2"/>
      <c r="GY39" s="2"/>
      <c r="GZ39" s="2"/>
      <c r="HA39" s="2"/>
      <c r="HB39" s="2"/>
      <c r="HC39" s="2"/>
      <c r="HD39" s="2"/>
      <c r="HE39" s="2"/>
      <c r="HF39" s="2"/>
      <c r="HG39" s="2"/>
      <c r="HH39" s="2"/>
      <c r="HI39" s="2"/>
      <c r="HJ39" s="2"/>
      <c r="HK39" s="2"/>
      <c r="HL39" s="2"/>
      <c r="HM39" s="2"/>
      <c r="HN39" s="2"/>
      <c r="HO39" s="2"/>
      <c r="HP39" s="2"/>
      <c r="HQ39" s="2"/>
      <c r="HR39" s="2"/>
      <c r="HS39" s="2"/>
      <c r="HT39" s="2"/>
      <c r="HU39" s="2"/>
      <c r="HV39" s="2"/>
      <c r="HW39" s="2"/>
      <c r="HX39" s="2"/>
      <c r="HY39" s="2"/>
      <c r="HZ39" s="2"/>
      <c r="IA39" s="2"/>
      <c r="IB39" s="2"/>
      <c r="IC39" s="2"/>
    </row>
    <row r="40" spans="1:237" x14ac:dyDescent="0.2">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c r="AX40" s="2"/>
      <c r="AY40" s="2"/>
      <c r="AZ40" s="2"/>
      <c r="BA40" s="2"/>
      <c r="BB40" s="2"/>
      <c r="BC40" s="2"/>
      <c r="BD40" s="2"/>
      <c r="BE40" s="2"/>
      <c r="BF40" s="2"/>
      <c r="BG40" s="2"/>
      <c r="BH40" s="2"/>
      <c r="BI40" s="2"/>
      <c r="BJ40" s="2"/>
      <c r="BK40" s="2"/>
      <c r="BL40" s="2"/>
      <c r="BM40" s="2"/>
      <c r="BN40" s="2"/>
      <c r="BO40" s="2"/>
      <c r="BP40" s="2"/>
      <c r="BQ40" s="2"/>
      <c r="BR40" s="2"/>
      <c r="BS40" s="2"/>
      <c r="BT40" s="2"/>
      <c r="BU40" s="2"/>
      <c r="BV40" s="2"/>
      <c r="BW40" s="2"/>
      <c r="BX40" s="2"/>
      <c r="BY40" s="2"/>
      <c r="BZ40" s="2"/>
      <c r="CA40" s="2"/>
      <c r="CB40" s="2"/>
      <c r="CC40" s="2"/>
      <c r="CD40" s="2"/>
      <c r="CE40" s="2"/>
      <c r="CF40" s="2"/>
      <c r="CG40" s="2"/>
      <c r="CH40" s="2"/>
      <c r="CI40" s="2"/>
      <c r="CJ40" s="2"/>
      <c r="CK40" s="2"/>
      <c r="CL40" s="2"/>
      <c r="CM40" s="2"/>
      <c r="CN40" s="2"/>
      <c r="CO40" s="2"/>
      <c r="CP40" s="2"/>
      <c r="CQ40" s="2"/>
      <c r="CR40" s="2"/>
      <c r="CS40" s="2"/>
      <c r="CT40" s="2"/>
      <c r="CU40" s="2"/>
      <c r="CV40" s="2"/>
      <c r="CW40" s="2"/>
      <c r="CX40" s="2"/>
      <c r="CY40" s="2"/>
      <c r="CZ40" s="2"/>
      <c r="DA40" s="2"/>
      <c r="DB40" s="2"/>
      <c r="DC40" s="2"/>
      <c r="DD40" s="2"/>
      <c r="DE40" s="2"/>
      <c r="DF40" s="2"/>
      <c r="DG40" s="2"/>
      <c r="DH40" s="2"/>
      <c r="DI40" s="2"/>
      <c r="DJ40" s="2"/>
      <c r="DK40" s="2"/>
      <c r="DL40" s="2"/>
      <c r="DM40" s="2"/>
      <c r="DN40" s="2"/>
      <c r="DO40" s="2"/>
      <c r="DP40" s="2"/>
      <c r="DQ40" s="2"/>
      <c r="DR40" s="2"/>
      <c r="DS40" s="2"/>
      <c r="DT40" s="2"/>
      <c r="DU40" s="2"/>
      <c r="DV40" s="2"/>
      <c r="DW40" s="2"/>
      <c r="DX40" s="2"/>
      <c r="DY40" s="2"/>
      <c r="DZ40" s="2"/>
      <c r="EA40" s="2"/>
      <c r="EB40" s="2"/>
      <c r="EC40" s="2"/>
      <c r="ED40" s="2"/>
      <c r="EE40" s="2"/>
      <c r="EF40" s="2"/>
      <c r="EG40" s="2"/>
      <c r="EH40" s="2"/>
      <c r="EI40" s="2"/>
      <c r="EJ40" s="2"/>
      <c r="EK40" s="2"/>
      <c r="EL40" s="2"/>
      <c r="EM40" s="2"/>
      <c r="EN40" s="2"/>
      <c r="EO40" s="2"/>
      <c r="EP40" s="2"/>
      <c r="EQ40" s="2"/>
      <c r="ER40" s="2"/>
      <c r="ES40" s="2"/>
      <c r="ET40" s="2"/>
      <c r="EU40" s="2"/>
      <c r="EV40" s="2"/>
      <c r="EW40" s="2"/>
      <c r="EX40" s="2"/>
      <c r="EY40" s="2"/>
      <c r="EZ40" s="2"/>
      <c r="FA40" s="2"/>
      <c r="FB40" s="2"/>
      <c r="FC40" s="2"/>
      <c r="FD40" s="2"/>
      <c r="FE40" s="2"/>
      <c r="FF40" s="2"/>
      <c r="FG40" s="2"/>
      <c r="FH40" s="2"/>
      <c r="FI40" s="2"/>
      <c r="FJ40" s="2"/>
      <c r="FK40" s="2"/>
      <c r="FL40" s="2"/>
      <c r="FM40" s="2"/>
      <c r="FN40" s="2"/>
      <c r="FO40" s="2"/>
      <c r="FP40" s="2"/>
      <c r="FQ40" s="2"/>
      <c r="FR40" s="2"/>
      <c r="FS40" s="2"/>
      <c r="FT40" s="2"/>
      <c r="FU40" s="2"/>
      <c r="FV40" s="2"/>
      <c r="FW40" s="2"/>
      <c r="FX40" s="2"/>
      <c r="FY40" s="2"/>
      <c r="FZ40" s="2"/>
      <c r="GA40" s="2"/>
      <c r="GB40" s="2"/>
      <c r="GC40" s="2"/>
      <c r="GD40" s="2"/>
      <c r="GE40" s="2"/>
      <c r="GF40" s="2"/>
      <c r="GG40" s="2"/>
      <c r="GH40" s="2"/>
      <c r="GI40" s="2"/>
      <c r="GJ40" s="2"/>
      <c r="GK40" s="2"/>
      <c r="GL40" s="2"/>
      <c r="GM40" s="2"/>
      <c r="GN40" s="2"/>
      <c r="GO40" s="2"/>
      <c r="GP40" s="2"/>
      <c r="GQ40" s="2"/>
      <c r="GR40" s="2"/>
      <c r="GS40" s="2"/>
      <c r="GT40" s="2"/>
      <c r="GU40" s="2"/>
      <c r="GV40" s="2"/>
      <c r="GW40" s="2"/>
      <c r="GX40" s="2"/>
      <c r="GY40" s="2"/>
      <c r="GZ40" s="2"/>
      <c r="HA40" s="2"/>
      <c r="HB40" s="2"/>
      <c r="HC40" s="2"/>
      <c r="HD40" s="2"/>
      <c r="HE40" s="2"/>
      <c r="HF40" s="2"/>
      <c r="HG40" s="2"/>
      <c r="HH40" s="2"/>
      <c r="HI40" s="2"/>
      <c r="HJ40" s="2"/>
      <c r="HK40" s="2"/>
      <c r="HL40" s="2"/>
      <c r="HM40" s="2"/>
      <c r="HN40" s="2"/>
      <c r="HO40" s="2"/>
      <c r="HP40" s="2"/>
      <c r="HQ40" s="2"/>
      <c r="HR40" s="2"/>
      <c r="HS40" s="2"/>
      <c r="HT40" s="2"/>
      <c r="HU40" s="2"/>
      <c r="HV40" s="2"/>
      <c r="HW40" s="2"/>
      <c r="HX40" s="2"/>
      <c r="HY40" s="2"/>
      <c r="HZ40" s="2"/>
      <c r="IA40" s="2"/>
      <c r="IB40" s="2"/>
      <c r="IC40" s="2"/>
    </row>
    <row r="41" spans="1:237" x14ac:dyDescent="0.2">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c r="AX41" s="2"/>
      <c r="AY41" s="2"/>
      <c r="AZ41" s="2"/>
      <c r="BA41" s="2"/>
      <c r="BB41" s="2"/>
      <c r="BC41" s="2"/>
      <c r="BD41" s="2"/>
      <c r="BE41" s="2"/>
      <c r="BF41" s="2"/>
      <c r="BG41" s="2"/>
      <c r="BH41" s="2"/>
      <c r="BI41" s="2"/>
      <c r="BJ41" s="2"/>
      <c r="BK41" s="2"/>
      <c r="BL41" s="2"/>
      <c r="BM41" s="2"/>
      <c r="BN41" s="2"/>
      <c r="BO41" s="2"/>
      <c r="BP41" s="2"/>
      <c r="BQ41" s="2"/>
      <c r="BR41" s="2"/>
      <c r="BS41" s="2"/>
      <c r="BT41" s="2"/>
      <c r="BU41" s="2"/>
      <c r="BV41" s="2"/>
      <c r="BW41" s="2"/>
      <c r="BX41" s="2"/>
      <c r="BY41" s="2"/>
      <c r="BZ41" s="2"/>
      <c r="CA41" s="2"/>
      <c r="CB41" s="2"/>
      <c r="CC41" s="2"/>
      <c r="CD41" s="2"/>
      <c r="CE41" s="2"/>
      <c r="CF41" s="2"/>
      <c r="CG41" s="2"/>
      <c r="CH41" s="2"/>
      <c r="CI41" s="2"/>
      <c r="CJ41" s="2"/>
      <c r="CK41" s="2"/>
      <c r="CL41" s="2"/>
      <c r="CM41" s="2"/>
      <c r="CN41" s="2"/>
      <c r="CO41" s="2"/>
      <c r="CP41" s="2"/>
      <c r="CQ41" s="2"/>
      <c r="CR41" s="2"/>
      <c r="CS41" s="2"/>
      <c r="CT41" s="2"/>
      <c r="CU41" s="2"/>
      <c r="CV41" s="2"/>
      <c r="CW41" s="2"/>
      <c r="CX41" s="2"/>
      <c r="CY41" s="2"/>
      <c r="CZ41" s="2"/>
      <c r="DA41" s="2"/>
      <c r="DB41" s="2"/>
      <c r="DC41" s="2"/>
      <c r="DD41" s="2"/>
      <c r="DE41" s="2"/>
      <c r="DF41" s="2"/>
      <c r="DG41" s="2"/>
      <c r="DH41" s="2"/>
      <c r="DI41" s="2"/>
      <c r="DJ41" s="2"/>
      <c r="DK41" s="2"/>
      <c r="DL41" s="2"/>
      <c r="DM41" s="2"/>
      <c r="DN41" s="2"/>
      <c r="DO41" s="2"/>
      <c r="DP41" s="2"/>
      <c r="DQ41" s="2"/>
      <c r="DR41" s="2"/>
      <c r="DS41" s="2"/>
      <c r="DT41" s="2"/>
      <c r="DU41" s="2"/>
      <c r="DV41" s="2"/>
      <c r="DW41" s="2"/>
      <c r="DX41" s="2"/>
      <c r="DY41" s="2"/>
      <c r="DZ41" s="2"/>
      <c r="EA41" s="2"/>
      <c r="EB41" s="2"/>
      <c r="EC41" s="2"/>
      <c r="ED41" s="2"/>
      <c r="EE41" s="2"/>
      <c r="EF41" s="2"/>
      <c r="EG41" s="2"/>
      <c r="EH41" s="2"/>
      <c r="EI41" s="2"/>
      <c r="EJ41" s="2"/>
      <c r="EK41" s="2"/>
      <c r="EL41" s="2"/>
      <c r="EM41" s="2"/>
      <c r="EN41" s="2"/>
      <c r="EO41" s="2"/>
      <c r="EP41" s="2"/>
      <c r="EQ41" s="2"/>
      <c r="ER41" s="2"/>
      <c r="ES41" s="2"/>
      <c r="ET41" s="2"/>
      <c r="EU41" s="2"/>
      <c r="EV41" s="2"/>
      <c r="EW41" s="2"/>
      <c r="EX41" s="2"/>
      <c r="EY41" s="2"/>
      <c r="EZ41" s="2"/>
      <c r="FA41" s="2"/>
      <c r="FB41" s="2"/>
      <c r="FC41" s="2"/>
      <c r="FD41" s="2"/>
      <c r="FE41" s="2"/>
      <c r="FF41" s="2"/>
      <c r="FG41" s="2"/>
      <c r="FH41" s="2"/>
      <c r="FI41" s="2"/>
      <c r="FJ41" s="2"/>
      <c r="FK41" s="2"/>
      <c r="FL41" s="2"/>
      <c r="FM41" s="2"/>
      <c r="FN41" s="2"/>
      <c r="FO41" s="2"/>
      <c r="FP41" s="2"/>
      <c r="FQ41" s="2"/>
      <c r="FR41" s="2"/>
      <c r="FS41" s="2"/>
      <c r="FT41" s="2"/>
      <c r="FU41" s="2"/>
      <c r="FV41" s="2"/>
      <c r="FW41" s="2"/>
      <c r="FX41" s="2"/>
      <c r="FY41" s="2"/>
      <c r="FZ41" s="2"/>
      <c r="GA41" s="2"/>
      <c r="GB41" s="2"/>
      <c r="GC41" s="2"/>
      <c r="GD41" s="2"/>
      <c r="GE41" s="2"/>
      <c r="GF41" s="2"/>
      <c r="GG41" s="2"/>
      <c r="GH41" s="2"/>
      <c r="GI41" s="2"/>
      <c r="GJ41" s="2"/>
      <c r="GK41" s="2"/>
      <c r="GL41" s="2"/>
      <c r="GM41" s="2"/>
      <c r="GN41" s="2"/>
      <c r="GO41" s="2"/>
      <c r="GP41" s="2"/>
      <c r="GQ41" s="2"/>
      <c r="GR41" s="2"/>
      <c r="GS41" s="2"/>
      <c r="GT41" s="2"/>
      <c r="GU41" s="2"/>
      <c r="GV41" s="2"/>
      <c r="GW41" s="2"/>
      <c r="GX41" s="2"/>
      <c r="GY41" s="2"/>
      <c r="GZ41" s="2"/>
      <c r="HA41" s="2"/>
      <c r="HB41" s="2"/>
      <c r="HC41" s="2"/>
      <c r="HD41" s="2"/>
      <c r="HE41" s="2"/>
      <c r="HF41" s="2"/>
      <c r="HG41" s="2"/>
      <c r="HH41" s="2"/>
      <c r="HI41" s="2"/>
      <c r="HJ41" s="2"/>
      <c r="HK41" s="2"/>
      <c r="HL41" s="2"/>
      <c r="HM41" s="2"/>
      <c r="HN41" s="2"/>
      <c r="HO41" s="2"/>
      <c r="HP41" s="2"/>
      <c r="HQ41" s="2"/>
      <c r="HR41" s="2"/>
      <c r="HS41" s="2"/>
      <c r="HT41" s="2"/>
      <c r="HU41" s="2"/>
      <c r="HV41" s="2"/>
      <c r="HW41" s="2"/>
      <c r="HX41" s="2"/>
      <c r="HY41" s="2"/>
      <c r="HZ41" s="2"/>
      <c r="IA41" s="2"/>
      <c r="IB41" s="2"/>
      <c r="IC41" s="2"/>
    </row>
    <row r="42" spans="1:237" x14ac:dyDescent="0.2">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c r="AX42" s="2"/>
      <c r="AY42" s="2"/>
      <c r="AZ42" s="2"/>
      <c r="BA42" s="2"/>
      <c r="BB42" s="2"/>
      <c r="BC42" s="2"/>
      <c r="BD42" s="2"/>
      <c r="BE42" s="2"/>
      <c r="BF42" s="2"/>
      <c r="BG42" s="2"/>
      <c r="BH42" s="2"/>
      <c r="BI42" s="2"/>
      <c r="BJ42" s="2"/>
      <c r="BK42" s="2"/>
      <c r="BL42" s="2"/>
      <c r="BM42" s="2"/>
      <c r="BN42" s="2"/>
      <c r="BO42" s="2"/>
      <c r="BP42" s="2"/>
      <c r="BQ42" s="2"/>
      <c r="BR42" s="2"/>
      <c r="BS42" s="2"/>
      <c r="BT42" s="2"/>
      <c r="BU42" s="2"/>
      <c r="BV42" s="2"/>
      <c r="BW42" s="2"/>
      <c r="BX42" s="2"/>
      <c r="BY42" s="2"/>
      <c r="BZ42" s="2"/>
      <c r="CA42" s="2"/>
      <c r="CB42" s="2"/>
      <c r="CC42" s="2"/>
      <c r="CD42" s="2"/>
      <c r="CE42" s="2"/>
      <c r="CF42" s="2"/>
      <c r="CG42" s="2"/>
      <c r="CH42" s="2"/>
      <c r="CI42" s="2"/>
      <c r="CJ42" s="2"/>
      <c r="CK42" s="2"/>
      <c r="CL42" s="2"/>
      <c r="CM42" s="2"/>
      <c r="CN42" s="2"/>
      <c r="CO42" s="2"/>
      <c r="CP42" s="2"/>
      <c r="CQ42" s="2"/>
      <c r="CR42" s="2"/>
      <c r="CS42" s="2"/>
      <c r="CT42" s="2"/>
      <c r="CU42" s="2"/>
      <c r="CV42" s="2"/>
      <c r="CW42" s="2"/>
      <c r="CX42" s="2"/>
      <c r="CY42" s="2"/>
      <c r="CZ42" s="2"/>
      <c r="DA42" s="2"/>
      <c r="DB42" s="2"/>
      <c r="DC42" s="2"/>
      <c r="DD42" s="2"/>
      <c r="DE42" s="2"/>
      <c r="DF42" s="2"/>
      <c r="DG42" s="2"/>
      <c r="DH42" s="2"/>
      <c r="DI42" s="2"/>
      <c r="DJ42" s="2"/>
      <c r="DK42" s="2"/>
      <c r="DL42" s="2"/>
      <c r="DM42" s="2"/>
      <c r="DN42" s="2"/>
      <c r="DO42" s="2"/>
      <c r="DP42" s="2"/>
      <c r="DQ42" s="2"/>
      <c r="DR42" s="2"/>
      <c r="DS42" s="2"/>
      <c r="DT42" s="2"/>
      <c r="DU42" s="2"/>
      <c r="DV42" s="2"/>
      <c r="DW42" s="2"/>
      <c r="DX42" s="2"/>
      <c r="DY42" s="2"/>
      <c r="DZ42" s="2"/>
      <c r="EA42" s="2"/>
      <c r="EB42" s="2"/>
      <c r="EC42" s="2"/>
      <c r="ED42" s="2"/>
      <c r="EE42" s="2"/>
      <c r="EF42" s="2"/>
      <c r="EG42" s="2"/>
      <c r="EH42" s="2"/>
      <c r="EI42" s="2"/>
      <c r="EJ42" s="2"/>
      <c r="EK42" s="2"/>
      <c r="EL42" s="2"/>
      <c r="EM42" s="2"/>
      <c r="EN42" s="2"/>
      <c r="EO42" s="2"/>
      <c r="EP42" s="2"/>
      <c r="EQ42" s="2"/>
      <c r="ER42" s="2"/>
      <c r="ES42" s="2"/>
      <c r="ET42" s="2"/>
      <c r="EU42" s="2"/>
      <c r="EV42" s="2"/>
      <c r="EW42" s="2"/>
      <c r="EX42" s="2"/>
      <c r="EY42" s="2"/>
      <c r="EZ42" s="2"/>
      <c r="FA42" s="2"/>
      <c r="FB42" s="2"/>
      <c r="FC42" s="2"/>
      <c r="FD42" s="2"/>
      <c r="FE42" s="2"/>
      <c r="FF42" s="2"/>
      <c r="FG42" s="2"/>
      <c r="FH42" s="2"/>
      <c r="FI42" s="2"/>
      <c r="FJ42" s="2"/>
      <c r="FK42" s="2"/>
      <c r="FL42" s="2"/>
      <c r="FM42" s="2"/>
      <c r="FN42" s="2"/>
      <c r="FO42" s="2"/>
      <c r="FP42" s="2"/>
      <c r="FQ42" s="2"/>
      <c r="FR42" s="2"/>
      <c r="FS42" s="2"/>
      <c r="FT42" s="2"/>
      <c r="FU42" s="2"/>
      <c r="FV42" s="2"/>
      <c r="FW42" s="2"/>
      <c r="FX42" s="2"/>
      <c r="FY42" s="2"/>
      <c r="FZ42" s="2"/>
      <c r="GA42" s="2"/>
      <c r="GB42" s="2"/>
      <c r="GC42" s="2"/>
      <c r="GD42" s="2"/>
      <c r="GE42" s="2"/>
      <c r="GF42" s="2"/>
      <c r="GG42" s="2"/>
      <c r="GH42" s="2"/>
      <c r="GI42" s="2"/>
      <c r="GJ42" s="2"/>
      <c r="GK42" s="2"/>
      <c r="GL42" s="2"/>
      <c r="GM42" s="2"/>
      <c r="GN42" s="2"/>
      <c r="GO42" s="2"/>
      <c r="GP42" s="2"/>
      <c r="GQ42" s="2"/>
      <c r="GR42" s="2"/>
      <c r="GS42" s="2"/>
      <c r="GT42" s="2"/>
      <c r="GU42" s="2"/>
      <c r="GV42" s="2"/>
      <c r="GW42" s="2"/>
      <c r="GX42" s="2"/>
      <c r="GY42" s="2"/>
      <c r="GZ42" s="2"/>
      <c r="HA42" s="2"/>
      <c r="HB42" s="2"/>
      <c r="HC42" s="2"/>
      <c r="HD42" s="2"/>
      <c r="HE42" s="2"/>
      <c r="HF42" s="2"/>
      <c r="HG42" s="2"/>
      <c r="HH42" s="2"/>
      <c r="HI42" s="2"/>
      <c r="HJ42" s="2"/>
      <c r="HK42" s="2"/>
      <c r="HL42" s="2"/>
      <c r="HM42" s="2"/>
      <c r="HN42" s="2"/>
      <c r="HO42" s="2"/>
      <c r="HP42" s="2"/>
      <c r="HQ42" s="2"/>
      <c r="HR42" s="2"/>
      <c r="HS42" s="2"/>
      <c r="HT42" s="2"/>
      <c r="HU42" s="2"/>
      <c r="HV42" s="2"/>
      <c r="HW42" s="2"/>
      <c r="HX42" s="2"/>
      <c r="HY42" s="2"/>
      <c r="HZ42" s="2"/>
      <c r="IA42" s="2"/>
      <c r="IB42" s="2"/>
      <c r="IC42" s="2"/>
    </row>
    <row r="43" spans="1:237" x14ac:dyDescent="0.2">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c r="AX43" s="2"/>
      <c r="AY43" s="2"/>
      <c r="AZ43" s="2"/>
      <c r="BA43" s="2"/>
      <c r="BB43" s="2"/>
      <c r="BC43" s="2"/>
      <c r="BD43" s="2"/>
      <c r="BE43" s="2"/>
      <c r="BF43" s="2"/>
      <c r="BG43" s="2"/>
      <c r="BH43" s="2"/>
      <c r="BI43" s="2"/>
      <c r="BJ43" s="2"/>
      <c r="BK43" s="2"/>
      <c r="BL43" s="2"/>
      <c r="BM43" s="2"/>
      <c r="BN43" s="2"/>
      <c r="BO43" s="2"/>
      <c r="BP43" s="2"/>
      <c r="BQ43" s="2"/>
      <c r="BR43" s="2"/>
      <c r="BS43" s="2"/>
      <c r="BT43" s="2"/>
      <c r="BU43" s="2"/>
      <c r="BV43" s="2"/>
      <c r="BW43" s="2"/>
      <c r="BX43" s="2"/>
      <c r="BY43" s="2"/>
      <c r="BZ43" s="2"/>
      <c r="CA43" s="2"/>
      <c r="CB43" s="2"/>
      <c r="CC43" s="2"/>
      <c r="CD43" s="2"/>
      <c r="CE43" s="2"/>
      <c r="CF43" s="2"/>
      <c r="CG43" s="2"/>
      <c r="CH43" s="2"/>
      <c r="CI43" s="2"/>
      <c r="CJ43" s="2"/>
      <c r="CK43" s="2"/>
      <c r="CL43" s="2"/>
      <c r="CM43" s="2"/>
      <c r="CN43" s="2"/>
      <c r="CO43" s="2"/>
      <c r="CP43" s="2"/>
      <c r="CQ43" s="2"/>
      <c r="CR43" s="2"/>
      <c r="CS43" s="2"/>
      <c r="CT43" s="2"/>
      <c r="CU43" s="2"/>
      <c r="CV43" s="2"/>
      <c r="CW43" s="2"/>
      <c r="CX43" s="2"/>
      <c r="CY43" s="2"/>
      <c r="CZ43" s="2"/>
      <c r="DA43" s="2"/>
      <c r="DB43" s="2"/>
      <c r="DC43" s="2"/>
      <c r="DD43" s="2"/>
      <c r="DE43" s="2"/>
      <c r="DF43" s="2"/>
      <c r="DG43" s="2"/>
      <c r="DH43" s="2"/>
      <c r="DI43" s="2"/>
      <c r="DJ43" s="2"/>
      <c r="DK43" s="2"/>
      <c r="DL43" s="2"/>
      <c r="DM43" s="2"/>
      <c r="DN43" s="2"/>
      <c r="DO43" s="2"/>
      <c r="DP43" s="2"/>
      <c r="DQ43" s="2"/>
      <c r="DR43" s="2"/>
      <c r="DS43" s="2"/>
      <c r="DT43" s="2"/>
      <c r="DU43" s="2"/>
      <c r="DV43" s="2"/>
      <c r="DW43" s="2"/>
      <c r="DX43" s="2"/>
      <c r="DY43" s="2"/>
      <c r="DZ43" s="2"/>
      <c r="EA43" s="2"/>
      <c r="EB43" s="2"/>
      <c r="EC43" s="2"/>
      <c r="ED43" s="2"/>
      <c r="EE43" s="2"/>
      <c r="EF43" s="2"/>
      <c r="EG43" s="2"/>
      <c r="EH43" s="2"/>
      <c r="EI43" s="2"/>
      <c r="EJ43" s="2"/>
      <c r="EK43" s="2"/>
      <c r="EL43" s="2"/>
      <c r="EM43" s="2"/>
      <c r="EN43" s="2"/>
      <c r="EO43" s="2"/>
      <c r="EP43" s="2"/>
      <c r="EQ43" s="2"/>
      <c r="ER43" s="2"/>
      <c r="ES43" s="2"/>
      <c r="ET43" s="2"/>
      <c r="EU43" s="2"/>
      <c r="EV43" s="2"/>
      <c r="EW43" s="2"/>
      <c r="EX43" s="2"/>
      <c r="EY43" s="2"/>
      <c r="EZ43" s="2"/>
      <c r="FA43" s="2"/>
      <c r="FB43" s="2"/>
      <c r="FC43" s="2"/>
      <c r="FD43" s="2"/>
      <c r="FE43" s="2"/>
      <c r="FF43" s="2"/>
      <c r="FG43" s="2"/>
      <c r="FH43" s="2"/>
      <c r="FI43" s="2"/>
      <c r="FJ43" s="2"/>
      <c r="FK43" s="2"/>
      <c r="FL43" s="2"/>
      <c r="FM43" s="2"/>
      <c r="FN43" s="2"/>
      <c r="FO43" s="2"/>
      <c r="FP43" s="2"/>
      <c r="FQ43" s="2"/>
      <c r="FR43" s="2"/>
      <c r="FS43" s="2"/>
      <c r="FT43" s="2"/>
      <c r="FU43" s="2"/>
      <c r="FV43" s="2"/>
      <c r="FW43" s="2"/>
      <c r="FX43" s="2"/>
      <c r="FY43" s="2"/>
      <c r="FZ43" s="2"/>
      <c r="GA43" s="2"/>
      <c r="GB43" s="2"/>
      <c r="GC43" s="2"/>
      <c r="GD43" s="2"/>
      <c r="GE43" s="2"/>
      <c r="GF43" s="2"/>
      <c r="GG43" s="2"/>
      <c r="GH43" s="2"/>
      <c r="GI43" s="2"/>
      <c r="GJ43" s="2"/>
      <c r="GK43" s="2"/>
      <c r="GL43" s="2"/>
      <c r="GM43" s="2"/>
      <c r="GN43" s="2"/>
      <c r="GO43" s="2"/>
      <c r="GP43" s="2"/>
      <c r="GQ43" s="2"/>
      <c r="GR43" s="2"/>
      <c r="GS43" s="2"/>
      <c r="GT43" s="2"/>
      <c r="GU43" s="2"/>
      <c r="GV43" s="2"/>
      <c r="GW43" s="2"/>
      <c r="GX43" s="2"/>
      <c r="GY43" s="2"/>
      <c r="GZ43" s="2"/>
      <c r="HA43" s="2"/>
      <c r="HB43" s="2"/>
      <c r="HC43" s="2"/>
      <c r="HD43" s="2"/>
      <c r="HE43" s="2"/>
      <c r="HF43" s="2"/>
      <c r="HG43" s="2"/>
      <c r="HH43" s="2"/>
      <c r="HI43" s="2"/>
      <c r="HJ43" s="2"/>
      <c r="HK43" s="2"/>
      <c r="HL43" s="2"/>
      <c r="HM43" s="2"/>
      <c r="HN43" s="2"/>
      <c r="HO43" s="2"/>
      <c r="HP43" s="2"/>
      <c r="HQ43" s="2"/>
      <c r="HR43" s="2"/>
      <c r="HS43" s="2"/>
      <c r="HT43" s="2"/>
      <c r="HU43" s="2"/>
      <c r="HV43" s="2"/>
      <c r="HW43" s="2"/>
      <c r="HX43" s="2"/>
      <c r="HY43" s="2"/>
      <c r="HZ43" s="2"/>
      <c r="IA43" s="2"/>
      <c r="IB43" s="2"/>
      <c r="IC43" s="2"/>
    </row>
    <row r="44" spans="1:237" x14ac:dyDescent="0.2">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c r="AX44" s="2"/>
      <c r="AY44" s="2"/>
      <c r="AZ44" s="2"/>
      <c r="BA44" s="2"/>
      <c r="BB44" s="2"/>
      <c r="BC44" s="2"/>
      <c r="BD44" s="2"/>
      <c r="BE44" s="2"/>
      <c r="BF44" s="2"/>
      <c r="BG44" s="2"/>
      <c r="BH44" s="2"/>
      <c r="BI44" s="2"/>
      <c r="BJ44" s="2"/>
      <c r="BK44" s="2"/>
      <c r="BL44" s="2"/>
      <c r="BM44" s="2"/>
      <c r="BN44" s="2"/>
      <c r="BO44" s="2"/>
      <c r="BP44" s="2"/>
      <c r="BQ44" s="2"/>
      <c r="BR44" s="2"/>
      <c r="BS44" s="2"/>
      <c r="BT44" s="2"/>
      <c r="BU44" s="2"/>
      <c r="BV44" s="2"/>
      <c r="BW44" s="2"/>
      <c r="BX44" s="2"/>
      <c r="BY44" s="2"/>
      <c r="BZ44" s="2"/>
      <c r="CA44" s="2"/>
      <c r="CB44" s="2"/>
      <c r="CC44" s="2"/>
      <c r="CD44" s="2"/>
      <c r="CE44" s="2"/>
      <c r="CF44" s="2"/>
      <c r="CG44" s="2"/>
      <c r="CH44" s="2"/>
      <c r="CI44" s="2"/>
      <c r="CJ44" s="2"/>
      <c r="CK44" s="2"/>
      <c r="CL44" s="2"/>
      <c r="CM44" s="2"/>
      <c r="CN44" s="2"/>
      <c r="CO44" s="2"/>
      <c r="CP44" s="2"/>
      <c r="CQ44" s="2"/>
      <c r="CR44" s="2"/>
      <c r="CS44" s="2"/>
      <c r="CT44" s="2"/>
      <c r="CU44" s="2"/>
      <c r="CV44" s="2"/>
      <c r="CW44" s="2"/>
      <c r="CX44" s="2"/>
      <c r="CY44" s="2"/>
      <c r="CZ44" s="2"/>
      <c r="DA44" s="2"/>
      <c r="DB44" s="2"/>
      <c r="DC44" s="2"/>
      <c r="DD44" s="2"/>
      <c r="DE44" s="2"/>
      <c r="DF44" s="2"/>
      <c r="DG44" s="2"/>
      <c r="DH44" s="2"/>
      <c r="DI44" s="2"/>
      <c r="DJ44" s="2"/>
      <c r="DK44" s="2"/>
      <c r="DL44" s="2"/>
      <c r="DM44" s="2"/>
      <c r="DN44" s="2"/>
      <c r="DO44" s="2"/>
      <c r="DP44" s="2"/>
      <c r="DQ44" s="2"/>
      <c r="DR44" s="2"/>
      <c r="DS44" s="2"/>
      <c r="DT44" s="2"/>
      <c r="DU44" s="2"/>
      <c r="DV44" s="2"/>
      <c r="DW44" s="2"/>
      <c r="DX44" s="2"/>
      <c r="DY44" s="2"/>
      <c r="DZ44" s="2"/>
      <c r="EA44" s="2"/>
      <c r="EB44" s="2"/>
      <c r="EC44" s="2"/>
      <c r="ED44" s="2"/>
      <c r="EE44" s="2"/>
      <c r="EF44" s="2"/>
      <c r="EG44" s="2"/>
      <c r="EH44" s="2"/>
      <c r="EI44" s="2"/>
      <c r="EJ44" s="2"/>
      <c r="EK44" s="2"/>
      <c r="EL44" s="2"/>
      <c r="EM44" s="2"/>
      <c r="EN44" s="2"/>
      <c r="EO44" s="2"/>
      <c r="EP44" s="2"/>
      <c r="EQ44" s="2"/>
      <c r="ER44" s="2"/>
      <c r="ES44" s="2"/>
      <c r="ET44" s="2"/>
      <c r="EU44" s="2"/>
      <c r="EV44" s="2"/>
      <c r="EW44" s="2"/>
      <c r="EX44" s="2"/>
      <c r="EY44" s="2"/>
      <c r="EZ44" s="2"/>
      <c r="FA44" s="2"/>
      <c r="FB44" s="2"/>
      <c r="FC44" s="2"/>
      <c r="FD44" s="2"/>
      <c r="FE44" s="2"/>
      <c r="FF44" s="2"/>
      <c r="FG44" s="2"/>
      <c r="FH44" s="2"/>
      <c r="FI44" s="2"/>
      <c r="FJ44" s="2"/>
      <c r="FK44" s="2"/>
      <c r="FL44" s="2"/>
      <c r="FM44" s="2"/>
      <c r="FN44" s="2"/>
      <c r="FO44" s="2"/>
      <c r="FP44" s="2"/>
      <c r="FQ44" s="2"/>
      <c r="FR44" s="2"/>
      <c r="FS44" s="2"/>
      <c r="FT44" s="2"/>
      <c r="FU44" s="2"/>
      <c r="FV44" s="2"/>
      <c r="FW44" s="2"/>
      <c r="FX44" s="2"/>
      <c r="FY44" s="2"/>
      <c r="FZ44" s="2"/>
      <c r="GA44" s="2"/>
      <c r="GB44" s="2"/>
      <c r="GC44" s="2"/>
      <c r="GD44" s="2"/>
      <c r="GE44" s="2"/>
      <c r="GF44" s="2"/>
      <c r="GG44" s="2"/>
      <c r="GH44" s="2"/>
      <c r="GI44" s="2"/>
      <c r="GJ44" s="2"/>
      <c r="GK44" s="2"/>
      <c r="GL44" s="2"/>
      <c r="GM44" s="2"/>
      <c r="GN44" s="2"/>
      <c r="GO44" s="2"/>
      <c r="GP44" s="2"/>
      <c r="GQ44" s="2"/>
      <c r="GR44" s="2"/>
      <c r="GS44" s="2"/>
      <c r="GT44" s="2"/>
      <c r="GU44" s="2"/>
      <c r="GV44" s="2"/>
      <c r="GW44" s="2"/>
      <c r="GX44" s="2"/>
      <c r="GY44" s="2"/>
      <c r="GZ44" s="2"/>
      <c r="HA44" s="2"/>
      <c r="HB44" s="2"/>
      <c r="HC44" s="2"/>
      <c r="HD44" s="2"/>
      <c r="HE44" s="2"/>
      <c r="HF44" s="2"/>
      <c r="HG44" s="2"/>
      <c r="HH44" s="2"/>
      <c r="HI44" s="2"/>
      <c r="HJ44" s="2"/>
      <c r="HK44" s="2"/>
      <c r="HL44" s="2"/>
      <c r="HM44" s="2"/>
      <c r="HN44" s="2"/>
      <c r="HO44" s="2"/>
      <c r="HP44" s="2"/>
      <c r="HQ44" s="2"/>
      <c r="HR44" s="2"/>
      <c r="HS44" s="2"/>
      <c r="HT44" s="2"/>
      <c r="HU44" s="2"/>
      <c r="HV44" s="2"/>
      <c r="HW44" s="2"/>
      <c r="HX44" s="2"/>
      <c r="HY44" s="2"/>
      <c r="HZ44" s="2"/>
      <c r="IA44" s="2"/>
      <c r="IB44" s="2"/>
      <c r="IC44" s="2"/>
    </row>
    <row r="45" spans="1:237" x14ac:dyDescent="0.2">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c r="AX45" s="2"/>
      <c r="AY45" s="2"/>
      <c r="AZ45" s="2"/>
      <c r="BA45" s="2"/>
      <c r="BB45" s="2"/>
      <c r="BC45" s="2"/>
      <c r="BD45" s="2"/>
      <c r="BE45" s="2"/>
      <c r="BF45" s="2"/>
      <c r="BG45" s="2"/>
      <c r="BH45" s="2"/>
      <c r="BI45" s="2"/>
      <c r="BJ45" s="2"/>
      <c r="BK45" s="2"/>
      <c r="BL45" s="2"/>
      <c r="BM45" s="2"/>
      <c r="BN45" s="2"/>
      <c r="BO45" s="2"/>
      <c r="BP45" s="2"/>
      <c r="BQ45" s="2"/>
      <c r="BR45" s="2"/>
      <c r="BS45" s="2"/>
      <c r="BT45" s="2"/>
      <c r="BU45" s="2"/>
      <c r="BV45" s="2"/>
      <c r="BW45" s="2"/>
      <c r="BX45" s="2"/>
      <c r="BY45" s="2"/>
      <c r="BZ45" s="2"/>
      <c r="CA45" s="2"/>
      <c r="CB45" s="2"/>
      <c r="CC45" s="2"/>
      <c r="CD45" s="2"/>
      <c r="CE45" s="2"/>
      <c r="CF45" s="2"/>
      <c r="CG45" s="2"/>
      <c r="CH45" s="2"/>
      <c r="CI45" s="2"/>
      <c r="CJ45" s="2"/>
      <c r="CK45" s="2"/>
      <c r="CL45" s="2"/>
      <c r="CM45" s="2"/>
      <c r="CN45" s="2"/>
      <c r="CO45" s="2"/>
      <c r="CP45" s="2"/>
      <c r="CQ45" s="2"/>
      <c r="CR45" s="2"/>
      <c r="CS45" s="2"/>
      <c r="CT45" s="2"/>
      <c r="CU45" s="2"/>
      <c r="CV45" s="2"/>
      <c r="CW45" s="2"/>
      <c r="CX45" s="2"/>
      <c r="CY45" s="2"/>
      <c r="CZ45" s="2"/>
      <c r="DA45" s="2"/>
      <c r="DB45" s="2"/>
      <c r="DC45" s="2"/>
      <c r="DD45" s="2"/>
      <c r="DE45" s="2"/>
      <c r="DF45" s="2"/>
      <c r="DG45" s="2"/>
      <c r="DH45" s="2"/>
      <c r="DI45" s="2"/>
      <c r="DJ45" s="2"/>
      <c r="DK45" s="2"/>
      <c r="DL45" s="2"/>
      <c r="DM45" s="2"/>
      <c r="DN45" s="2"/>
      <c r="DO45" s="2"/>
      <c r="DP45" s="2"/>
      <c r="DQ45" s="2"/>
      <c r="DR45" s="2"/>
      <c r="DS45" s="2"/>
      <c r="DT45" s="2"/>
      <c r="DU45" s="2"/>
      <c r="DV45" s="2"/>
      <c r="DW45" s="2"/>
      <c r="DX45" s="2"/>
      <c r="DY45" s="2"/>
      <c r="DZ45" s="2"/>
      <c r="EA45" s="2"/>
      <c r="EB45" s="2"/>
      <c r="EC45" s="2"/>
      <c r="ED45" s="2"/>
      <c r="EE45" s="2"/>
      <c r="EF45" s="2"/>
      <c r="EG45" s="2"/>
      <c r="EH45" s="2"/>
      <c r="EI45" s="2"/>
      <c r="EJ45" s="2"/>
      <c r="EK45" s="2"/>
      <c r="EL45" s="2"/>
      <c r="EM45" s="2"/>
      <c r="EN45" s="2"/>
      <c r="EO45" s="2"/>
      <c r="EP45" s="2"/>
      <c r="EQ45" s="2"/>
      <c r="ER45" s="2"/>
      <c r="ES45" s="2"/>
      <c r="ET45" s="2"/>
      <c r="EU45" s="2"/>
      <c r="EV45" s="2"/>
      <c r="EW45" s="2"/>
      <c r="EX45" s="2"/>
      <c r="EY45" s="2"/>
      <c r="EZ45" s="2"/>
      <c r="FA45" s="2"/>
      <c r="FB45" s="2"/>
      <c r="FC45" s="2"/>
      <c r="FD45" s="2"/>
      <c r="FE45" s="2"/>
      <c r="FF45" s="2"/>
      <c r="FG45" s="2"/>
      <c r="FH45" s="2"/>
      <c r="FI45" s="2"/>
      <c r="FJ45" s="2"/>
      <c r="FK45" s="2"/>
      <c r="FL45" s="2"/>
      <c r="FM45" s="2"/>
      <c r="FN45" s="2"/>
      <c r="FO45" s="2"/>
      <c r="FP45" s="2"/>
      <c r="FQ45" s="2"/>
      <c r="FR45" s="2"/>
      <c r="FS45" s="2"/>
      <c r="FT45" s="2"/>
      <c r="FU45" s="2"/>
      <c r="FV45" s="2"/>
      <c r="FW45" s="2"/>
      <c r="FX45" s="2"/>
      <c r="FY45" s="2"/>
      <c r="FZ45" s="2"/>
      <c r="GA45" s="2"/>
      <c r="GB45" s="2"/>
      <c r="GC45" s="2"/>
      <c r="GD45" s="2"/>
      <c r="GE45" s="2"/>
      <c r="GF45" s="2"/>
      <c r="GG45" s="2"/>
      <c r="GH45" s="2"/>
      <c r="GI45" s="2"/>
      <c r="GJ45" s="2"/>
      <c r="GK45" s="2"/>
      <c r="GL45" s="2"/>
      <c r="GM45" s="2"/>
      <c r="GN45" s="2"/>
      <c r="GO45" s="2"/>
      <c r="GP45" s="2"/>
      <c r="GQ45" s="2"/>
      <c r="GR45" s="2"/>
      <c r="GS45" s="2"/>
      <c r="GT45" s="2"/>
      <c r="GU45" s="2"/>
      <c r="GV45" s="2"/>
      <c r="GW45" s="2"/>
      <c r="GX45" s="2"/>
      <c r="GY45" s="2"/>
      <c r="GZ45" s="2"/>
      <c r="HA45" s="2"/>
      <c r="HB45" s="2"/>
      <c r="HC45" s="2"/>
      <c r="HD45" s="2"/>
      <c r="HE45" s="2"/>
      <c r="HF45" s="2"/>
      <c r="HG45" s="2"/>
      <c r="HH45" s="2"/>
      <c r="HI45" s="2"/>
      <c r="HJ45" s="2"/>
      <c r="HK45" s="2"/>
      <c r="HL45" s="2"/>
      <c r="HM45" s="2"/>
      <c r="HN45" s="2"/>
      <c r="HO45" s="2"/>
      <c r="HP45" s="2"/>
      <c r="HQ45" s="2"/>
      <c r="HR45" s="2"/>
      <c r="HS45" s="2"/>
      <c r="HT45" s="2"/>
      <c r="HU45" s="2"/>
      <c r="HV45" s="2"/>
      <c r="HW45" s="2"/>
      <c r="HX45" s="2"/>
      <c r="HY45" s="2"/>
      <c r="HZ45" s="2"/>
      <c r="IA45" s="2"/>
      <c r="IB45" s="2"/>
      <c r="IC45" s="2"/>
    </row>
    <row r="46" spans="1:237" x14ac:dyDescent="0.2">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c r="AX46" s="2"/>
      <c r="AY46" s="2"/>
      <c r="AZ46" s="2"/>
      <c r="BA46" s="2"/>
      <c r="BB46" s="2"/>
      <c r="BC46" s="2"/>
      <c r="BD46" s="2"/>
      <c r="BE46" s="2"/>
      <c r="BF46" s="2"/>
      <c r="BG46" s="2"/>
      <c r="BH46" s="2"/>
      <c r="BI46" s="2"/>
      <c r="BJ46" s="2"/>
      <c r="BK46" s="2"/>
      <c r="BL46" s="2"/>
      <c r="BM46" s="2"/>
      <c r="BN46" s="2"/>
      <c r="BO46" s="2"/>
      <c r="BP46" s="2"/>
      <c r="BQ46" s="2"/>
      <c r="BR46" s="2"/>
      <c r="BS46" s="2"/>
      <c r="BT46" s="2"/>
      <c r="BU46" s="2"/>
      <c r="BV46" s="2"/>
      <c r="BW46" s="2"/>
      <c r="BX46" s="2"/>
      <c r="BY46" s="2"/>
      <c r="BZ46" s="2"/>
      <c r="CA46" s="2"/>
      <c r="CB46" s="2"/>
      <c r="CC46" s="2"/>
      <c r="CD46" s="2"/>
      <c r="CE46" s="2"/>
      <c r="CF46" s="2"/>
      <c r="CG46" s="2"/>
      <c r="CH46" s="2"/>
      <c r="CI46" s="2"/>
      <c r="CJ46" s="2"/>
      <c r="CK46" s="2"/>
      <c r="CL46" s="2"/>
      <c r="CM46" s="2"/>
      <c r="CN46" s="2"/>
      <c r="CO46" s="2"/>
      <c r="CP46" s="2"/>
      <c r="CQ46" s="2"/>
      <c r="CR46" s="2"/>
      <c r="CS46" s="2"/>
      <c r="CT46" s="2"/>
      <c r="CU46" s="2"/>
      <c r="CV46" s="2"/>
      <c r="CW46" s="2"/>
      <c r="CX46" s="2"/>
      <c r="CY46" s="2"/>
      <c r="CZ46" s="2"/>
      <c r="DA46" s="2"/>
      <c r="DB46" s="2"/>
      <c r="DC46" s="2"/>
      <c r="DD46" s="2"/>
      <c r="DE46" s="2"/>
      <c r="DF46" s="2"/>
      <c r="DG46" s="2"/>
      <c r="DH46" s="2"/>
      <c r="DI46" s="2"/>
      <c r="DJ46" s="2"/>
      <c r="DK46" s="2"/>
      <c r="DL46" s="2"/>
      <c r="DM46" s="2"/>
      <c r="DN46" s="2"/>
      <c r="DO46" s="2"/>
      <c r="DP46" s="2"/>
      <c r="DQ46" s="2"/>
      <c r="DR46" s="2"/>
      <c r="DS46" s="2"/>
      <c r="DT46" s="2"/>
      <c r="DU46" s="2"/>
      <c r="DV46" s="2"/>
      <c r="DW46" s="2"/>
      <c r="DX46" s="2"/>
      <c r="DY46" s="2"/>
      <c r="DZ46" s="2"/>
      <c r="EA46" s="2"/>
      <c r="EB46" s="2"/>
      <c r="EC46" s="2"/>
      <c r="ED46" s="2"/>
      <c r="EE46" s="2"/>
      <c r="EF46" s="2"/>
      <c r="EG46" s="2"/>
      <c r="EH46" s="2"/>
      <c r="EI46" s="2"/>
      <c r="EJ46" s="2"/>
      <c r="EK46" s="2"/>
      <c r="EL46" s="2"/>
      <c r="EM46" s="2"/>
      <c r="EN46" s="2"/>
      <c r="EO46" s="2"/>
      <c r="EP46" s="2"/>
      <c r="EQ46" s="2"/>
      <c r="ER46" s="2"/>
      <c r="ES46" s="2"/>
      <c r="ET46" s="2"/>
      <c r="EU46" s="2"/>
      <c r="EV46" s="2"/>
      <c r="EW46" s="2"/>
      <c r="EX46" s="2"/>
      <c r="EY46" s="2"/>
      <c r="EZ46" s="2"/>
      <c r="FA46" s="2"/>
      <c r="FB46" s="2"/>
      <c r="FC46" s="2"/>
      <c r="FD46" s="2"/>
      <c r="FE46" s="2"/>
      <c r="FF46" s="2"/>
      <c r="FG46" s="2"/>
      <c r="FH46" s="2"/>
      <c r="FI46" s="2"/>
      <c r="FJ46" s="2"/>
      <c r="FK46" s="2"/>
      <c r="FL46" s="2"/>
      <c r="FM46" s="2"/>
      <c r="FN46" s="2"/>
      <c r="FO46" s="2"/>
      <c r="FP46" s="2"/>
      <c r="FQ46" s="2"/>
      <c r="FR46" s="2"/>
      <c r="FS46" s="2"/>
      <c r="FT46" s="2"/>
      <c r="FU46" s="2"/>
      <c r="FV46" s="2"/>
      <c r="FW46" s="2"/>
      <c r="FX46" s="2"/>
      <c r="FY46" s="2"/>
      <c r="FZ46" s="2"/>
      <c r="GA46" s="2"/>
      <c r="GB46" s="2"/>
      <c r="GC46" s="2"/>
      <c r="GD46" s="2"/>
      <c r="GE46" s="2"/>
      <c r="GF46" s="2"/>
      <c r="GG46" s="2"/>
      <c r="GH46" s="2"/>
      <c r="GI46" s="2"/>
      <c r="GJ46" s="2"/>
      <c r="GK46" s="2"/>
      <c r="GL46" s="2"/>
      <c r="GM46" s="2"/>
      <c r="GN46" s="2"/>
      <c r="GO46" s="2"/>
      <c r="GP46" s="2"/>
      <c r="GQ46" s="2"/>
      <c r="GR46" s="2"/>
      <c r="GS46" s="2"/>
      <c r="GT46" s="2"/>
      <c r="GU46" s="2"/>
      <c r="GV46" s="2"/>
      <c r="GW46" s="2"/>
      <c r="GX46" s="2"/>
      <c r="GY46" s="2"/>
      <c r="GZ46" s="2"/>
      <c r="HA46" s="2"/>
      <c r="HB46" s="2"/>
      <c r="HC46" s="2"/>
      <c r="HD46" s="2"/>
      <c r="HE46" s="2"/>
      <c r="HF46" s="2"/>
      <c r="HG46" s="2"/>
      <c r="HH46" s="2"/>
      <c r="HI46" s="2"/>
      <c r="HJ46" s="2"/>
      <c r="HK46" s="2"/>
      <c r="HL46" s="2"/>
      <c r="HM46" s="2"/>
      <c r="HN46" s="2"/>
      <c r="HO46" s="2"/>
      <c r="HP46" s="2"/>
      <c r="HQ46" s="2"/>
      <c r="HR46" s="2"/>
      <c r="HS46" s="2"/>
      <c r="HT46" s="2"/>
      <c r="HU46" s="2"/>
      <c r="HV46" s="2"/>
      <c r="HW46" s="2"/>
      <c r="HX46" s="2"/>
      <c r="HY46" s="2"/>
      <c r="HZ46" s="2"/>
      <c r="IA46" s="2"/>
      <c r="IB46" s="2"/>
      <c r="IC46" s="2"/>
    </row>
    <row r="47" spans="1:237" x14ac:dyDescent="0.2">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c r="AX47" s="2"/>
      <c r="AY47" s="2"/>
      <c r="AZ47" s="2"/>
      <c r="BA47" s="2"/>
      <c r="BB47" s="2"/>
      <c r="BC47" s="2"/>
      <c r="BD47" s="2"/>
      <c r="BE47" s="2"/>
      <c r="BF47" s="2"/>
      <c r="BG47" s="2"/>
      <c r="BH47" s="2"/>
      <c r="BI47" s="2"/>
      <c r="BJ47" s="2"/>
      <c r="BK47" s="2"/>
      <c r="BL47" s="2"/>
      <c r="BM47" s="2"/>
      <c r="BN47" s="2"/>
      <c r="BO47" s="2"/>
      <c r="BP47" s="2"/>
      <c r="BQ47" s="2"/>
      <c r="BR47" s="2"/>
      <c r="BS47" s="2"/>
      <c r="BT47" s="2"/>
      <c r="BU47" s="2"/>
      <c r="BV47" s="2"/>
      <c r="BW47" s="2"/>
      <c r="BX47" s="2"/>
      <c r="BY47" s="2"/>
      <c r="BZ47" s="2"/>
      <c r="CA47" s="2"/>
      <c r="CB47" s="2"/>
      <c r="CC47" s="2"/>
      <c r="CD47" s="2"/>
      <c r="CE47" s="2"/>
      <c r="CF47" s="2"/>
      <c r="CG47" s="2"/>
      <c r="CH47" s="2"/>
      <c r="CI47" s="2"/>
      <c r="CJ47" s="2"/>
      <c r="CK47" s="2"/>
      <c r="CL47" s="2"/>
      <c r="CM47" s="2"/>
      <c r="CN47" s="2"/>
      <c r="CO47" s="2"/>
      <c r="CP47" s="2"/>
      <c r="CQ47" s="2"/>
      <c r="CR47" s="2"/>
      <c r="CS47" s="2"/>
      <c r="CT47" s="2"/>
      <c r="CU47" s="2"/>
      <c r="CV47" s="2"/>
      <c r="CW47" s="2"/>
      <c r="CX47" s="2"/>
      <c r="CY47" s="2"/>
      <c r="CZ47" s="2"/>
      <c r="DA47" s="2"/>
      <c r="DB47" s="2"/>
      <c r="DC47" s="2"/>
      <c r="DD47" s="2"/>
      <c r="DE47" s="2"/>
      <c r="DF47" s="2"/>
      <c r="DG47" s="2"/>
      <c r="DH47" s="2"/>
      <c r="DI47" s="2"/>
      <c r="DJ47" s="2"/>
      <c r="DK47" s="2"/>
      <c r="DL47" s="2"/>
      <c r="DM47" s="2"/>
      <c r="DN47" s="2"/>
      <c r="DO47" s="2"/>
      <c r="DP47" s="2"/>
      <c r="DQ47" s="2"/>
      <c r="DR47" s="2"/>
      <c r="DS47" s="2"/>
      <c r="DT47" s="2"/>
      <c r="DU47" s="2"/>
      <c r="DV47" s="2"/>
      <c r="DW47" s="2"/>
      <c r="DX47" s="2"/>
      <c r="DY47" s="2"/>
      <c r="DZ47" s="2"/>
      <c r="EA47" s="2"/>
      <c r="EB47" s="2"/>
      <c r="EC47" s="2"/>
      <c r="ED47" s="2"/>
      <c r="EE47" s="2"/>
      <c r="EF47" s="2"/>
      <c r="EG47" s="2"/>
      <c r="EH47" s="2"/>
      <c r="EI47" s="2"/>
      <c r="EJ47" s="2"/>
      <c r="EK47" s="2"/>
      <c r="EL47" s="2"/>
      <c r="EM47" s="2"/>
      <c r="EN47" s="2"/>
      <c r="EO47" s="2"/>
      <c r="EP47" s="2"/>
      <c r="EQ47" s="2"/>
      <c r="ER47" s="2"/>
      <c r="ES47" s="2"/>
      <c r="ET47" s="2"/>
      <c r="EU47" s="2"/>
      <c r="EV47" s="2"/>
      <c r="EW47" s="2"/>
      <c r="EX47" s="2"/>
      <c r="EY47" s="2"/>
      <c r="EZ47" s="2"/>
      <c r="FA47" s="2"/>
      <c r="FB47" s="2"/>
      <c r="FC47" s="2"/>
      <c r="FD47" s="2"/>
      <c r="FE47" s="2"/>
      <c r="FF47" s="2"/>
      <c r="FG47" s="2"/>
      <c r="FH47" s="2"/>
      <c r="FI47" s="2"/>
      <c r="FJ47" s="2"/>
      <c r="FK47" s="2"/>
      <c r="FL47" s="2"/>
      <c r="FM47" s="2"/>
      <c r="FN47" s="2"/>
      <c r="FO47" s="2"/>
      <c r="FP47" s="2"/>
      <c r="FQ47" s="2"/>
      <c r="FR47" s="2"/>
      <c r="FS47" s="2"/>
      <c r="FT47" s="2"/>
      <c r="FU47" s="2"/>
      <c r="FV47" s="2"/>
      <c r="FW47" s="2"/>
      <c r="FX47" s="2"/>
      <c r="FY47" s="2"/>
      <c r="FZ47" s="2"/>
      <c r="GA47" s="2"/>
      <c r="GB47" s="2"/>
      <c r="GC47" s="2"/>
      <c r="GD47" s="2"/>
      <c r="GE47" s="2"/>
      <c r="GF47" s="2"/>
      <c r="GG47" s="2"/>
      <c r="GH47" s="2"/>
      <c r="GI47" s="2"/>
      <c r="GJ47" s="2"/>
      <c r="GK47" s="2"/>
      <c r="GL47" s="2"/>
      <c r="GM47" s="2"/>
      <c r="GN47" s="2"/>
      <c r="GO47" s="2"/>
      <c r="GP47" s="2"/>
      <c r="GQ47" s="2"/>
      <c r="GR47" s="2"/>
      <c r="GS47" s="2"/>
      <c r="GT47" s="2"/>
      <c r="GU47" s="2"/>
      <c r="GV47" s="2"/>
      <c r="GW47" s="2"/>
      <c r="GX47" s="2"/>
      <c r="GY47" s="2"/>
      <c r="GZ47" s="2"/>
      <c r="HA47" s="2"/>
      <c r="HB47" s="2"/>
      <c r="HC47" s="2"/>
      <c r="HD47" s="2"/>
      <c r="HE47" s="2"/>
      <c r="HF47" s="2"/>
      <c r="HG47" s="2"/>
      <c r="HH47" s="2"/>
      <c r="HI47" s="2"/>
      <c r="HJ47" s="2"/>
      <c r="HK47" s="2"/>
      <c r="HL47" s="2"/>
      <c r="HM47" s="2"/>
      <c r="HN47" s="2"/>
      <c r="HO47" s="2"/>
      <c r="HP47" s="2"/>
      <c r="HQ47" s="2"/>
      <c r="HR47" s="2"/>
      <c r="HS47" s="2"/>
      <c r="HT47" s="2"/>
      <c r="HU47" s="2"/>
      <c r="HV47" s="2"/>
      <c r="HW47" s="2"/>
      <c r="HX47" s="2"/>
      <c r="HY47" s="2"/>
      <c r="HZ47" s="2"/>
      <c r="IA47" s="2"/>
      <c r="IB47" s="2"/>
      <c r="IC47" s="2"/>
    </row>
    <row r="48" spans="1:237" x14ac:dyDescent="0.2">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c r="AX48" s="2"/>
      <c r="AY48" s="2"/>
      <c r="AZ48" s="2"/>
      <c r="BA48" s="2"/>
      <c r="BB48" s="2"/>
      <c r="BC48" s="2"/>
      <c r="BD48" s="2"/>
      <c r="BE48" s="2"/>
      <c r="BF48" s="2"/>
      <c r="BG48" s="2"/>
      <c r="BH48" s="2"/>
      <c r="BI48" s="2"/>
      <c r="BJ48" s="2"/>
      <c r="BK48" s="2"/>
      <c r="BL48" s="2"/>
      <c r="BM48" s="2"/>
      <c r="BN48" s="2"/>
      <c r="BO48" s="2"/>
      <c r="BP48" s="2"/>
      <c r="BQ48" s="2"/>
      <c r="BR48" s="2"/>
      <c r="BS48" s="2"/>
      <c r="BT48" s="2"/>
      <c r="BU48" s="2"/>
      <c r="BV48" s="2"/>
      <c r="BW48" s="2"/>
      <c r="BX48" s="2"/>
      <c r="BY48" s="2"/>
      <c r="BZ48" s="2"/>
      <c r="CA48" s="2"/>
      <c r="CB48" s="2"/>
      <c r="CC48" s="2"/>
      <c r="CD48" s="2"/>
      <c r="CE48" s="2"/>
      <c r="CF48" s="2"/>
      <c r="CG48" s="2"/>
      <c r="CH48" s="2"/>
      <c r="CI48" s="2"/>
      <c r="CJ48" s="2"/>
      <c r="CK48" s="2"/>
      <c r="CL48" s="2"/>
      <c r="CM48" s="2"/>
      <c r="CN48" s="2"/>
      <c r="CO48" s="2"/>
      <c r="CP48" s="2"/>
      <c r="CQ48" s="2"/>
      <c r="CR48" s="2"/>
      <c r="CS48" s="2"/>
      <c r="CT48" s="2"/>
      <c r="CU48" s="2"/>
      <c r="CV48" s="2"/>
      <c r="CW48" s="2"/>
      <c r="CX48" s="2"/>
      <c r="CY48" s="2"/>
      <c r="CZ48" s="2"/>
      <c r="DA48" s="2"/>
      <c r="DB48" s="2"/>
      <c r="DC48" s="2"/>
      <c r="DD48" s="2"/>
      <c r="DE48" s="2"/>
      <c r="DF48" s="2"/>
      <c r="DG48" s="2"/>
      <c r="DH48" s="2"/>
      <c r="DI48" s="2"/>
      <c r="DJ48" s="2"/>
      <c r="DK48" s="2"/>
      <c r="DL48" s="2"/>
      <c r="DM48" s="2"/>
      <c r="DN48" s="2"/>
      <c r="DO48" s="2"/>
      <c r="DP48" s="2"/>
      <c r="DQ48" s="2"/>
      <c r="DR48" s="2"/>
      <c r="DS48" s="2"/>
      <c r="DT48" s="2"/>
      <c r="DU48" s="2"/>
      <c r="DV48" s="2"/>
      <c r="DW48" s="2"/>
      <c r="DX48" s="2"/>
      <c r="DY48" s="2"/>
      <c r="DZ48" s="2"/>
      <c r="EA48" s="2"/>
      <c r="EB48" s="2"/>
      <c r="EC48" s="2"/>
      <c r="ED48" s="2"/>
      <c r="EE48" s="2"/>
      <c r="EF48" s="2"/>
      <c r="EG48" s="2"/>
      <c r="EH48" s="2"/>
      <c r="EI48" s="2"/>
      <c r="EJ48" s="2"/>
      <c r="EK48" s="2"/>
      <c r="EL48" s="2"/>
      <c r="EM48" s="2"/>
      <c r="EN48" s="2"/>
      <c r="EO48" s="2"/>
      <c r="EP48" s="2"/>
      <c r="EQ48" s="2"/>
      <c r="ER48" s="2"/>
      <c r="ES48" s="2"/>
      <c r="ET48" s="2"/>
      <c r="EU48" s="2"/>
      <c r="EV48" s="2"/>
      <c r="EW48" s="2"/>
      <c r="EX48" s="2"/>
      <c r="EY48" s="2"/>
      <c r="EZ48" s="2"/>
      <c r="FA48" s="2"/>
      <c r="FB48" s="2"/>
      <c r="FC48" s="2"/>
      <c r="FD48" s="2"/>
      <c r="FE48" s="2"/>
      <c r="FF48" s="2"/>
      <c r="FG48" s="2"/>
      <c r="FH48" s="2"/>
      <c r="FI48" s="2"/>
      <c r="FJ48" s="2"/>
      <c r="FK48" s="2"/>
      <c r="FL48" s="2"/>
      <c r="FM48" s="2"/>
      <c r="FN48" s="2"/>
      <c r="FO48" s="2"/>
      <c r="FP48" s="2"/>
      <c r="FQ48" s="2"/>
      <c r="FR48" s="2"/>
      <c r="FS48" s="2"/>
      <c r="FT48" s="2"/>
      <c r="FU48" s="2"/>
      <c r="FV48" s="2"/>
      <c r="FW48" s="2"/>
      <c r="FX48" s="2"/>
      <c r="FY48" s="2"/>
      <c r="FZ48" s="2"/>
      <c r="GA48" s="2"/>
      <c r="GB48" s="2"/>
      <c r="GC48" s="2"/>
      <c r="GD48" s="2"/>
      <c r="GE48" s="2"/>
      <c r="GF48" s="2"/>
      <c r="GG48" s="2"/>
      <c r="GH48" s="2"/>
      <c r="GI48" s="2"/>
      <c r="GJ48" s="2"/>
      <c r="GK48" s="2"/>
      <c r="GL48" s="2"/>
      <c r="GM48" s="2"/>
      <c r="GN48" s="2"/>
      <c r="GO48" s="2"/>
      <c r="GP48" s="2"/>
      <c r="GQ48" s="2"/>
      <c r="GR48" s="2"/>
      <c r="GS48" s="2"/>
      <c r="GT48" s="2"/>
      <c r="GU48" s="2"/>
      <c r="GV48" s="2"/>
      <c r="GW48" s="2"/>
      <c r="GX48" s="2"/>
      <c r="GY48" s="2"/>
      <c r="GZ48" s="2"/>
      <c r="HA48" s="2"/>
      <c r="HB48" s="2"/>
      <c r="HC48" s="2"/>
      <c r="HD48" s="2"/>
      <c r="HE48" s="2"/>
      <c r="HF48" s="2"/>
      <c r="HG48" s="2"/>
      <c r="HH48" s="2"/>
      <c r="HI48" s="2"/>
      <c r="HJ48" s="2"/>
      <c r="HK48" s="2"/>
      <c r="HL48" s="2"/>
      <c r="HM48" s="2"/>
      <c r="HN48" s="2"/>
      <c r="HO48" s="2"/>
      <c r="HP48" s="2"/>
      <c r="HQ48" s="2"/>
      <c r="HR48" s="2"/>
      <c r="HS48" s="2"/>
      <c r="HT48" s="2"/>
      <c r="HU48" s="2"/>
      <c r="HV48" s="2"/>
      <c r="HW48" s="2"/>
      <c r="HX48" s="2"/>
      <c r="HY48" s="2"/>
      <c r="HZ48" s="2"/>
      <c r="IA48" s="2"/>
      <c r="IB48" s="2"/>
      <c r="IC48" s="2"/>
    </row>
    <row r="49" spans="239:243" s="2" customFormat="1" x14ac:dyDescent="0.2"/>
    <row r="50" spans="239:243" s="2" customFormat="1" x14ac:dyDescent="0.2"/>
    <row r="51" spans="239:243" s="2" customFormat="1" x14ac:dyDescent="0.2"/>
    <row r="52" spans="239:243" s="2" customFormat="1" x14ac:dyDescent="0.2"/>
    <row r="53" spans="239:243" s="2" customFormat="1" x14ac:dyDescent="0.2">
      <c r="II53" s="23"/>
    </row>
    <row r="54" spans="239:243" s="2" customFormat="1" x14ac:dyDescent="0.2"/>
    <row r="55" spans="239:243" s="2" customFormat="1" x14ac:dyDescent="0.2">
      <c r="IE55" s="17"/>
    </row>
    <row r="56" spans="239:243" s="2" customFormat="1" x14ac:dyDescent="0.2">
      <c r="IE56" s="17"/>
    </row>
    <row r="57" spans="239:243" s="2" customFormat="1" x14ac:dyDescent="0.2">
      <c r="II57" s="23"/>
    </row>
    <row r="58" spans="239:243" s="2" customFormat="1" x14ac:dyDescent="0.2">
      <c r="IE58" s="17"/>
      <c r="II58" s="23"/>
    </row>
    <row r="59" spans="239:243" s="2" customFormat="1" x14ac:dyDescent="0.2"/>
    <row r="60" spans="239:243" s="2" customFormat="1" x14ac:dyDescent="0.2"/>
    <row r="61" spans="239:243" s="2" customFormat="1" x14ac:dyDescent="0.2">
      <c r="II61" s="23"/>
    </row>
    <row r="62" spans="239:243" s="2" customFormat="1" x14ac:dyDescent="0.2"/>
    <row r="63" spans="239:243" s="2" customFormat="1" x14ac:dyDescent="0.2"/>
    <row r="64" spans="239:243" s="2" customFormat="1" x14ac:dyDescent="0.2"/>
    <row r="65" spans="242:243" s="2" customFormat="1" x14ac:dyDescent="0.2">
      <c r="II65" s="23"/>
    </row>
    <row r="66" spans="242:243" s="2" customFormat="1" x14ac:dyDescent="0.2">
      <c r="II66" s="23"/>
    </row>
    <row r="67" spans="242:243" s="2" customFormat="1" x14ac:dyDescent="0.2">
      <c r="II67" s="23"/>
    </row>
    <row r="68" spans="242:243" s="2" customFormat="1" x14ac:dyDescent="0.2">
      <c r="II68" s="23"/>
    </row>
    <row r="69" spans="242:243" s="2" customFormat="1" ht="15" x14ac:dyDescent="0.25">
      <c r="IH69" s="26"/>
      <c r="II69" s="18"/>
    </row>
    <row r="70" spans="242:243" s="2" customFormat="1" ht="15" x14ac:dyDescent="0.25">
      <c r="IH70" s="26"/>
      <c r="II70" s="18"/>
    </row>
    <row r="71" spans="242:243" s="2" customFormat="1" ht="15" x14ac:dyDescent="0.25">
      <c r="IH71" s="26"/>
      <c r="II71" s="18"/>
    </row>
    <row r="72" spans="242:243" s="2" customFormat="1" ht="15" x14ac:dyDescent="0.25">
      <c r="IH72" s="26"/>
      <c r="II72" s="18"/>
    </row>
    <row r="73" spans="242:243" s="2" customFormat="1" ht="15" x14ac:dyDescent="0.25">
      <c r="IH73" s="26"/>
      <c r="II73" s="18"/>
    </row>
    <row r="74" spans="242:243" s="2" customFormat="1" ht="15" x14ac:dyDescent="0.25">
      <c r="IH74" s="26"/>
      <c r="II74" s="18"/>
    </row>
    <row r="75" spans="242:243" s="2" customFormat="1" ht="15" x14ac:dyDescent="0.25">
      <c r="IH75" s="26"/>
      <c r="II75" s="18"/>
    </row>
    <row r="76" spans="242:243" s="2" customFormat="1" ht="15" x14ac:dyDescent="0.25">
      <c r="IH76" s="26"/>
      <c r="II76" s="18"/>
    </row>
    <row r="77" spans="242:243" s="2" customFormat="1" ht="15" x14ac:dyDescent="0.25">
      <c r="IH77" s="26"/>
      <c r="II77" s="18"/>
    </row>
    <row r="78" spans="242:243" s="2" customFormat="1" ht="15" x14ac:dyDescent="0.25">
      <c r="IH78" s="26"/>
      <c r="II78" s="18"/>
    </row>
    <row r="79" spans="242:243" s="2" customFormat="1" ht="15" x14ac:dyDescent="0.25">
      <c r="IH79" s="26"/>
      <c r="II79" s="18"/>
    </row>
    <row r="80" spans="242:243" s="2" customFormat="1" ht="15" x14ac:dyDescent="0.25">
      <c r="IH80" s="26"/>
      <c r="II80" s="18"/>
    </row>
    <row r="81" spans="242:243" s="2" customFormat="1" ht="15" x14ac:dyDescent="0.25">
      <c r="IH81" s="26"/>
      <c r="II81" s="18"/>
    </row>
    <row r="82" spans="242:243" s="2" customFormat="1" ht="15" x14ac:dyDescent="0.25">
      <c r="IH82" s="26"/>
      <c r="II82" s="18"/>
    </row>
    <row r="83" spans="242:243" s="2" customFormat="1" ht="15" x14ac:dyDescent="0.25">
      <c r="IH83" s="26"/>
      <c r="II83" s="18"/>
    </row>
    <row r="84" spans="242:243" s="2" customFormat="1" ht="15" x14ac:dyDescent="0.25">
      <c r="IH84" s="26"/>
      <c r="II84" s="18"/>
    </row>
    <row r="85" spans="242:243" s="2" customFormat="1" ht="15" x14ac:dyDescent="0.25">
      <c r="IH85" s="26"/>
      <c r="II85" s="18"/>
    </row>
    <row r="86" spans="242:243" s="2" customFormat="1" ht="15" x14ac:dyDescent="0.25">
      <c r="IH86" s="26"/>
      <c r="II86" s="18"/>
    </row>
    <row r="87" spans="242:243" s="2" customFormat="1" ht="15" x14ac:dyDescent="0.25">
      <c r="IH87" s="26"/>
      <c r="II87" s="18"/>
    </row>
    <row r="88" spans="242:243" s="2" customFormat="1" ht="15" x14ac:dyDescent="0.25">
      <c r="IH88" s="26"/>
      <c r="II88" s="18"/>
    </row>
    <row r="89" spans="242:243" s="2" customFormat="1" ht="15" x14ac:dyDescent="0.25">
      <c r="IH89" s="26"/>
      <c r="II89" s="18"/>
    </row>
    <row r="90" spans="242:243" s="2" customFormat="1" ht="15" x14ac:dyDescent="0.25">
      <c r="IH90" s="26"/>
      <c r="II90" s="18"/>
    </row>
    <row r="91" spans="242:243" s="2" customFormat="1" ht="15" x14ac:dyDescent="0.25">
      <c r="IH91" s="26"/>
      <c r="II91" s="18"/>
    </row>
    <row r="92" spans="242:243" s="2" customFormat="1" ht="15" x14ac:dyDescent="0.25">
      <c r="IH92" s="26"/>
      <c r="II92" s="18"/>
    </row>
    <row r="93" spans="242:243" s="2" customFormat="1" ht="15" x14ac:dyDescent="0.25">
      <c r="IH93" s="26"/>
      <c r="II93" s="18"/>
    </row>
    <row r="94" spans="242:243" s="2" customFormat="1" ht="15" x14ac:dyDescent="0.25">
      <c r="IH94" s="26"/>
      <c r="II94" s="18"/>
    </row>
    <row r="95" spans="242:243" s="2" customFormat="1" ht="15" x14ac:dyDescent="0.25">
      <c r="IH95" s="26"/>
      <c r="II95" s="18"/>
    </row>
    <row r="96" spans="242:243" s="2" customFormat="1" ht="15" x14ac:dyDescent="0.25">
      <c r="IH96" s="26"/>
      <c r="II96" s="18"/>
    </row>
    <row r="97" spans="242:243" s="2" customFormat="1" ht="15" x14ac:dyDescent="0.25">
      <c r="IH97" s="26"/>
      <c r="II97" s="18"/>
    </row>
    <row r="98" spans="242:243" s="2" customFormat="1" ht="15" x14ac:dyDescent="0.25">
      <c r="IH98" s="26"/>
      <c r="II98" s="18"/>
    </row>
    <row r="99" spans="242:243" s="2" customFormat="1" ht="15" x14ac:dyDescent="0.25">
      <c r="IH99" s="26"/>
      <c r="II99" s="18"/>
    </row>
    <row r="100" spans="242:243" s="2" customFormat="1" ht="15" x14ac:dyDescent="0.25">
      <c r="IH100" s="26"/>
      <c r="II100" s="18"/>
    </row>
    <row r="101" spans="242:243" s="2" customFormat="1" ht="15" x14ac:dyDescent="0.25">
      <c r="IH101" s="26"/>
      <c r="II101" s="18"/>
    </row>
    <row r="102" spans="242:243" s="2" customFormat="1" ht="15" x14ac:dyDescent="0.25">
      <c r="IH102" s="26"/>
      <c r="II102" s="18"/>
    </row>
    <row r="103" spans="242:243" s="2" customFormat="1" ht="15" x14ac:dyDescent="0.25">
      <c r="IH103" s="26"/>
      <c r="II103" s="18"/>
    </row>
    <row r="104" spans="242:243" s="2" customFormat="1" ht="15" x14ac:dyDescent="0.25">
      <c r="IH104" s="26"/>
      <c r="II104" s="18"/>
    </row>
    <row r="105" spans="242:243" s="2" customFormat="1" ht="15" x14ac:dyDescent="0.25">
      <c r="IH105" s="26"/>
      <c r="II105" s="18"/>
    </row>
    <row r="106" spans="242:243" s="2" customFormat="1" ht="15" x14ac:dyDescent="0.25">
      <c r="IH106" s="26"/>
      <c r="II106" s="18"/>
    </row>
    <row r="107" spans="242:243" s="2" customFormat="1" ht="15" x14ac:dyDescent="0.25">
      <c r="IH107" s="26"/>
      <c r="II107" s="18"/>
    </row>
    <row r="108" spans="242:243" s="2" customFormat="1" ht="15" x14ac:dyDescent="0.25">
      <c r="IH108" s="26"/>
      <c r="II108" s="18"/>
    </row>
    <row r="109" spans="242:243" s="2" customFormat="1" ht="15" x14ac:dyDescent="0.25">
      <c r="IH109" s="26"/>
      <c r="II109" s="18"/>
    </row>
    <row r="110" spans="242:243" s="2" customFormat="1" ht="15" x14ac:dyDescent="0.25">
      <c r="IH110" s="26"/>
      <c r="II110" s="18"/>
    </row>
    <row r="111" spans="242:243" s="2" customFormat="1" ht="15" x14ac:dyDescent="0.25">
      <c r="IH111" s="26"/>
      <c r="II111" s="18"/>
    </row>
    <row r="112" spans="242:243" s="2" customFormat="1" ht="15" x14ac:dyDescent="0.25">
      <c r="IH112" s="26"/>
      <c r="II112" s="18"/>
    </row>
    <row r="113" spans="242:243" s="2" customFormat="1" ht="15" x14ac:dyDescent="0.25">
      <c r="IH113" s="26"/>
      <c r="II113" s="18"/>
    </row>
    <row r="114" spans="242:243" s="2" customFormat="1" ht="15" x14ac:dyDescent="0.25">
      <c r="IH114" s="26"/>
      <c r="II114" s="18"/>
    </row>
    <row r="115" spans="242:243" s="2" customFormat="1" ht="15" x14ac:dyDescent="0.25">
      <c r="IH115" s="26"/>
      <c r="II115" s="18"/>
    </row>
    <row r="116" spans="242:243" s="2" customFormat="1" ht="15" x14ac:dyDescent="0.25">
      <c r="IH116" s="26"/>
      <c r="II116" s="18"/>
    </row>
    <row r="117" spans="242:243" s="2" customFormat="1" ht="15" x14ac:dyDescent="0.25">
      <c r="IH117" s="26"/>
      <c r="II117" s="18"/>
    </row>
    <row r="118" spans="242:243" s="2" customFormat="1" ht="15" x14ac:dyDescent="0.25">
      <c r="IH118" s="26"/>
      <c r="II118" s="18"/>
    </row>
    <row r="119" spans="242:243" s="2" customFormat="1" ht="15" x14ac:dyDescent="0.25">
      <c r="IH119" s="26"/>
      <c r="II119" s="18"/>
    </row>
    <row r="120" spans="242:243" s="2" customFormat="1" ht="15" x14ac:dyDescent="0.25">
      <c r="IH120" s="26"/>
      <c r="II120" s="18"/>
    </row>
    <row r="121" spans="242:243" s="2" customFormat="1" ht="15" x14ac:dyDescent="0.25">
      <c r="IH121" s="26"/>
      <c r="II121" s="18"/>
    </row>
    <row r="122" spans="242:243" s="2" customFormat="1" ht="15" x14ac:dyDescent="0.25">
      <c r="IH122" s="26"/>
      <c r="II122" s="18"/>
    </row>
    <row r="123" spans="242:243" s="2" customFormat="1" ht="15" x14ac:dyDescent="0.25">
      <c r="IH123" s="26"/>
      <c r="II123" s="18"/>
    </row>
    <row r="124" spans="242:243" s="2" customFormat="1" ht="15" x14ac:dyDescent="0.25">
      <c r="IH124" s="26"/>
      <c r="II124" s="18"/>
    </row>
    <row r="125" spans="242:243" s="2" customFormat="1" ht="15" x14ac:dyDescent="0.25">
      <c r="IH125" s="26"/>
      <c r="II125" s="18"/>
    </row>
    <row r="126" spans="242:243" s="2" customFormat="1" ht="15" x14ac:dyDescent="0.25">
      <c r="IH126" s="26"/>
      <c r="II126" s="18"/>
    </row>
    <row r="127" spans="242:243" s="2" customFormat="1" ht="15" x14ac:dyDescent="0.25">
      <c r="IH127" s="26"/>
      <c r="II127" s="18"/>
    </row>
    <row r="128" spans="242:243" s="2" customFormat="1" ht="15" x14ac:dyDescent="0.25">
      <c r="IH128" s="26"/>
      <c r="II128" s="18"/>
    </row>
    <row r="129" spans="242:243" s="2" customFormat="1" ht="15" x14ac:dyDescent="0.25">
      <c r="IH129" s="26"/>
      <c r="II129" s="18"/>
    </row>
    <row r="130" spans="242:243" s="2" customFormat="1" ht="15" x14ac:dyDescent="0.25">
      <c r="IH130" s="26"/>
      <c r="II130" s="18"/>
    </row>
    <row r="131" spans="242:243" s="2" customFormat="1" ht="15" x14ac:dyDescent="0.25">
      <c r="IH131" s="26"/>
      <c r="II131" s="18"/>
    </row>
    <row r="132" spans="242:243" s="2" customFormat="1" ht="15" x14ac:dyDescent="0.25">
      <c r="IH132" s="26"/>
      <c r="II132" s="18"/>
    </row>
    <row r="133" spans="242:243" s="2" customFormat="1" ht="15" x14ac:dyDescent="0.25">
      <c r="IH133" s="26"/>
      <c r="II133" s="18"/>
    </row>
    <row r="134" spans="242:243" s="2" customFormat="1" ht="15" x14ac:dyDescent="0.25">
      <c r="IH134" s="26"/>
      <c r="II134" s="18"/>
    </row>
    <row r="135" spans="242:243" s="2" customFormat="1" ht="15" x14ac:dyDescent="0.25">
      <c r="IH135" s="26"/>
      <c r="II135" s="18"/>
    </row>
    <row r="136" spans="242:243" s="2" customFormat="1" ht="15" x14ac:dyDescent="0.25">
      <c r="IH136" s="26"/>
      <c r="II136" s="18"/>
    </row>
    <row r="137" spans="242:243" s="2" customFormat="1" ht="15" x14ac:dyDescent="0.25">
      <c r="IH137" s="26"/>
      <c r="II137" s="18"/>
    </row>
    <row r="138" spans="242:243" s="2" customFormat="1" ht="15" x14ac:dyDescent="0.25">
      <c r="IH138" s="26"/>
      <c r="II138" s="18"/>
    </row>
    <row r="139" spans="242:243" s="2" customFormat="1" ht="15" x14ac:dyDescent="0.25">
      <c r="IH139" s="26"/>
      <c r="II139" s="18"/>
    </row>
    <row r="140" spans="242:243" s="2" customFormat="1" ht="15" x14ac:dyDescent="0.25">
      <c r="IH140" s="26"/>
      <c r="II140" s="18"/>
    </row>
    <row r="141" spans="242:243" s="2" customFormat="1" ht="15" x14ac:dyDescent="0.25">
      <c r="IH141" s="26"/>
      <c r="II141" s="18"/>
    </row>
    <row r="142" spans="242:243" s="2" customFormat="1" ht="15" x14ac:dyDescent="0.25">
      <c r="IH142" s="26"/>
      <c r="II142" s="18"/>
    </row>
    <row r="143" spans="242:243" s="2" customFormat="1" ht="15" x14ac:dyDescent="0.25">
      <c r="IH143" s="26"/>
      <c r="II143" s="18"/>
    </row>
    <row r="144" spans="242:243" s="2" customFormat="1" ht="15" x14ac:dyDescent="0.25">
      <c r="IH144" s="26"/>
      <c r="II144" s="18"/>
    </row>
    <row r="145" spans="242:250" s="2" customFormat="1" ht="15" x14ac:dyDescent="0.25">
      <c r="IH145" s="26"/>
      <c r="II145" s="18"/>
    </row>
    <row r="146" spans="242:250" s="2" customFormat="1" ht="15" x14ac:dyDescent="0.25">
      <c r="IH146" s="26"/>
      <c r="II146" s="18"/>
    </row>
    <row r="147" spans="242:250" s="2" customFormat="1" ht="15" x14ac:dyDescent="0.25">
      <c r="IH147" s="26"/>
      <c r="II147" s="18"/>
      <c r="IJ147" s="19"/>
      <c r="IK147" s="20"/>
      <c r="IL147" s="25"/>
      <c r="IM147" s="18"/>
      <c r="IN147" s="14"/>
      <c r="IO147" s="18"/>
      <c r="IP147" s="18"/>
    </row>
    <row r="148" spans="242:250" s="2" customFormat="1" ht="15" x14ac:dyDescent="0.25">
      <c r="IH148" s="26"/>
      <c r="II148" s="18"/>
      <c r="IJ148" s="19"/>
      <c r="IK148" s="20"/>
      <c r="IL148" s="25"/>
      <c r="IM148" s="18"/>
      <c r="IN148" s="14"/>
      <c r="IO148" s="18"/>
      <c r="IP148" s="18"/>
    </row>
    <row r="149" spans="242:250" s="2" customFormat="1" ht="15" x14ac:dyDescent="0.25">
      <c r="IH149" s="26"/>
      <c r="II149" s="18"/>
      <c r="IJ149" s="19"/>
      <c r="IK149" s="20"/>
      <c r="IL149" s="25"/>
      <c r="IM149" s="18"/>
      <c r="IN149" s="14"/>
      <c r="IO149" s="18"/>
      <c r="IP149" s="18"/>
    </row>
    <row r="150" spans="242:250" s="2" customFormat="1" ht="15" x14ac:dyDescent="0.25">
      <c r="IH150" s="26"/>
      <c r="II150" s="18"/>
      <c r="IJ150" s="19"/>
      <c r="IK150" s="20"/>
      <c r="IL150" s="25"/>
      <c r="IM150" s="18"/>
      <c r="IN150" s="14"/>
      <c r="IO150" s="18"/>
      <c r="IP150" s="18"/>
    </row>
    <row r="151" spans="242:250" s="2" customFormat="1" ht="15" x14ac:dyDescent="0.25">
      <c r="IH151" s="26"/>
      <c r="II151" s="18"/>
      <c r="IJ151" s="19"/>
      <c r="IK151" s="20"/>
      <c r="IL151" s="25"/>
      <c r="IM151" s="18"/>
      <c r="IN151" s="14"/>
      <c r="IO151" s="18"/>
      <c r="IP151" s="18"/>
    </row>
    <row r="152" spans="242:250" s="2" customFormat="1" ht="15" x14ac:dyDescent="0.25">
      <c r="IH152" s="26"/>
      <c r="II152" s="18"/>
      <c r="IJ152" s="19"/>
      <c r="IK152" s="20"/>
      <c r="IL152" s="25"/>
      <c r="IM152" s="18"/>
      <c r="IN152" s="14"/>
      <c r="IO152" s="18"/>
      <c r="IP152" s="18"/>
    </row>
    <row r="153" spans="242:250" s="2" customFormat="1" ht="15" x14ac:dyDescent="0.25">
      <c r="IH153" s="26"/>
      <c r="II153" s="18"/>
      <c r="IJ153" s="19"/>
      <c r="IK153" s="20"/>
      <c r="IL153" s="25"/>
      <c r="IM153" s="18"/>
      <c r="IN153" s="14"/>
      <c r="IO153" s="18"/>
      <c r="IP153" s="18"/>
    </row>
    <row r="154" spans="242:250" s="2" customFormat="1" ht="15" x14ac:dyDescent="0.25">
      <c r="IH154" s="26"/>
      <c r="II154" s="18"/>
      <c r="IJ154" s="19"/>
      <c r="IK154" s="20"/>
      <c r="IL154" s="25"/>
      <c r="IM154" s="18"/>
      <c r="IN154" s="14"/>
      <c r="IO154" s="18"/>
      <c r="IP154" s="18"/>
    </row>
    <row r="155" spans="242:250" s="2" customFormat="1" ht="15" x14ac:dyDescent="0.25">
      <c r="IH155" s="26"/>
      <c r="II155" s="18"/>
      <c r="IJ155" s="19"/>
      <c r="IK155" s="20"/>
      <c r="IL155" s="25"/>
      <c r="IM155" s="18"/>
      <c r="IN155" s="14"/>
      <c r="IO155" s="18"/>
      <c r="IP155" s="18"/>
    </row>
    <row r="156" spans="242:250" s="2" customFormat="1" ht="15" x14ac:dyDescent="0.25">
      <c r="IH156" s="26"/>
      <c r="II156" s="18"/>
      <c r="IJ156" s="19"/>
      <c r="IK156" s="20"/>
      <c r="IL156" s="25"/>
      <c r="IM156" s="18"/>
      <c r="IN156" s="14"/>
      <c r="IO156" s="18"/>
      <c r="IP156" s="18"/>
    </row>
    <row r="157" spans="242:250" s="2" customFormat="1" ht="15" x14ac:dyDescent="0.25">
      <c r="IH157" s="26"/>
      <c r="II157" s="18"/>
      <c r="IJ157" s="19"/>
      <c r="IK157" s="20"/>
      <c r="IL157" s="25"/>
      <c r="IM157" s="18"/>
      <c r="IN157" s="14"/>
      <c r="IO157" s="18"/>
      <c r="IP157" s="18"/>
    </row>
    <row r="158" spans="242:250" s="2" customFormat="1" ht="15" x14ac:dyDescent="0.25">
      <c r="IH158" s="26"/>
      <c r="II158" s="18"/>
      <c r="IJ158" s="19"/>
      <c r="IK158" s="20"/>
      <c r="IL158" s="25"/>
      <c r="IM158" s="18"/>
      <c r="IN158" s="14"/>
      <c r="IO158" s="18"/>
      <c r="IP158" s="18"/>
    </row>
    <row r="159" spans="242:250" s="2" customFormat="1" ht="15" x14ac:dyDescent="0.25">
      <c r="IH159" s="26"/>
      <c r="II159" s="18"/>
      <c r="IJ159" s="19"/>
      <c r="IK159" s="20"/>
      <c r="IL159" s="25"/>
      <c r="IM159" s="18"/>
      <c r="IN159" s="14"/>
      <c r="IO159" s="18"/>
      <c r="IP159" s="18"/>
    </row>
    <row r="160" spans="242:250" s="2" customFormat="1" ht="15" x14ac:dyDescent="0.25">
      <c r="IH160" s="26"/>
      <c r="II160" s="18"/>
      <c r="IJ160" s="19"/>
      <c r="IK160" s="20"/>
      <c r="IL160" s="25"/>
      <c r="IM160" s="18"/>
      <c r="IN160" s="14"/>
      <c r="IO160" s="18"/>
      <c r="IP160" s="18"/>
    </row>
    <row r="161" spans="242:250" s="2" customFormat="1" ht="15" x14ac:dyDescent="0.25">
      <c r="IH161" s="26"/>
      <c r="II161" s="18"/>
      <c r="IJ161" s="19"/>
      <c r="IK161" s="20"/>
      <c r="IL161" s="25"/>
      <c r="IM161" s="18"/>
      <c r="IN161" s="14"/>
      <c r="IO161" s="18"/>
      <c r="IP161" s="18"/>
    </row>
    <row r="162" spans="242:250" s="2" customFormat="1" ht="15" x14ac:dyDescent="0.25">
      <c r="IH162" s="26"/>
      <c r="II162" s="18"/>
      <c r="IJ162" s="19"/>
      <c r="IK162" s="20"/>
      <c r="IL162" s="25"/>
      <c r="IM162" s="18"/>
      <c r="IN162" s="14"/>
      <c r="IO162" s="18"/>
      <c r="IP162" s="18"/>
    </row>
    <row r="163" spans="242:250" s="2" customFormat="1" ht="15" x14ac:dyDescent="0.25">
      <c r="IH163" s="26"/>
      <c r="II163" s="18"/>
      <c r="IJ163" s="19"/>
      <c r="IK163" s="20"/>
      <c r="IL163" s="25"/>
      <c r="IM163" s="18"/>
      <c r="IN163" s="14"/>
      <c r="IO163" s="18"/>
      <c r="IP163" s="18"/>
    </row>
    <row r="164" spans="242:250" s="2" customFormat="1" ht="15" x14ac:dyDescent="0.25">
      <c r="IH164" s="26"/>
      <c r="II164" s="18"/>
      <c r="IJ164" s="19"/>
      <c r="IK164" s="20"/>
      <c r="IL164" s="25"/>
      <c r="IM164" s="18"/>
      <c r="IN164" s="14"/>
      <c r="IO164" s="18"/>
      <c r="IP164" s="18"/>
    </row>
    <row r="165" spans="242:250" s="2" customFormat="1" ht="15" x14ac:dyDescent="0.25">
      <c r="IH165" s="26"/>
      <c r="II165" s="18"/>
      <c r="IJ165" s="19"/>
      <c r="IK165" s="20"/>
      <c r="IL165" s="25"/>
      <c r="IM165" s="18"/>
      <c r="IN165" s="14"/>
      <c r="IO165" s="18"/>
      <c r="IP165" s="18"/>
    </row>
    <row r="166" spans="242:250" s="2" customFormat="1" ht="15" x14ac:dyDescent="0.25">
      <c r="IH166" s="26"/>
      <c r="II166" s="18"/>
      <c r="IJ166" s="19"/>
      <c r="IK166" s="20"/>
      <c r="IL166" s="25"/>
      <c r="IM166" s="18"/>
      <c r="IN166" s="14"/>
      <c r="IO166" s="18"/>
      <c r="IP166" s="18"/>
    </row>
    <row r="167" spans="242:250" s="2" customFormat="1" ht="15" x14ac:dyDescent="0.25">
      <c r="IH167" s="26"/>
      <c r="II167" s="18"/>
      <c r="IJ167" s="19"/>
      <c r="IK167" s="20"/>
      <c r="IL167" s="25"/>
      <c r="IM167" s="18"/>
      <c r="IN167" s="14"/>
      <c r="IO167" s="18"/>
      <c r="IP167" s="18"/>
    </row>
    <row r="168" spans="242:250" s="2" customFormat="1" ht="15" x14ac:dyDescent="0.25">
      <c r="IH168" s="26"/>
      <c r="II168" s="18"/>
      <c r="IJ168" s="19"/>
      <c r="IK168" s="20"/>
      <c r="IL168" s="25"/>
      <c r="IM168" s="18"/>
      <c r="IN168" s="14"/>
      <c r="IO168" s="18"/>
      <c r="IP168" s="18"/>
    </row>
    <row r="169" spans="242:250" s="2" customFormat="1" ht="15" x14ac:dyDescent="0.25">
      <c r="IH169" s="26"/>
      <c r="II169" s="18"/>
      <c r="IJ169" s="19"/>
      <c r="IK169" s="20"/>
      <c r="IL169" s="25"/>
      <c r="IM169" s="18"/>
      <c r="IN169" s="14"/>
      <c r="IO169" s="18"/>
      <c r="IP169" s="18"/>
    </row>
    <row r="170" spans="242:250" s="2" customFormat="1" ht="15" x14ac:dyDescent="0.25">
      <c r="IH170" s="26"/>
      <c r="II170" s="18"/>
      <c r="IJ170" s="19"/>
      <c r="IK170" s="20"/>
      <c r="IL170" s="25"/>
      <c r="IM170" s="18"/>
      <c r="IN170" s="14"/>
      <c r="IO170" s="18"/>
      <c r="IP170" s="18"/>
    </row>
    <row r="171" spans="242:250" s="2" customFormat="1" ht="15" x14ac:dyDescent="0.25">
      <c r="IH171" s="26"/>
      <c r="II171" s="18"/>
      <c r="IJ171" s="19"/>
      <c r="IK171" s="20"/>
      <c r="IL171" s="25"/>
      <c r="IM171" s="18"/>
      <c r="IN171" s="14"/>
      <c r="IO171" s="18"/>
      <c r="IP171" s="18"/>
    </row>
    <row r="172" spans="242:250" s="2" customFormat="1" ht="15" x14ac:dyDescent="0.25">
      <c r="IH172" s="26"/>
      <c r="II172" s="18"/>
      <c r="IJ172" s="19"/>
      <c r="IK172" s="20"/>
      <c r="IL172" s="25"/>
      <c r="IM172" s="18"/>
      <c r="IN172" s="14"/>
      <c r="IO172" s="18"/>
      <c r="IP172" s="18"/>
    </row>
    <row r="173" spans="242:250" s="2" customFormat="1" ht="15" x14ac:dyDescent="0.25">
      <c r="IH173" s="26"/>
      <c r="II173" s="18"/>
      <c r="IJ173" s="19"/>
      <c r="IK173" s="20"/>
      <c r="IL173" s="25"/>
      <c r="IM173" s="18"/>
      <c r="IN173" s="14"/>
      <c r="IO173" s="18"/>
      <c r="IP173" s="18"/>
    </row>
    <row r="174" spans="242:250" s="2" customFormat="1" ht="15" x14ac:dyDescent="0.25">
      <c r="IH174" s="26"/>
      <c r="II174" s="18"/>
      <c r="IJ174" s="19"/>
      <c r="IK174" s="20"/>
      <c r="IL174" s="25"/>
      <c r="IM174" s="18"/>
      <c r="IN174" s="14"/>
      <c r="IO174" s="18"/>
      <c r="IP174" s="18"/>
    </row>
    <row r="175" spans="242:250" s="2" customFormat="1" ht="15" x14ac:dyDescent="0.25">
      <c r="IH175" s="26"/>
      <c r="II175" s="18"/>
      <c r="IJ175" s="19"/>
      <c r="IK175" s="20"/>
      <c r="IL175" s="25"/>
      <c r="IM175" s="18"/>
      <c r="IN175" s="14"/>
      <c r="IO175" s="18"/>
      <c r="IP175" s="18"/>
    </row>
    <row r="176" spans="242:250" s="2" customFormat="1" ht="15" x14ac:dyDescent="0.25">
      <c r="IH176" s="26"/>
      <c r="II176" s="18"/>
      <c r="IJ176" s="19"/>
      <c r="IK176" s="20"/>
      <c r="IL176" s="25"/>
      <c r="IM176" s="18"/>
      <c r="IN176" s="14"/>
      <c r="IO176" s="18"/>
      <c r="IP176" s="18"/>
    </row>
    <row r="177" spans="242:250" s="2" customFormat="1" ht="15" x14ac:dyDescent="0.25">
      <c r="IH177" s="26"/>
      <c r="II177" s="18"/>
      <c r="IJ177" s="19"/>
      <c r="IK177" s="20"/>
      <c r="IL177" s="25"/>
      <c r="IM177" s="18"/>
      <c r="IN177" s="14"/>
      <c r="IO177" s="18"/>
      <c r="IP177" s="18"/>
    </row>
    <row r="178" spans="242:250" s="2" customFormat="1" ht="15" x14ac:dyDescent="0.25">
      <c r="IH178" s="26"/>
      <c r="II178" s="18"/>
      <c r="IJ178" s="19"/>
      <c r="IK178" s="20"/>
      <c r="IL178" s="25"/>
      <c r="IM178" s="18"/>
      <c r="IN178" s="14"/>
      <c r="IO178" s="18"/>
      <c r="IP178" s="18"/>
    </row>
    <row r="179" spans="242:250" s="2" customFormat="1" ht="15" x14ac:dyDescent="0.25">
      <c r="IH179" s="26"/>
      <c r="II179" s="18"/>
      <c r="IJ179" s="19"/>
      <c r="IK179" s="20"/>
      <c r="IL179" s="25"/>
      <c r="IM179" s="18"/>
      <c r="IN179" s="14"/>
      <c r="IO179" s="18"/>
      <c r="IP179" s="18"/>
    </row>
    <row r="180" spans="242:250" s="2" customFormat="1" ht="15" x14ac:dyDescent="0.25">
      <c r="IH180" s="26"/>
      <c r="II180" s="18"/>
      <c r="IJ180" s="19"/>
      <c r="IK180" s="20"/>
      <c r="IL180" s="25"/>
      <c r="IM180" s="18"/>
      <c r="IN180" s="14"/>
      <c r="IO180" s="18"/>
      <c r="IP180" s="18"/>
    </row>
    <row r="181" spans="242:250" s="2" customFormat="1" ht="15" x14ac:dyDescent="0.25">
      <c r="IH181" s="26"/>
      <c r="II181" s="18"/>
      <c r="IJ181" s="19"/>
      <c r="IK181" s="20"/>
      <c r="IL181" s="25"/>
      <c r="IM181" s="18"/>
      <c r="IN181" s="14"/>
      <c r="IO181" s="18"/>
      <c r="IP181" s="18"/>
    </row>
    <row r="182" spans="242:250" s="2" customFormat="1" ht="15" x14ac:dyDescent="0.25">
      <c r="IH182" s="26"/>
      <c r="II182" s="18"/>
      <c r="IJ182" s="19"/>
      <c r="IK182" s="20"/>
      <c r="IL182" s="25"/>
      <c r="IM182" s="18"/>
      <c r="IN182" s="14"/>
      <c r="IO182" s="18"/>
      <c r="IP182" s="18"/>
    </row>
    <row r="183" spans="242:250" s="2" customFormat="1" ht="15" x14ac:dyDescent="0.25">
      <c r="IH183" s="26"/>
      <c r="II183" s="18"/>
      <c r="IJ183" s="19"/>
      <c r="IK183" s="20"/>
      <c r="IL183" s="25"/>
      <c r="IM183" s="18"/>
      <c r="IN183" s="14"/>
      <c r="IO183" s="18"/>
      <c r="IP183" s="18"/>
    </row>
    <row r="184" spans="242:250" s="2" customFormat="1" ht="15" x14ac:dyDescent="0.25">
      <c r="IH184" s="26"/>
      <c r="II184" s="18"/>
      <c r="IJ184" s="19"/>
      <c r="IK184" s="20"/>
      <c r="IL184" s="25"/>
      <c r="IM184" s="18"/>
      <c r="IN184" s="14"/>
      <c r="IO184" s="18"/>
      <c r="IP184" s="18"/>
    </row>
    <row r="185" spans="242:250" s="2" customFormat="1" ht="15" x14ac:dyDescent="0.25">
      <c r="IH185" s="26"/>
      <c r="II185" s="18"/>
      <c r="IJ185" s="19"/>
      <c r="IK185" s="20"/>
      <c r="IL185" s="25"/>
      <c r="IM185" s="18"/>
      <c r="IN185" s="14"/>
      <c r="IO185" s="18"/>
      <c r="IP185" s="18"/>
    </row>
    <row r="186" spans="242:250" s="2" customFormat="1" ht="15" x14ac:dyDescent="0.25">
      <c r="IH186" s="26"/>
      <c r="II186" s="18"/>
      <c r="IJ186" s="19"/>
      <c r="IK186" s="20"/>
      <c r="IL186" s="25"/>
      <c r="IM186" s="18"/>
      <c r="IN186" s="14"/>
      <c r="IO186" s="18"/>
      <c r="IP186" s="18"/>
    </row>
    <row r="187" spans="242:250" s="2" customFormat="1" ht="15" x14ac:dyDescent="0.25">
      <c r="IH187" s="26"/>
      <c r="II187" s="18"/>
      <c r="IJ187" s="19"/>
      <c r="IK187" s="20"/>
      <c r="IL187" s="25"/>
      <c r="IM187" s="18"/>
      <c r="IN187" s="14"/>
      <c r="IO187" s="18"/>
      <c r="IP187" s="18"/>
    </row>
    <row r="188" spans="242:250" s="2" customFormat="1" ht="15" x14ac:dyDescent="0.25">
      <c r="IH188" s="26"/>
      <c r="II188" s="18"/>
      <c r="IJ188" s="19"/>
      <c r="IK188" s="20"/>
      <c r="IL188" s="25"/>
      <c r="IM188" s="18"/>
      <c r="IN188" s="14"/>
      <c r="IO188" s="18"/>
      <c r="IP188" s="18"/>
    </row>
    <row r="189" spans="242:250" s="2" customFormat="1" ht="15" x14ac:dyDescent="0.25">
      <c r="IH189" s="26"/>
      <c r="II189" s="18"/>
      <c r="IJ189" s="19"/>
      <c r="IK189" s="20"/>
      <c r="IL189" s="25"/>
      <c r="IM189" s="18"/>
      <c r="IN189" s="14"/>
      <c r="IO189" s="18"/>
      <c r="IP189" s="18"/>
    </row>
    <row r="190" spans="242:250" s="2" customFormat="1" ht="15" x14ac:dyDescent="0.25">
      <c r="IH190" s="26"/>
      <c r="II190" s="18"/>
      <c r="IJ190" s="19"/>
      <c r="IK190" s="20"/>
      <c r="IL190" s="25"/>
      <c r="IM190" s="18"/>
      <c r="IN190" s="14"/>
      <c r="IO190" s="18"/>
      <c r="IP190" s="18"/>
    </row>
    <row r="191" spans="242:250" s="2" customFormat="1" ht="15" x14ac:dyDescent="0.25">
      <c r="IH191" s="26"/>
      <c r="II191" s="18"/>
      <c r="IJ191" s="19"/>
      <c r="IK191" s="20"/>
      <c r="IL191" s="25"/>
      <c r="IM191" s="18"/>
      <c r="IN191" s="14"/>
      <c r="IO191" s="18"/>
      <c r="IP191" s="18"/>
    </row>
    <row r="192" spans="242:250" s="2" customFormat="1" ht="15" x14ac:dyDescent="0.25">
      <c r="IH192" s="26"/>
      <c r="II192" s="18"/>
      <c r="IJ192" s="19"/>
      <c r="IK192" s="20"/>
      <c r="IL192" s="25"/>
      <c r="IM192" s="18"/>
      <c r="IN192" s="14"/>
      <c r="IO192" s="18"/>
      <c r="IP192" s="18"/>
    </row>
    <row r="193" spans="242:250" s="2" customFormat="1" ht="15" x14ac:dyDescent="0.25">
      <c r="IH193" s="26"/>
      <c r="II193" s="18"/>
      <c r="IJ193" s="19"/>
      <c r="IK193" s="20"/>
      <c r="IL193" s="25"/>
      <c r="IM193" s="18"/>
      <c r="IN193" s="14"/>
      <c r="IO193" s="18"/>
      <c r="IP193" s="18"/>
    </row>
    <row r="194" spans="242:250" s="2" customFormat="1" ht="15" x14ac:dyDescent="0.25">
      <c r="IH194" s="26"/>
      <c r="II194" s="18"/>
      <c r="IJ194" s="19"/>
      <c r="IK194" s="20"/>
      <c r="IL194" s="25"/>
      <c r="IM194" s="18"/>
      <c r="IN194" s="14"/>
      <c r="IO194" s="18"/>
      <c r="IP194" s="18"/>
    </row>
    <row r="195" spans="242:250" s="2" customFormat="1" ht="15" x14ac:dyDescent="0.25">
      <c r="IH195" s="26"/>
      <c r="II195" s="18"/>
      <c r="IJ195" s="19"/>
      <c r="IK195" s="20"/>
      <c r="IL195" s="25"/>
      <c r="IM195" s="18"/>
      <c r="IN195" s="14"/>
      <c r="IO195" s="18"/>
      <c r="IP195" s="18"/>
    </row>
    <row r="196" spans="242:250" s="2" customFormat="1" ht="15" x14ac:dyDescent="0.25">
      <c r="IH196" s="26"/>
      <c r="II196" s="18"/>
      <c r="IJ196" s="19"/>
      <c r="IK196" s="20"/>
      <c r="IL196" s="25"/>
      <c r="IM196" s="18"/>
      <c r="IN196" s="14"/>
      <c r="IO196" s="18"/>
      <c r="IP196" s="18"/>
    </row>
    <row r="197" spans="242:250" s="2" customFormat="1" ht="15" x14ac:dyDescent="0.25">
      <c r="IH197" s="26"/>
      <c r="II197" s="18"/>
      <c r="IJ197" s="19"/>
      <c r="IK197" s="20"/>
      <c r="IL197" s="25"/>
      <c r="IM197" s="18"/>
      <c r="IN197" s="14"/>
      <c r="IO197" s="18"/>
      <c r="IP197" s="18"/>
    </row>
    <row r="198" spans="242:250" s="2" customFormat="1" ht="15" x14ac:dyDescent="0.25">
      <c r="IH198" s="26"/>
      <c r="II198" s="18"/>
      <c r="IJ198" s="19"/>
      <c r="IK198" s="20"/>
      <c r="IL198" s="25"/>
      <c r="IM198" s="18"/>
      <c r="IN198" s="14"/>
      <c r="IO198" s="18"/>
      <c r="IP198" s="18"/>
    </row>
    <row r="199" spans="242:250" s="2" customFormat="1" ht="15" x14ac:dyDescent="0.25">
      <c r="IH199" s="26"/>
      <c r="II199" s="18"/>
      <c r="IJ199" s="19"/>
      <c r="IK199" s="20"/>
      <c r="IL199" s="25"/>
      <c r="IM199" s="18"/>
      <c r="IN199" s="14"/>
      <c r="IO199" s="18"/>
      <c r="IP199" s="18"/>
    </row>
    <row r="200" spans="242:250" s="2" customFormat="1" ht="15" x14ac:dyDescent="0.25">
      <c r="IH200" s="26"/>
      <c r="II200" s="18"/>
      <c r="IJ200" s="19"/>
      <c r="IK200" s="20"/>
      <c r="IL200" s="25"/>
      <c r="IM200" s="18"/>
      <c r="IN200" s="14"/>
      <c r="IO200" s="18"/>
      <c r="IP200" s="18"/>
    </row>
    <row r="201" spans="242:250" s="2" customFormat="1" ht="15" x14ac:dyDescent="0.25">
      <c r="IH201" s="26"/>
      <c r="II201" s="18"/>
      <c r="IJ201" s="19"/>
      <c r="IK201" s="20"/>
      <c r="IL201" s="25"/>
      <c r="IM201" s="18"/>
      <c r="IN201" s="14"/>
      <c r="IO201" s="18"/>
      <c r="IP201" s="18"/>
    </row>
    <row r="202" spans="242:250" s="2" customFormat="1" ht="15" x14ac:dyDescent="0.25">
      <c r="IH202" s="26"/>
      <c r="II202" s="18"/>
      <c r="IJ202" s="19"/>
      <c r="IK202" s="20"/>
      <c r="IL202" s="25"/>
      <c r="IM202" s="18"/>
      <c r="IN202" s="14"/>
      <c r="IO202" s="18"/>
      <c r="IP202" s="18"/>
    </row>
    <row r="203" spans="242:250" s="2" customFormat="1" ht="15" x14ac:dyDescent="0.25">
      <c r="IH203" s="26"/>
      <c r="II203" s="18"/>
      <c r="IJ203" s="19"/>
      <c r="IK203" s="20"/>
      <c r="IL203" s="25"/>
      <c r="IM203" s="18"/>
      <c r="IN203" s="14"/>
      <c r="IO203" s="18"/>
      <c r="IP203" s="18"/>
    </row>
    <row r="204" spans="242:250" s="2" customFormat="1" ht="15" x14ac:dyDescent="0.25">
      <c r="IH204" s="26"/>
      <c r="II204" s="18"/>
      <c r="IJ204" s="19"/>
      <c r="IK204" s="20"/>
      <c r="IL204" s="25"/>
      <c r="IM204" s="18"/>
      <c r="IN204" s="14"/>
      <c r="IO204" s="18"/>
      <c r="IP204" s="18"/>
    </row>
    <row r="205" spans="242:250" s="2" customFormat="1" ht="15" x14ac:dyDescent="0.25">
      <c r="IH205" s="26"/>
      <c r="II205" s="18"/>
      <c r="IJ205" s="19"/>
      <c r="IK205" s="20"/>
      <c r="IL205" s="25"/>
      <c r="IM205" s="18"/>
      <c r="IN205" s="14"/>
      <c r="IO205" s="18"/>
      <c r="IP205" s="18"/>
    </row>
    <row r="206" spans="242:250" s="2" customFormat="1" ht="15" x14ac:dyDescent="0.25">
      <c r="IH206" s="26"/>
      <c r="II206" s="18"/>
      <c r="IJ206" s="19"/>
      <c r="IK206" s="20"/>
      <c r="IL206" s="25"/>
      <c r="IM206" s="18"/>
      <c r="IN206" s="14"/>
      <c r="IO206" s="18"/>
      <c r="IP206" s="18"/>
    </row>
    <row r="207" spans="242:250" s="2" customFormat="1" ht="15" x14ac:dyDescent="0.25">
      <c r="IH207" s="26"/>
      <c r="II207" s="18"/>
      <c r="IJ207" s="19"/>
      <c r="IK207" s="20"/>
      <c r="IL207" s="25"/>
      <c r="IM207" s="18"/>
      <c r="IN207" s="24"/>
      <c r="IO207" s="18"/>
      <c r="IP207" s="18"/>
    </row>
    <row r="208" spans="242:250" s="2" customFormat="1" ht="15" x14ac:dyDescent="0.25">
      <c r="IH208" s="26"/>
      <c r="II208" s="18"/>
      <c r="IJ208" s="19"/>
      <c r="IK208" s="20"/>
      <c r="IL208" s="25"/>
      <c r="IM208" s="18"/>
      <c r="IN208" s="24"/>
      <c r="IO208" s="18"/>
      <c r="IP208" s="18"/>
    </row>
    <row r="209" spans="242:250" s="2" customFormat="1" ht="15" x14ac:dyDescent="0.25">
      <c r="IH209" s="26"/>
      <c r="II209" s="18"/>
      <c r="IJ209" s="19"/>
      <c r="IK209" s="20"/>
      <c r="IL209" s="25"/>
      <c r="IM209" s="18"/>
      <c r="IN209" s="14"/>
      <c r="IO209" s="18"/>
      <c r="IP209" s="18"/>
    </row>
    <row r="210" spans="242:250" s="2" customFormat="1" ht="15" x14ac:dyDescent="0.25">
      <c r="IH210" s="26"/>
      <c r="II210" s="18"/>
      <c r="IJ210" s="19"/>
      <c r="IK210" s="20"/>
      <c r="IL210" s="25"/>
      <c r="IM210" s="18"/>
      <c r="IN210" s="14"/>
      <c r="IO210" s="18"/>
      <c r="IP210" s="18"/>
    </row>
    <row r="211" spans="242:250" s="2" customFormat="1" ht="15" x14ac:dyDescent="0.25">
      <c r="IH211" s="26"/>
      <c r="II211" s="18"/>
      <c r="IJ211" s="19"/>
      <c r="IK211" s="20"/>
      <c r="IL211" s="25"/>
      <c r="IM211" s="18"/>
      <c r="IN211" s="14"/>
      <c r="IO211" s="18"/>
      <c r="IP211" s="18"/>
    </row>
    <row r="212" spans="242:250" s="2" customFormat="1" ht="15" x14ac:dyDescent="0.25">
      <c r="IH212" s="26"/>
      <c r="II212" s="18"/>
      <c r="IJ212" s="19"/>
      <c r="IK212" s="20"/>
      <c r="IL212" s="25"/>
      <c r="IM212" s="18"/>
      <c r="IN212" s="14"/>
      <c r="IO212" s="18"/>
      <c r="IP212" s="18"/>
    </row>
    <row r="213" spans="242:250" s="2" customFormat="1" ht="15" x14ac:dyDescent="0.25">
      <c r="IH213" s="26"/>
      <c r="II213" s="18"/>
      <c r="IJ213" s="19"/>
      <c r="IK213" s="20"/>
      <c r="IL213" s="25"/>
      <c r="IM213" s="18"/>
      <c r="IN213" s="14"/>
      <c r="IO213" s="18"/>
      <c r="IP213" s="18"/>
    </row>
    <row r="214" spans="242:250" s="2" customFormat="1" ht="15" x14ac:dyDescent="0.25">
      <c r="IH214" s="26"/>
      <c r="II214" s="18"/>
      <c r="IJ214" s="19"/>
      <c r="IK214" s="20"/>
      <c r="IL214" s="25"/>
      <c r="IM214" s="18"/>
      <c r="IN214" s="14"/>
      <c r="IO214" s="18"/>
      <c r="IP214" s="18"/>
    </row>
    <row r="215" spans="242:250" s="2" customFormat="1" ht="15" x14ac:dyDescent="0.25">
      <c r="IH215" s="26"/>
      <c r="II215" s="18"/>
      <c r="IJ215" s="19"/>
      <c r="IK215" s="20"/>
      <c r="IL215" s="25"/>
      <c r="IM215" s="18"/>
      <c r="IN215" s="14"/>
      <c r="IO215" s="18"/>
      <c r="IP215" s="18"/>
    </row>
    <row r="216" spans="242:250" s="2" customFormat="1" ht="15" x14ac:dyDescent="0.25">
      <c r="IH216" s="26"/>
      <c r="II216" s="18"/>
      <c r="IJ216" s="19"/>
      <c r="IK216" s="20"/>
      <c r="IL216" s="25"/>
      <c r="IM216" s="18"/>
      <c r="IN216" s="14"/>
      <c r="IO216" s="18"/>
      <c r="IP216" s="18"/>
    </row>
    <row r="217" spans="242:250" s="2" customFormat="1" ht="15" x14ac:dyDescent="0.25">
      <c r="IH217" s="26"/>
      <c r="II217" s="18"/>
      <c r="IJ217" s="19"/>
      <c r="IK217" s="20"/>
      <c r="IL217" s="25"/>
      <c r="IM217" s="18"/>
      <c r="IN217" s="14"/>
      <c r="IO217" s="18"/>
      <c r="IP217" s="18"/>
    </row>
    <row r="218" spans="242:250" s="2" customFormat="1" ht="15" x14ac:dyDescent="0.25">
      <c r="IH218" s="26"/>
      <c r="II218" s="18"/>
      <c r="IJ218" s="19"/>
      <c r="IK218" s="20"/>
      <c r="IL218" s="25"/>
      <c r="IM218" s="18"/>
      <c r="IN218" s="14"/>
      <c r="IO218" s="18"/>
      <c r="IP218" s="18"/>
    </row>
    <row r="219" spans="242:250" s="2" customFormat="1" ht="15" x14ac:dyDescent="0.25">
      <c r="IH219" s="26"/>
      <c r="II219" s="18"/>
      <c r="IJ219" s="19"/>
      <c r="IK219" s="20"/>
      <c r="IL219" s="25"/>
      <c r="IM219" s="18"/>
      <c r="IN219" s="14"/>
      <c r="IO219" s="18"/>
      <c r="IP219" s="18"/>
    </row>
    <row r="220" spans="242:250" s="2" customFormat="1" ht="15" x14ac:dyDescent="0.25">
      <c r="IH220" s="26"/>
      <c r="II220" s="18"/>
      <c r="IJ220" s="19"/>
      <c r="IK220" s="20"/>
      <c r="IL220" s="25"/>
      <c r="IM220" s="18"/>
      <c r="IN220" s="14"/>
      <c r="IO220" s="18"/>
      <c r="IP220" s="18"/>
    </row>
    <row r="221" spans="242:250" s="2" customFormat="1" ht="15" x14ac:dyDescent="0.25">
      <c r="IH221" s="26"/>
      <c r="II221" s="18"/>
      <c r="IJ221" s="19"/>
      <c r="IK221" s="20"/>
      <c r="IL221" s="25"/>
      <c r="IM221" s="18"/>
      <c r="IN221" s="14"/>
      <c r="IO221" s="18"/>
      <c r="IP221" s="18"/>
    </row>
    <row r="222" spans="242:250" s="2" customFormat="1" ht="15" x14ac:dyDescent="0.25">
      <c r="IH222" s="26"/>
      <c r="II222" s="18"/>
      <c r="IJ222" s="19"/>
      <c r="IK222" s="20"/>
      <c r="IL222" s="25"/>
      <c r="IM222" s="18"/>
      <c r="IN222" s="14"/>
      <c r="IO222" s="18"/>
      <c r="IP222" s="18"/>
    </row>
    <row r="223" spans="242:250" s="2" customFormat="1" ht="15" x14ac:dyDescent="0.25">
      <c r="IH223" s="26"/>
      <c r="II223" s="18"/>
      <c r="IJ223" s="19"/>
      <c r="IK223" s="20"/>
      <c r="IL223" s="25"/>
      <c r="IM223" s="18"/>
      <c r="IN223" s="14"/>
      <c r="IO223" s="18"/>
      <c r="IP223" s="18"/>
    </row>
    <row r="224" spans="242:250" s="2" customFormat="1" ht="15" x14ac:dyDescent="0.25">
      <c r="IH224" s="26"/>
      <c r="II224" s="18"/>
      <c r="IJ224" s="19"/>
      <c r="IK224" s="20"/>
      <c r="IL224" s="25"/>
      <c r="IM224" s="18"/>
      <c r="IN224" s="14"/>
      <c r="IO224" s="18"/>
      <c r="IP224" s="18"/>
    </row>
    <row r="225" spans="242:250" s="2" customFormat="1" ht="15" x14ac:dyDescent="0.25">
      <c r="IH225" s="26"/>
      <c r="II225" s="18"/>
      <c r="IJ225" s="19"/>
      <c r="IK225" s="20"/>
      <c r="IL225" s="25"/>
      <c r="IM225" s="18"/>
      <c r="IN225" s="14"/>
      <c r="IO225" s="18"/>
      <c r="IP225" s="18"/>
    </row>
    <row r="226" spans="242:250" s="2" customFormat="1" ht="15" x14ac:dyDescent="0.25">
      <c r="IH226" s="26"/>
      <c r="II226" s="18"/>
      <c r="IJ226" s="19"/>
      <c r="IK226" s="20"/>
      <c r="IL226" s="25"/>
      <c r="IM226" s="18"/>
      <c r="IN226" s="14"/>
      <c r="IO226" s="18"/>
      <c r="IP226" s="18"/>
    </row>
    <row r="227" spans="242:250" s="2" customFormat="1" ht="15" x14ac:dyDescent="0.25">
      <c r="IH227" s="26"/>
      <c r="II227" s="18"/>
      <c r="IJ227" s="19"/>
      <c r="IK227" s="20"/>
      <c r="IL227" s="25"/>
      <c r="IM227" s="18"/>
      <c r="IN227" s="14"/>
      <c r="IO227" s="18"/>
      <c r="IP227" s="18"/>
    </row>
    <row r="228" spans="242:250" s="2" customFormat="1" ht="15" x14ac:dyDescent="0.25">
      <c r="IH228" s="26"/>
      <c r="II228" s="18"/>
      <c r="IJ228" s="19"/>
      <c r="IK228" s="20"/>
      <c r="IL228" s="25"/>
      <c r="IM228" s="18"/>
      <c r="IN228" s="14"/>
      <c r="IO228" s="18"/>
      <c r="IP228" s="18"/>
    </row>
    <row r="229" spans="242:250" s="2" customFormat="1" ht="15" x14ac:dyDescent="0.25">
      <c r="IH229" s="26"/>
      <c r="II229" s="18"/>
      <c r="IJ229" s="19"/>
      <c r="IK229" s="20"/>
      <c r="IL229" s="25"/>
      <c r="IM229" s="18"/>
      <c r="IN229" s="14"/>
      <c r="IO229" s="18"/>
      <c r="IP229" s="18"/>
    </row>
    <row r="230" spans="242:250" s="2" customFormat="1" ht="15" x14ac:dyDescent="0.25">
      <c r="IH230" s="26"/>
      <c r="II230" s="18"/>
      <c r="IJ230" s="19"/>
      <c r="IK230" s="20"/>
      <c r="IL230" s="25"/>
      <c r="IM230" s="18"/>
      <c r="IN230" s="14"/>
      <c r="IO230" s="18"/>
      <c r="IP230" s="18"/>
    </row>
    <row r="231" spans="242:250" s="2" customFormat="1" ht="15" x14ac:dyDescent="0.25">
      <c r="IH231" s="26"/>
      <c r="II231" s="18"/>
      <c r="IJ231" s="19"/>
      <c r="IK231" s="20"/>
      <c r="IL231" s="25"/>
      <c r="IM231" s="18"/>
      <c r="IN231" s="14"/>
      <c r="IO231" s="18"/>
      <c r="IP231" s="18"/>
    </row>
    <row r="232" spans="242:250" s="2" customFormat="1" ht="15" x14ac:dyDescent="0.25">
      <c r="IH232" s="26"/>
      <c r="II232" s="18"/>
      <c r="IJ232" s="19"/>
      <c r="IK232" s="20"/>
      <c r="IL232" s="25"/>
      <c r="IM232" s="18"/>
      <c r="IN232" s="14"/>
      <c r="IO232" s="18"/>
      <c r="IP232" s="18"/>
    </row>
    <row r="233" spans="242:250" s="2" customFormat="1" ht="15" x14ac:dyDescent="0.25">
      <c r="IH233" s="26"/>
      <c r="II233" s="18"/>
      <c r="IJ233" s="19"/>
      <c r="IK233" s="20"/>
      <c r="IL233" s="25"/>
      <c r="IM233" s="18"/>
      <c r="IN233" s="14"/>
      <c r="IO233" s="18"/>
      <c r="IP233" s="18"/>
    </row>
    <row r="234" spans="242:250" s="2" customFormat="1" ht="15" x14ac:dyDescent="0.25">
      <c r="IH234" s="26"/>
      <c r="II234" s="18"/>
      <c r="IJ234" s="19"/>
      <c r="IK234" s="20"/>
      <c r="IL234" s="25"/>
      <c r="IM234" s="18"/>
      <c r="IN234" s="14"/>
      <c r="IO234" s="18"/>
      <c r="IP234" s="18"/>
    </row>
    <row r="235" spans="242:250" s="2" customFormat="1" ht="15" x14ac:dyDescent="0.25">
      <c r="IH235" s="26"/>
      <c r="II235" s="18"/>
      <c r="IJ235" s="19"/>
      <c r="IK235" s="20"/>
      <c r="IL235" s="25"/>
      <c r="IM235" s="18"/>
      <c r="IN235" s="14"/>
      <c r="IO235" s="18"/>
      <c r="IP235" s="18"/>
    </row>
    <row r="236" spans="242:250" s="2" customFormat="1" ht="15" x14ac:dyDescent="0.25">
      <c r="IH236" s="26"/>
      <c r="II236" s="18"/>
      <c r="IJ236" s="19"/>
      <c r="IK236" s="20"/>
      <c r="IL236" s="25"/>
      <c r="IM236" s="18"/>
      <c r="IN236" s="14"/>
      <c r="IO236" s="18"/>
      <c r="IP236" s="18"/>
    </row>
    <row r="237" spans="242:250" s="2" customFormat="1" ht="15" x14ac:dyDescent="0.25">
      <c r="IH237" s="26"/>
      <c r="II237" s="18"/>
      <c r="IJ237" s="19"/>
      <c r="IK237" s="20"/>
      <c r="IL237" s="25"/>
      <c r="IM237" s="18"/>
      <c r="IN237" s="14"/>
      <c r="IO237" s="18"/>
      <c r="IP237" s="18"/>
    </row>
    <row r="238" spans="242:250" s="2" customFormat="1" ht="15" x14ac:dyDescent="0.25">
      <c r="IH238" s="26"/>
      <c r="II238" s="18"/>
      <c r="IJ238" s="19"/>
      <c r="IK238" s="20"/>
      <c r="IL238" s="25"/>
      <c r="IM238" s="18"/>
      <c r="IN238" s="14"/>
      <c r="IO238" s="18"/>
      <c r="IP238" s="18"/>
    </row>
    <row r="239" spans="242:250" s="2" customFormat="1" ht="15" x14ac:dyDescent="0.25">
      <c r="IH239" s="26"/>
      <c r="II239" s="18"/>
      <c r="IJ239" s="19"/>
      <c r="IK239" s="20"/>
      <c r="IL239" s="25"/>
      <c r="IM239" s="18"/>
      <c r="IN239" s="14"/>
      <c r="IO239" s="18"/>
      <c r="IP239" s="18"/>
    </row>
    <row r="240" spans="242:250" s="2" customFormat="1" ht="15" x14ac:dyDescent="0.25">
      <c r="IH240" s="26"/>
      <c r="II240" s="18"/>
      <c r="IJ240" s="19"/>
      <c r="IK240" s="20"/>
      <c r="IL240" s="25"/>
      <c r="IM240" s="18"/>
      <c r="IN240" s="14"/>
      <c r="IO240" s="18"/>
      <c r="IP240" s="18"/>
    </row>
    <row r="241" spans="242:250" s="2" customFormat="1" ht="15" x14ac:dyDescent="0.25">
      <c r="IH241" s="26"/>
      <c r="II241" s="18"/>
      <c r="IJ241" s="19"/>
      <c r="IK241" s="20"/>
      <c r="IL241" s="25"/>
      <c r="IM241" s="18"/>
      <c r="IN241" s="14"/>
      <c r="IO241" s="18"/>
      <c r="IP241" s="18"/>
    </row>
    <row r="242" spans="242:250" s="2" customFormat="1" ht="15" x14ac:dyDescent="0.25">
      <c r="IH242" s="26"/>
      <c r="II242" s="18"/>
      <c r="IJ242" s="19"/>
      <c r="IK242" s="20"/>
      <c r="IL242" s="25"/>
      <c r="IM242" s="18"/>
      <c r="IN242" s="14"/>
      <c r="IO242" s="18"/>
      <c r="IP242" s="18"/>
    </row>
    <row r="243" spans="242:250" s="2" customFormat="1" ht="15" x14ac:dyDescent="0.25">
      <c r="IH243" s="26"/>
      <c r="II243" s="18"/>
      <c r="IJ243" s="19"/>
      <c r="IK243" s="20"/>
      <c r="IL243" s="25"/>
      <c r="IM243" s="18"/>
      <c r="IN243" s="14"/>
      <c r="IO243" s="18"/>
      <c r="IP243" s="18"/>
    </row>
    <row r="244" spans="242:250" s="2" customFormat="1" ht="15" x14ac:dyDescent="0.25">
      <c r="IH244" s="26"/>
      <c r="II244" s="18"/>
      <c r="IJ244" s="19"/>
      <c r="IK244" s="20"/>
      <c r="IL244" s="25"/>
      <c r="IM244" s="18"/>
      <c r="IN244" s="14"/>
      <c r="IO244" s="18"/>
      <c r="IP244" s="18"/>
    </row>
    <row r="245" spans="242:250" s="2" customFormat="1" ht="15" x14ac:dyDescent="0.25">
      <c r="IH245" s="26"/>
      <c r="II245" s="18"/>
      <c r="IJ245" s="19"/>
      <c r="IK245" s="20"/>
      <c r="IL245" s="25"/>
      <c r="IM245" s="18"/>
      <c r="IN245" s="14"/>
      <c r="IO245" s="18"/>
      <c r="IP245" s="18"/>
    </row>
    <row r="246" spans="242:250" s="2" customFormat="1" ht="15" x14ac:dyDescent="0.25">
      <c r="IH246" s="26"/>
      <c r="II246" s="18"/>
      <c r="IJ246" s="19"/>
      <c r="IK246" s="20"/>
      <c r="IL246" s="25"/>
      <c r="IM246" s="18"/>
      <c r="IN246" s="14"/>
      <c r="IO246" s="18"/>
      <c r="IP246" s="18"/>
    </row>
    <row r="247" spans="242:250" s="2" customFormat="1" ht="15" x14ac:dyDescent="0.25">
      <c r="IH247" s="26"/>
      <c r="II247" s="18"/>
      <c r="IJ247" s="19"/>
      <c r="IK247" s="20"/>
      <c r="IL247" s="25"/>
      <c r="IM247" s="18"/>
      <c r="IN247" s="14"/>
      <c r="IO247" s="18"/>
      <c r="IP247" s="18"/>
    </row>
    <row r="248" spans="242:250" s="2" customFormat="1" ht="15" x14ac:dyDescent="0.25">
      <c r="IH248" s="26"/>
      <c r="II248" s="18"/>
      <c r="IJ248" s="19"/>
      <c r="IK248" s="20"/>
      <c r="IL248" s="25"/>
      <c r="IM248" s="18"/>
      <c r="IN248" s="14"/>
      <c r="IO248" s="18"/>
      <c r="IP248" s="18"/>
    </row>
    <row r="249" spans="242:250" s="2" customFormat="1" ht="15" x14ac:dyDescent="0.25">
      <c r="IH249" s="26"/>
      <c r="II249" s="18"/>
      <c r="IJ249" s="19"/>
      <c r="IK249" s="20"/>
      <c r="IL249" s="25"/>
      <c r="IM249" s="18"/>
      <c r="IN249" s="14"/>
      <c r="IO249" s="18"/>
      <c r="IP249" s="18"/>
    </row>
    <row r="250" spans="242:250" s="2" customFormat="1" ht="15" x14ac:dyDescent="0.25">
      <c r="IH250" s="26"/>
      <c r="II250" s="18"/>
      <c r="IJ250" s="19"/>
      <c r="IK250" s="20"/>
      <c r="IL250" s="25"/>
      <c r="IM250" s="18"/>
      <c r="IN250" s="14"/>
      <c r="IO250" s="18"/>
      <c r="IP250" s="18"/>
    </row>
    <row r="251" spans="242:250" s="2" customFormat="1" ht="15" x14ac:dyDescent="0.25">
      <c r="IH251" s="26"/>
      <c r="II251" s="18"/>
      <c r="IJ251" s="19"/>
      <c r="IK251" s="20"/>
      <c r="IL251" s="25"/>
      <c r="IM251" s="18"/>
      <c r="IN251" s="14"/>
      <c r="IO251" s="18"/>
      <c r="IP251" s="18"/>
    </row>
    <row r="252" spans="242:250" s="2" customFormat="1" ht="15" x14ac:dyDescent="0.25">
      <c r="IH252" s="26"/>
      <c r="II252" s="18"/>
      <c r="IJ252" s="19"/>
      <c r="IK252" s="20"/>
      <c r="IL252" s="25"/>
      <c r="IM252" s="18"/>
      <c r="IN252" s="14"/>
      <c r="IO252" s="18"/>
      <c r="IP252" s="18"/>
    </row>
    <row r="253" spans="242:250" s="2" customFormat="1" ht="15" x14ac:dyDescent="0.25">
      <c r="IH253" s="26"/>
      <c r="II253" s="18"/>
      <c r="IJ253" s="19"/>
      <c r="IK253" s="20"/>
      <c r="IL253" s="25"/>
      <c r="IM253" s="18"/>
      <c r="IN253" s="14"/>
      <c r="IO253" s="18"/>
      <c r="IP253" s="18"/>
    </row>
    <row r="254" spans="242:250" s="2" customFormat="1" ht="15" x14ac:dyDescent="0.25">
      <c r="IH254" s="26"/>
      <c r="II254" s="18"/>
      <c r="IJ254" s="19"/>
      <c r="IK254" s="20"/>
      <c r="IL254" s="25"/>
      <c r="IM254" s="18"/>
      <c r="IN254" s="14"/>
      <c r="IO254" s="18"/>
      <c r="IP254" s="18"/>
    </row>
    <row r="255" spans="242:250" s="2" customFormat="1" ht="15" x14ac:dyDescent="0.25">
      <c r="IH255" s="26"/>
      <c r="II255" s="18"/>
      <c r="IJ255" s="19"/>
      <c r="IK255" s="20"/>
      <c r="IL255" s="25"/>
      <c r="IM255" s="18"/>
      <c r="IN255" s="14"/>
      <c r="IO255" s="18"/>
      <c r="IP255" s="18"/>
    </row>
    <row r="256" spans="242:250" s="2" customFormat="1" ht="15" x14ac:dyDescent="0.25">
      <c r="IH256" s="26"/>
      <c r="II256" s="18"/>
      <c r="IJ256" s="19"/>
      <c r="IK256" s="20"/>
      <c r="IL256" s="25"/>
      <c r="IM256" s="18"/>
      <c r="IN256" s="14"/>
      <c r="IO256" s="18"/>
      <c r="IP256" s="18"/>
    </row>
    <row r="257" spans="242:250" s="2" customFormat="1" ht="15" x14ac:dyDescent="0.25">
      <c r="IH257" s="26"/>
      <c r="II257" s="18"/>
      <c r="IJ257" s="19"/>
      <c r="IK257" s="20"/>
      <c r="IL257" s="25"/>
      <c r="IM257" s="18"/>
      <c r="IN257" s="14"/>
      <c r="IO257" s="18"/>
      <c r="IP257" s="18"/>
    </row>
    <row r="258" spans="242:250" s="2" customFormat="1" ht="15" x14ac:dyDescent="0.25">
      <c r="IH258" s="26"/>
      <c r="II258" s="18"/>
      <c r="IJ258" s="19"/>
      <c r="IK258" s="20"/>
      <c r="IL258" s="25"/>
      <c r="IM258" s="18"/>
      <c r="IN258" s="14"/>
      <c r="IO258" s="18"/>
      <c r="IP258" s="18"/>
    </row>
    <row r="259" spans="242:250" s="2" customFormat="1" ht="15" x14ac:dyDescent="0.25">
      <c r="IH259" s="26"/>
      <c r="II259" s="18"/>
      <c r="IJ259" s="19"/>
      <c r="IK259" s="20"/>
      <c r="IL259" s="25"/>
      <c r="IM259" s="18"/>
      <c r="IN259" s="14"/>
      <c r="IO259" s="18"/>
      <c r="IP259" s="18"/>
    </row>
    <row r="260" spans="242:250" s="2" customFormat="1" ht="15" x14ac:dyDescent="0.25">
      <c r="IH260" s="26"/>
      <c r="II260" s="18"/>
      <c r="IJ260" s="19"/>
      <c r="IK260" s="20"/>
      <c r="IL260" s="25"/>
      <c r="IM260" s="18"/>
      <c r="IN260" s="14"/>
      <c r="IO260" s="18"/>
      <c r="IP260" s="18"/>
    </row>
    <row r="261" spans="242:250" s="2" customFormat="1" ht="15" x14ac:dyDescent="0.25">
      <c r="IH261" s="26"/>
      <c r="II261" s="18"/>
      <c r="IJ261" s="19"/>
      <c r="IK261" s="20"/>
      <c r="IL261" s="25"/>
      <c r="IM261" s="18"/>
      <c r="IN261" s="14"/>
      <c r="IO261" s="18"/>
      <c r="IP261" s="18"/>
    </row>
    <row r="262" spans="242:250" s="2" customFormat="1" ht="15" x14ac:dyDescent="0.25">
      <c r="IH262" s="26"/>
      <c r="II262" s="18"/>
      <c r="IJ262" s="19"/>
      <c r="IK262" s="20"/>
      <c r="IL262" s="25"/>
      <c r="IM262" s="18"/>
      <c r="IN262" s="14"/>
      <c r="IO262" s="18"/>
      <c r="IP262" s="18"/>
    </row>
    <row r="263" spans="242:250" s="2" customFormat="1" ht="15" x14ac:dyDescent="0.25">
      <c r="IH263" s="26"/>
      <c r="II263" s="18"/>
      <c r="IJ263" s="19"/>
      <c r="IK263" s="20"/>
      <c r="IL263" s="25"/>
      <c r="IM263" s="18"/>
      <c r="IN263" s="14"/>
      <c r="IO263" s="18"/>
      <c r="IP263" s="18"/>
    </row>
    <row r="264" spans="242:250" s="2" customFormat="1" ht="15" x14ac:dyDescent="0.25">
      <c r="IH264" s="26"/>
      <c r="II264" s="18"/>
      <c r="IJ264" s="19"/>
      <c r="IK264" s="20"/>
      <c r="IL264" s="25"/>
      <c r="IM264" s="18"/>
      <c r="IN264" s="14"/>
      <c r="IO264" s="18"/>
      <c r="IP264" s="18"/>
    </row>
    <row r="265" spans="242:250" s="2" customFormat="1" ht="15" x14ac:dyDescent="0.25">
      <c r="IH265" s="26"/>
      <c r="II265" s="18"/>
      <c r="IJ265" s="19"/>
      <c r="IK265" s="20"/>
      <c r="IL265" s="25"/>
      <c r="IM265" s="18"/>
      <c r="IN265" s="14"/>
      <c r="IO265" s="18"/>
      <c r="IP265" s="18"/>
    </row>
    <row r="266" spans="242:250" s="2" customFormat="1" ht="15" x14ac:dyDescent="0.25">
      <c r="IH266" s="26"/>
      <c r="II266" s="18"/>
      <c r="IJ266" s="19"/>
      <c r="IK266" s="20"/>
      <c r="IL266" s="25"/>
      <c r="IM266" s="18"/>
      <c r="IN266" s="14"/>
      <c r="IO266" s="18"/>
      <c r="IP266" s="18"/>
    </row>
    <row r="267" spans="242:250" s="2" customFormat="1" ht="15" x14ac:dyDescent="0.25">
      <c r="IH267" s="26"/>
      <c r="II267" s="18"/>
      <c r="IJ267" s="19"/>
      <c r="IK267" s="20"/>
      <c r="IL267" s="25"/>
      <c r="IM267" s="18"/>
      <c r="IN267" s="14"/>
      <c r="IO267" s="18"/>
      <c r="IP267" s="18"/>
    </row>
    <row r="268" spans="242:250" s="2" customFormat="1" ht="15" x14ac:dyDescent="0.25">
      <c r="IH268" s="26"/>
      <c r="II268" s="18"/>
      <c r="IJ268" s="19"/>
      <c r="IK268" s="20"/>
      <c r="IL268" s="25"/>
      <c r="IM268" s="18"/>
      <c r="IN268" s="14"/>
      <c r="IO268" s="18"/>
      <c r="IP268" s="18"/>
    </row>
    <row r="269" spans="242:250" s="2" customFormat="1" ht="15" x14ac:dyDescent="0.25">
      <c r="IH269" s="26"/>
      <c r="II269" s="18"/>
      <c r="IJ269" s="19"/>
      <c r="IK269" s="20"/>
      <c r="IL269" s="25"/>
      <c r="IM269" s="18"/>
      <c r="IN269" s="14"/>
      <c r="IO269" s="18"/>
      <c r="IP269" s="18"/>
    </row>
    <row r="270" spans="242:250" s="2" customFormat="1" ht="15" x14ac:dyDescent="0.25">
      <c r="IH270" s="26"/>
      <c r="II270" s="18"/>
      <c r="IJ270" s="19"/>
      <c r="IK270" s="20"/>
      <c r="IL270" s="25"/>
      <c r="IM270" s="18"/>
      <c r="IN270" s="14"/>
      <c r="IO270" s="18"/>
      <c r="IP270" s="18"/>
    </row>
    <row r="271" spans="242:250" s="2" customFormat="1" ht="15" x14ac:dyDescent="0.25">
      <c r="IH271" s="26"/>
      <c r="II271" s="18"/>
      <c r="IJ271" s="19"/>
      <c r="IK271" s="20"/>
      <c r="IL271" s="25"/>
      <c r="IM271" s="18"/>
      <c r="IN271" s="14"/>
      <c r="IO271" s="18"/>
      <c r="IP271" s="18"/>
    </row>
    <row r="272" spans="242:250" s="2" customFormat="1" ht="15" x14ac:dyDescent="0.25">
      <c r="IH272" s="26"/>
      <c r="II272" s="18"/>
      <c r="IJ272" s="19"/>
      <c r="IK272" s="20"/>
      <c r="IL272" s="25"/>
      <c r="IM272" s="18"/>
      <c r="IN272" s="14"/>
      <c r="IO272" s="18"/>
      <c r="IP272" s="18"/>
    </row>
    <row r="273" spans="242:250" s="2" customFormat="1" ht="15" x14ac:dyDescent="0.25">
      <c r="IH273" s="26"/>
      <c r="II273" s="18"/>
      <c r="IJ273" s="19"/>
      <c r="IK273" s="20"/>
      <c r="IL273" s="25"/>
      <c r="IM273" s="18"/>
      <c r="IN273" s="14"/>
      <c r="IO273" s="18"/>
      <c r="IP273" s="18"/>
    </row>
    <row r="274" spans="242:250" s="2" customFormat="1" ht="15" x14ac:dyDescent="0.25">
      <c r="IH274" s="26"/>
      <c r="II274" s="18"/>
      <c r="IJ274" s="19"/>
      <c r="IK274" s="20"/>
      <c r="IL274" s="25"/>
      <c r="IM274" s="18"/>
      <c r="IN274" s="14"/>
      <c r="IO274" s="18"/>
      <c r="IP274" s="18"/>
    </row>
    <row r="275" spans="242:250" s="2" customFormat="1" ht="15" x14ac:dyDescent="0.25">
      <c r="IH275" s="26"/>
      <c r="II275" s="18"/>
      <c r="IJ275" s="19"/>
      <c r="IK275" s="20"/>
      <c r="IL275" s="25"/>
      <c r="IM275" s="18"/>
      <c r="IN275" s="14"/>
      <c r="IO275" s="18"/>
      <c r="IP275" s="18"/>
    </row>
    <row r="276" spans="242:250" s="2" customFormat="1" ht="15" x14ac:dyDescent="0.25">
      <c r="IH276" s="26"/>
      <c r="II276" s="18"/>
      <c r="IJ276" s="19"/>
      <c r="IK276" s="20"/>
      <c r="IL276" s="25"/>
      <c r="IM276" s="18"/>
      <c r="IN276" s="14"/>
      <c r="IO276" s="18"/>
      <c r="IP276" s="18"/>
    </row>
    <row r="277" spans="242:250" s="2" customFormat="1" ht="15" x14ac:dyDescent="0.25">
      <c r="IH277" s="26"/>
      <c r="II277" s="18"/>
      <c r="IJ277" s="19"/>
      <c r="IK277" s="20"/>
      <c r="IL277" s="25"/>
      <c r="IM277" s="18"/>
      <c r="IN277" s="14"/>
      <c r="IO277" s="18"/>
      <c r="IP277" s="18"/>
    </row>
    <row r="278" spans="242:250" s="2" customFormat="1" ht="15" x14ac:dyDescent="0.25">
      <c r="IH278" s="26"/>
      <c r="II278" s="18"/>
      <c r="IJ278" s="19"/>
      <c r="IK278" s="20"/>
      <c r="IL278" s="25"/>
      <c r="IM278" s="18"/>
      <c r="IN278" s="14"/>
      <c r="IO278" s="18"/>
      <c r="IP278" s="18"/>
    </row>
    <row r="279" spans="242:250" s="2" customFormat="1" ht="15" x14ac:dyDescent="0.25">
      <c r="IH279" s="26"/>
      <c r="II279" s="18"/>
      <c r="IJ279" s="19"/>
      <c r="IK279" s="20"/>
      <c r="IL279" s="25"/>
      <c r="IM279" s="18"/>
      <c r="IN279" s="14"/>
      <c r="IO279" s="18"/>
      <c r="IP279" s="18"/>
    </row>
    <row r="280" spans="242:250" s="2" customFormat="1" ht="15" x14ac:dyDescent="0.25">
      <c r="IH280" s="26"/>
      <c r="II280" s="18"/>
      <c r="IJ280" s="19"/>
      <c r="IK280" s="20"/>
      <c r="IL280" s="25"/>
      <c r="IM280" s="18"/>
      <c r="IN280" s="14"/>
      <c r="IO280" s="18"/>
      <c r="IP280" s="18"/>
    </row>
    <row r="281" spans="242:250" s="2" customFormat="1" ht="15" x14ac:dyDescent="0.25">
      <c r="IH281" s="26"/>
      <c r="II281" s="18"/>
      <c r="IJ281" s="19"/>
      <c r="IK281" s="20"/>
      <c r="IL281" s="25"/>
      <c r="IM281" s="18"/>
      <c r="IN281" s="14"/>
      <c r="IO281" s="18"/>
      <c r="IP281" s="18"/>
    </row>
    <row r="282" spans="242:250" s="2" customFormat="1" ht="15" x14ac:dyDescent="0.25">
      <c r="IH282" s="26"/>
      <c r="II282" s="18"/>
      <c r="IJ282" s="19"/>
      <c r="IK282" s="20"/>
      <c r="IL282" s="25"/>
      <c r="IM282" s="18"/>
      <c r="IN282" s="14"/>
      <c r="IO282" s="18"/>
      <c r="IP282" s="18"/>
    </row>
    <row r="283" spans="242:250" s="2" customFormat="1" ht="15" x14ac:dyDescent="0.25">
      <c r="IH283" s="26"/>
      <c r="II283" s="18"/>
      <c r="IJ283" s="19"/>
      <c r="IK283" s="20"/>
      <c r="IL283" s="25"/>
      <c r="IM283" s="18"/>
      <c r="IN283" s="14"/>
      <c r="IO283" s="18"/>
      <c r="IP283" s="18"/>
    </row>
    <row r="284" spans="242:250" s="2" customFormat="1" ht="15" x14ac:dyDescent="0.25">
      <c r="IH284" s="26"/>
      <c r="II284" s="18"/>
      <c r="IJ284" s="19"/>
      <c r="IK284" s="20"/>
      <c r="IL284" s="25"/>
      <c r="IM284" s="18"/>
      <c r="IN284" s="14"/>
      <c r="IO284" s="18"/>
      <c r="IP284" s="18"/>
    </row>
    <row r="285" spans="242:250" s="2" customFormat="1" ht="15" x14ac:dyDescent="0.25">
      <c r="IH285" s="26"/>
      <c r="II285" s="18"/>
      <c r="IJ285" s="19"/>
      <c r="IK285" s="20"/>
      <c r="IL285" s="25"/>
      <c r="IM285" s="18"/>
      <c r="IN285" s="14"/>
      <c r="IO285" s="18"/>
      <c r="IP285" s="18"/>
    </row>
    <row r="286" spans="242:250" s="2" customFormat="1" ht="15" x14ac:dyDescent="0.25">
      <c r="IH286" s="26"/>
      <c r="II286" s="18"/>
      <c r="IJ286" s="19"/>
      <c r="IK286" s="20"/>
      <c r="IL286" s="25"/>
      <c r="IM286" s="18"/>
      <c r="IN286" s="14"/>
      <c r="IO286" s="18"/>
      <c r="IP286" s="18"/>
    </row>
    <row r="287" spans="242:250" s="2" customFormat="1" ht="15" x14ac:dyDescent="0.25">
      <c r="IH287" s="26"/>
      <c r="II287" s="18"/>
      <c r="IJ287" s="19"/>
      <c r="IK287" s="20"/>
      <c r="IL287" s="25"/>
      <c r="IM287" s="18"/>
      <c r="IN287" s="24"/>
      <c r="IO287" s="18"/>
      <c r="IP287" s="18"/>
    </row>
    <row r="288" spans="242:250" s="2" customFormat="1" x14ac:dyDescent="0.2">
      <c r="II288" s="23"/>
      <c r="IJ288" s="23"/>
    </row>
    <row r="289" spans="243:244" s="2" customFormat="1" x14ac:dyDescent="0.2">
      <c r="II289" s="23"/>
      <c r="IJ289" s="23"/>
    </row>
    <row r="290" spans="243:244" s="2" customFormat="1" x14ac:dyDescent="0.2">
      <c r="II290" s="23"/>
      <c r="IJ290" s="23"/>
    </row>
    <row r="291" spans="243:244" s="2" customFormat="1" x14ac:dyDescent="0.2">
      <c r="II291" s="23"/>
      <c r="IJ291" s="23"/>
    </row>
    <row r="292" spans="243:244" s="2" customFormat="1" x14ac:dyDescent="0.2">
      <c r="II292" s="23"/>
      <c r="IJ292" s="23"/>
    </row>
    <row r="293" spans="243:244" s="2" customFormat="1" x14ac:dyDescent="0.2">
      <c r="II293" s="23"/>
      <c r="IJ293" s="23"/>
    </row>
    <row r="294" spans="243:244" s="2" customFormat="1" x14ac:dyDescent="0.2">
      <c r="II294" s="23"/>
      <c r="IJ294" s="23"/>
    </row>
    <row r="295" spans="243:244" s="2" customFormat="1" x14ac:dyDescent="0.2">
      <c r="II295" s="23"/>
      <c r="IJ295" s="23"/>
    </row>
    <row r="296" spans="243:244" s="2" customFormat="1" x14ac:dyDescent="0.2">
      <c r="II296" s="23"/>
      <c r="IJ296" s="23"/>
    </row>
    <row r="297" spans="243:244" s="2" customFormat="1" x14ac:dyDescent="0.2">
      <c r="II297" s="23"/>
      <c r="IJ297" s="23"/>
    </row>
    <row r="298" spans="243:244" s="2" customFormat="1" x14ac:dyDescent="0.2">
      <c r="II298" s="23"/>
      <c r="IJ298" s="23"/>
    </row>
    <row r="299" spans="243:244" s="2" customFormat="1" x14ac:dyDescent="0.2">
      <c r="II299" s="23"/>
      <c r="IJ299" s="23"/>
    </row>
    <row r="300" spans="243:244" s="2" customFormat="1" x14ac:dyDescent="0.2">
      <c r="II300" s="23"/>
      <c r="IJ300" s="23"/>
    </row>
    <row r="301" spans="243:244" s="2" customFormat="1" x14ac:dyDescent="0.2">
      <c r="II301" s="23"/>
      <c r="IJ301" s="23"/>
    </row>
    <row r="302" spans="243:244" s="2" customFormat="1" x14ac:dyDescent="0.2">
      <c r="II302" s="23"/>
      <c r="IJ302" s="23"/>
    </row>
    <row r="303" spans="243:244" s="2" customFormat="1" x14ac:dyDescent="0.2"/>
    <row r="304" spans="243:244" s="2" customFormat="1" x14ac:dyDescent="0.2"/>
    <row r="305" spans="1:237" x14ac:dyDescent="0.2">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c r="AG305" s="2"/>
      <c r="AH305" s="2"/>
      <c r="AI305" s="2"/>
      <c r="AJ305" s="2"/>
      <c r="AK305" s="2"/>
      <c r="AL305" s="2"/>
      <c r="AM305" s="2"/>
      <c r="AN305" s="2"/>
      <c r="AO305" s="2"/>
      <c r="AP305" s="2"/>
      <c r="AQ305" s="2"/>
      <c r="AR305" s="2"/>
      <c r="AS305" s="2"/>
      <c r="AT305" s="2"/>
      <c r="AU305" s="2"/>
      <c r="AV305" s="2"/>
      <c r="AW305" s="2"/>
      <c r="AX305" s="2"/>
      <c r="AY305" s="2"/>
      <c r="AZ305" s="2"/>
      <c r="BA305" s="2"/>
      <c r="BB305" s="2"/>
      <c r="BC305" s="2"/>
      <c r="BD305" s="2"/>
      <c r="BE305" s="2"/>
      <c r="BF305" s="2"/>
      <c r="BG305" s="2"/>
      <c r="BH305" s="2"/>
      <c r="BI305" s="2"/>
      <c r="BJ305" s="2"/>
      <c r="BK305" s="2"/>
      <c r="BL305" s="2"/>
      <c r="BM305" s="2"/>
      <c r="BN305" s="2"/>
      <c r="BO305" s="2"/>
      <c r="BP305" s="2"/>
      <c r="BQ305" s="2"/>
      <c r="BR305" s="2"/>
      <c r="BS305" s="2"/>
      <c r="BT305" s="2"/>
      <c r="BU305" s="2"/>
      <c r="BV305" s="2"/>
      <c r="BW305" s="2"/>
      <c r="BX305" s="2"/>
      <c r="BY305" s="2"/>
      <c r="BZ305" s="2"/>
      <c r="CA305" s="2"/>
      <c r="CB305" s="2"/>
      <c r="CC305" s="2"/>
      <c r="CD305" s="2"/>
      <c r="CE305" s="2"/>
      <c r="CF305" s="2"/>
      <c r="CG305" s="2"/>
      <c r="CH305" s="2"/>
      <c r="CI305" s="2"/>
      <c r="CJ305" s="2"/>
      <c r="CK305" s="2"/>
      <c r="CL305" s="2"/>
      <c r="CM305" s="2"/>
      <c r="CN305" s="2"/>
      <c r="CO305" s="2"/>
      <c r="CP305" s="2"/>
      <c r="CQ305" s="2"/>
      <c r="CR305" s="2"/>
      <c r="CS305" s="2"/>
      <c r="CT305" s="2"/>
      <c r="CU305" s="2"/>
      <c r="CV305" s="2"/>
      <c r="CW305" s="2"/>
      <c r="CX305" s="2"/>
      <c r="CY305" s="2"/>
      <c r="CZ305" s="2"/>
      <c r="DA305" s="2"/>
      <c r="DB305" s="2"/>
      <c r="DC305" s="2"/>
      <c r="DD305" s="2"/>
      <c r="DE305" s="2"/>
      <c r="DF305" s="2"/>
      <c r="DG305" s="2"/>
      <c r="DH305" s="2"/>
      <c r="DI305" s="2"/>
      <c r="DJ305" s="2"/>
      <c r="DK305" s="2"/>
      <c r="DL305" s="2"/>
      <c r="DM305" s="2"/>
      <c r="DN305" s="2"/>
      <c r="DO305" s="2"/>
      <c r="DP305" s="2"/>
      <c r="DQ305" s="2"/>
      <c r="DR305" s="2"/>
      <c r="DS305" s="2"/>
      <c r="DT305" s="2"/>
      <c r="DU305" s="2"/>
      <c r="DV305" s="2"/>
      <c r="DW305" s="2"/>
      <c r="DX305" s="2"/>
      <c r="DY305" s="2"/>
      <c r="DZ305" s="2"/>
      <c r="EA305" s="2"/>
      <c r="EB305" s="2"/>
      <c r="EC305" s="2"/>
      <c r="ED305" s="2"/>
      <c r="EE305" s="2"/>
      <c r="EF305" s="2"/>
      <c r="EG305" s="2"/>
      <c r="EH305" s="2"/>
      <c r="EI305" s="2"/>
      <c r="EJ305" s="2"/>
      <c r="EK305" s="2"/>
      <c r="EL305" s="2"/>
      <c r="EM305" s="2"/>
      <c r="EN305" s="2"/>
      <c r="EO305" s="2"/>
      <c r="EP305" s="2"/>
      <c r="EQ305" s="2"/>
      <c r="ER305" s="2"/>
      <c r="ES305" s="2"/>
      <c r="ET305" s="2"/>
      <c r="EU305" s="2"/>
      <c r="EV305" s="2"/>
      <c r="EW305" s="2"/>
      <c r="EX305" s="2"/>
      <c r="EY305" s="2"/>
      <c r="EZ305" s="2"/>
      <c r="FA305" s="2"/>
      <c r="FB305" s="2"/>
      <c r="FC305" s="2"/>
      <c r="FD305" s="2"/>
      <c r="FE305" s="2"/>
      <c r="FF305" s="2"/>
      <c r="FG305" s="2"/>
      <c r="FH305" s="2"/>
      <c r="FI305" s="2"/>
      <c r="FJ305" s="2"/>
      <c r="FK305" s="2"/>
      <c r="FL305" s="2"/>
      <c r="FM305" s="2"/>
      <c r="FN305" s="2"/>
      <c r="FO305" s="2"/>
      <c r="FP305" s="2"/>
      <c r="FQ305" s="2"/>
      <c r="FR305" s="2"/>
      <c r="FS305" s="2"/>
      <c r="FT305" s="2"/>
      <c r="FU305" s="2"/>
      <c r="FV305" s="2"/>
      <c r="FW305" s="2"/>
      <c r="FX305" s="2"/>
      <c r="FY305" s="2"/>
      <c r="FZ305" s="2"/>
      <c r="GA305" s="2"/>
      <c r="GB305" s="2"/>
      <c r="GC305" s="2"/>
      <c r="GD305" s="2"/>
      <c r="GE305" s="2"/>
      <c r="GF305" s="2"/>
      <c r="GG305" s="2"/>
      <c r="GH305" s="2"/>
      <c r="GI305" s="2"/>
      <c r="GJ305" s="2"/>
      <c r="GK305" s="2"/>
      <c r="GL305" s="2"/>
      <c r="GM305" s="2"/>
      <c r="GN305" s="2"/>
      <c r="GO305" s="2"/>
      <c r="GP305" s="2"/>
      <c r="GQ305" s="2"/>
      <c r="GR305" s="2"/>
      <c r="GS305" s="2"/>
      <c r="GT305" s="2"/>
      <c r="GU305" s="2"/>
      <c r="GV305" s="2"/>
      <c r="GW305" s="2"/>
      <c r="GX305" s="2"/>
      <c r="GY305" s="2"/>
      <c r="GZ305" s="2"/>
      <c r="HA305" s="2"/>
      <c r="HB305" s="2"/>
      <c r="HC305" s="2"/>
      <c r="HD305" s="2"/>
      <c r="HE305" s="2"/>
      <c r="HF305" s="2"/>
      <c r="HG305" s="2"/>
      <c r="HH305" s="2"/>
      <c r="HI305" s="2"/>
      <c r="HJ305" s="2"/>
      <c r="HK305" s="2"/>
      <c r="HL305" s="2"/>
      <c r="HM305" s="2"/>
      <c r="HN305" s="2"/>
      <c r="HO305" s="2"/>
      <c r="HP305" s="2"/>
      <c r="HQ305" s="2"/>
      <c r="HR305" s="2"/>
      <c r="HS305" s="2"/>
      <c r="HT305" s="2"/>
      <c r="HU305" s="2"/>
      <c r="HV305" s="2"/>
      <c r="HW305" s="2"/>
      <c r="HX305" s="2"/>
      <c r="HY305" s="2"/>
      <c r="HZ305" s="2"/>
      <c r="IA305" s="2"/>
      <c r="IB305" s="2"/>
      <c r="IC305" s="2"/>
    </row>
    <row r="306" spans="1:237" x14ac:dyDescent="0.2">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c r="AG306" s="2"/>
      <c r="AH306" s="2"/>
      <c r="AI306" s="2"/>
      <c r="AJ306" s="2"/>
      <c r="AK306" s="2"/>
      <c r="AL306" s="2"/>
      <c r="AM306" s="2"/>
      <c r="AN306" s="2"/>
      <c r="AO306" s="2"/>
      <c r="AP306" s="2"/>
      <c r="AQ306" s="2"/>
      <c r="AR306" s="2"/>
      <c r="AS306" s="2"/>
      <c r="AT306" s="2"/>
      <c r="AU306" s="2"/>
      <c r="AV306" s="2"/>
      <c r="AW306" s="2"/>
      <c r="AX306" s="2"/>
      <c r="AY306" s="2"/>
      <c r="AZ306" s="2"/>
      <c r="BA306" s="2"/>
      <c r="BB306" s="2"/>
      <c r="BC306" s="2"/>
      <c r="BD306" s="2"/>
      <c r="BE306" s="2"/>
      <c r="BF306" s="2"/>
      <c r="BG306" s="2"/>
      <c r="BH306" s="2"/>
      <c r="BI306" s="2"/>
      <c r="BJ306" s="2"/>
      <c r="BK306" s="2"/>
      <c r="BL306" s="2"/>
      <c r="BM306" s="2"/>
      <c r="BN306" s="2"/>
      <c r="BO306" s="2"/>
      <c r="BP306" s="2"/>
      <c r="BQ306" s="2"/>
      <c r="BR306" s="2"/>
      <c r="BS306" s="2"/>
      <c r="BT306" s="2"/>
      <c r="BU306" s="2"/>
      <c r="BV306" s="2"/>
      <c r="BW306" s="2"/>
      <c r="BX306" s="2"/>
      <c r="BY306" s="2"/>
      <c r="BZ306" s="2"/>
      <c r="CA306" s="2"/>
      <c r="CB306" s="2"/>
      <c r="CC306" s="2"/>
      <c r="CD306" s="2"/>
      <c r="CE306" s="2"/>
      <c r="CF306" s="2"/>
      <c r="CG306" s="2"/>
      <c r="CH306" s="2"/>
      <c r="CI306" s="2"/>
      <c r="CJ306" s="2"/>
      <c r="CK306" s="2"/>
      <c r="CL306" s="2"/>
      <c r="CM306" s="2"/>
      <c r="CN306" s="2"/>
      <c r="CO306" s="2"/>
      <c r="CP306" s="2"/>
      <c r="CQ306" s="2"/>
      <c r="CR306" s="2"/>
      <c r="CS306" s="2"/>
      <c r="CT306" s="2"/>
      <c r="CU306" s="2"/>
      <c r="CV306" s="2"/>
      <c r="CW306" s="2"/>
      <c r="CX306" s="2"/>
      <c r="CY306" s="2"/>
      <c r="CZ306" s="2"/>
      <c r="DA306" s="2"/>
      <c r="DB306" s="2"/>
      <c r="DC306" s="2"/>
      <c r="DD306" s="2"/>
      <c r="DE306" s="2"/>
      <c r="DF306" s="2"/>
      <c r="DG306" s="2"/>
      <c r="DH306" s="2"/>
      <c r="DI306" s="2"/>
      <c r="DJ306" s="2"/>
      <c r="DK306" s="2"/>
      <c r="DL306" s="2"/>
      <c r="DM306" s="2"/>
      <c r="DN306" s="2"/>
      <c r="DO306" s="2"/>
      <c r="DP306" s="2"/>
      <c r="DQ306" s="2"/>
      <c r="DR306" s="2"/>
      <c r="DS306" s="2"/>
      <c r="DT306" s="2"/>
      <c r="DU306" s="2"/>
      <c r="DV306" s="2"/>
      <c r="DW306" s="2"/>
      <c r="DX306" s="2"/>
      <c r="DY306" s="2"/>
      <c r="DZ306" s="2"/>
      <c r="EA306" s="2"/>
      <c r="EB306" s="2"/>
      <c r="EC306" s="2"/>
      <c r="ED306" s="2"/>
      <c r="EE306" s="2"/>
      <c r="EF306" s="2"/>
      <c r="EG306" s="2"/>
      <c r="EH306" s="2"/>
      <c r="EI306" s="2"/>
      <c r="EJ306" s="2"/>
      <c r="EK306" s="2"/>
      <c r="EL306" s="2"/>
      <c r="EM306" s="2"/>
      <c r="EN306" s="2"/>
      <c r="EO306" s="2"/>
      <c r="EP306" s="2"/>
      <c r="EQ306" s="2"/>
      <c r="ER306" s="2"/>
      <c r="ES306" s="2"/>
      <c r="ET306" s="2"/>
      <c r="EU306" s="2"/>
      <c r="EV306" s="2"/>
      <c r="EW306" s="2"/>
      <c r="EX306" s="2"/>
      <c r="EY306" s="2"/>
      <c r="EZ306" s="2"/>
      <c r="FA306" s="2"/>
      <c r="FB306" s="2"/>
      <c r="FC306" s="2"/>
      <c r="FD306" s="2"/>
      <c r="FE306" s="2"/>
      <c r="FF306" s="2"/>
      <c r="FG306" s="2"/>
      <c r="FH306" s="2"/>
      <c r="FI306" s="2"/>
      <c r="FJ306" s="2"/>
      <c r="FK306" s="2"/>
      <c r="FL306" s="2"/>
      <c r="FM306" s="2"/>
      <c r="FN306" s="2"/>
      <c r="FO306" s="2"/>
      <c r="FP306" s="2"/>
      <c r="FQ306" s="2"/>
      <c r="FR306" s="2"/>
      <c r="FS306" s="2"/>
      <c r="FT306" s="2"/>
      <c r="FU306" s="2"/>
      <c r="FV306" s="2"/>
      <c r="FW306" s="2"/>
      <c r="FX306" s="2"/>
      <c r="FY306" s="2"/>
      <c r="FZ306" s="2"/>
      <c r="GA306" s="2"/>
      <c r="GB306" s="2"/>
      <c r="GC306" s="2"/>
      <c r="GD306" s="2"/>
      <c r="GE306" s="2"/>
      <c r="GF306" s="2"/>
      <c r="GG306" s="2"/>
      <c r="GH306" s="2"/>
      <c r="GI306" s="2"/>
      <c r="GJ306" s="2"/>
      <c r="GK306" s="2"/>
      <c r="GL306" s="2"/>
      <c r="GM306" s="2"/>
      <c r="GN306" s="2"/>
      <c r="GO306" s="2"/>
      <c r="GP306" s="2"/>
      <c r="GQ306" s="2"/>
      <c r="GR306" s="2"/>
      <c r="GS306" s="2"/>
      <c r="GT306" s="2"/>
      <c r="GU306" s="2"/>
      <c r="GV306" s="2"/>
      <c r="GW306" s="2"/>
      <c r="GX306" s="2"/>
      <c r="GY306" s="2"/>
      <c r="GZ306" s="2"/>
      <c r="HA306" s="2"/>
      <c r="HB306" s="2"/>
      <c r="HC306" s="2"/>
      <c r="HD306" s="2"/>
      <c r="HE306" s="2"/>
      <c r="HF306" s="2"/>
      <c r="HG306" s="2"/>
      <c r="HH306" s="2"/>
      <c r="HI306" s="2"/>
      <c r="HJ306" s="2"/>
      <c r="HK306" s="2"/>
      <c r="HL306" s="2"/>
      <c r="HM306" s="2"/>
      <c r="HN306" s="2"/>
      <c r="HO306" s="2"/>
      <c r="HP306" s="2"/>
      <c r="HQ306" s="2"/>
      <c r="HR306" s="2"/>
      <c r="HS306" s="2"/>
      <c r="HT306" s="2"/>
      <c r="HU306" s="2"/>
      <c r="HV306" s="2"/>
      <c r="HW306" s="2"/>
      <c r="HX306" s="2"/>
      <c r="HY306" s="2"/>
      <c r="HZ306" s="2"/>
      <c r="IA306" s="2"/>
      <c r="IB306" s="2"/>
      <c r="IC306" s="2"/>
    </row>
    <row r="307" spans="1:237" x14ac:dyDescent="0.2">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c r="AG307" s="2"/>
      <c r="AH307" s="2"/>
      <c r="AI307" s="2"/>
      <c r="AJ307" s="2"/>
      <c r="AK307" s="2"/>
      <c r="AL307" s="2"/>
      <c r="AM307" s="2"/>
      <c r="AN307" s="2"/>
      <c r="AO307" s="2"/>
      <c r="AP307" s="2"/>
      <c r="AQ307" s="2"/>
      <c r="AR307" s="2"/>
      <c r="AS307" s="2"/>
      <c r="AT307" s="2"/>
      <c r="AU307" s="2"/>
      <c r="AV307" s="2"/>
      <c r="AW307" s="2"/>
      <c r="AX307" s="2"/>
      <c r="AY307" s="2"/>
      <c r="AZ307" s="2"/>
      <c r="BA307" s="2"/>
      <c r="BB307" s="2"/>
      <c r="BC307" s="2"/>
      <c r="BD307" s="2"/>
      <c r="BE307" s="2"/>
      <c r="BF307" s="2"/>
      <c r="BG307" s="2"/>
      <c r="BH307" s="2"/>
      <c r="BI307" s="2"/>
      <c r="BJ307" s="2"/>
      <c r="BK307" s="2"/>
      <c r="BL307" s="2"/>
      <c r="BM307" s="2"/>
      <c r="BN307" s="2"/>
      <c r="BO307" s="2"/>
      <c r="BP307" s="2"/>
      <c r="BQ307" s="2"/>
      <c r="BR307" s="2"/>
      <c r="BS307" s="2"/>
      <c r="BT307" s="2"/>
      <c r="BU307" s="2"/>
      <c r="BV307" s="2"/>
      <c r="BW307" s="2"/>
      <c r="BX307" s="2"/>
      <c r="BY307" s="2"/>
      <c r="BZ307" s="2"/>
      <c r="CA307" s="2"/>
      <c r="CB307" s="2"/>
      <c r="CC307" s="2"/>
      <c r="CD307" s="2"/>
      <c r="CE307" s="2"/>
      <c r="CF307" s="2"/>
      <c r="CG307" s="2"/>
      <c r="CH307" s="2"/>
      <c r="CI307" s="2"/>
      <c r="CJ307" s="2"/>
      <c r="CK307" s="2"/>
      <c r="CL307" s="2"/>
      <c r="CM307" s="2"/>
      <c r="CN307" s="2"/>
      <c r="CO307" s="2"/>
      <c r="CP307" s="2"/>
      <c r="CQ307" s="2"/>
      <c r="CR307" s="2"/>
      <c r="CS307" s="2"/>
      <c r="CT307" s="2"/>
      <c r="CU307" s="2"/>
      <c r="CV307" s="2"/>
      <c r="CW307" s="2"/>
      <c r="CX307" s="2"/>
      <c r="CY307" s="2"/>
      <c r="CZ307" s="2"/>
      <c r="DA307" s="2"/>
      <c r="DB307" s="2"/>
      <c r="DC307" s="2"/>
      <c r="DD307" s="2"/>
      <c r="DE307" s="2"/>
      <c r="DF307" s="2"/>
      <c r="DG307" s="2"/>
      <c r="DH307" s="2"/>
      <c r="DI307" s="2"/>
      <c r="DJ307" s="2"/>
      <c r="DK307" s="2"/>
      <c r="DL307" s="2"/>
      <c r="DM307" s="2"/>
      <c r="DN307" s="2"/>
      <c r="DO307" s="2"/>
      <c r="DP307" s="2"/>
      <c r="DQ307" s="2"/>
      <c r="DR307" s="2"/>
      <c r="DS307" s="2"/>
      <c r="DT307" s="2"/>
      <c r="DU307" s="2"/>
      <c r="DV307" s="2"/>
      <c r="DW307" s="2"/>
      <c r="DX307" s="2"/>
      <c r="DY307" s="2"/>
      <c r="DZ307" s="2"/>
      <c r="EA307" s="2"/>
      <c r="EB307" s="2"/>
      <c r="EC307" s="2"/>
      <c r="ED307" s="2"/>
      <c r="EE307" s="2"/>
      <c r="EF307" s="2"/>
      <c r="EG307" s="2"/>
      <c r="EH307" s="2"/>
      <c r="EI307" s="2"/>
      <c r="EJ307" s="2"/>
      <c r="EK307" s="2"/>
      <c r="EL307" s="2"/>
      <c r="EM307" s="2"/>
      <c r="EN307" s="2"/>
      <c r="EO307" s="2"/>
      <c r="EP307" s="2"/>
      <c r="EQ307" s="2"/>
      <c r="ER307" s="2"/>
      <c r="ES307" s="2"/>
      <c r="ET307" s="2"/>
      <c r="EU307" s="2"/>
      <c r="EV307" s="2"/>
      <c r="EW307" s="2"/>
      <c r="EX307" s="2"/>
      <c r="EY307" s="2"/>
      <c r="EZ307" s="2"/>
      <c r="FA307" s="2"/>
      <c r="FB307" s="2"/>
      <c r="FC307" s="2"/>
      <c r="FD307" s="2"/>
      <c r="FE307" s="2"/>
      <c r="FF307" s="2"/>
      <c r="FG307" s="2"/>
      <c r="FH307" s="2"/>
      <c r="FI307" s="2"/>
      <c r="FJ307" s="2"/>
      <c r="FK307" s="2"/>
      <c r="FL307" s="2"/>
      <c r="FM307" s="2"/>
      <c r="FN307" s="2"/>
      <c r="FO307" s="2"/>
      <c r="FP307" s="2"/>
      <c r="FQ307" s="2"/>
      <c r="FR307" s="2"/>
      <c r="FS307" s="2"/>
      <c r="FT307" s="2"/>
      <c r="FU307" s="2"/>
      <c r="FV307" s="2"/>
      <c r="FW307" s="2"/>
      <c r="FX307" s="2"/>
      <c r="FY307" s="2"/>
      <c r="FZ307" s="2"/>
      <c r="GA307" s="2"/>
      <c r="GB307" s="2"/>
      <c r="GC307" s="2"/>
      <c r="GD307" s="2"/>
      <c r="GE307" s="2"/>
      <c r="GF307" s="2"/>
      <c r="GG307" s="2"/>
      <c r="GH307" s="2"/>
      <c r="GI307" s="2"/>
      <c r="GJ307" s="2"/>
      <c r="GK307" s="2"/>
      <c r="GL307" s="2"/>
      <c r="GM307" s="2"/>
      <c r="GN307" s="2"/>
      <c r="GO307" s="2"/>
      <c r="GP307" s="2"/>
      <c r="GQ307" s="2"/>
      <c r="GR307" s="2"/>
      <c r="GS307" s="2"/>
      <c r="GT307" s="2"/>
      <c r="GU307" s="2"/>
      <c r="GV307" s="2"/>
      <c r="GW307" s="2"/>
      <c r="GX307" s="2"/>
      <c r="GY307" s="2"/>
      <c r="GZ307" s="2"/>
      <c r="HA307" s="2"/>
      <c r="HB307" s="2"/>
      <c r="HC307" s="2"/>
      <c r="HD307" s="2"/>
      <c r="HE307" s="2"/>
      <c r="HF307" s="2"/>
      <c r="HG307" s="2"/>
      <c r="HH307" s="2"/>
      <c r="HI307" s="2"/>
      <c r="HJ307" s="2"/>
      <c r="HK307" s="2"/>
      <c r="HL307" s="2"/>
      <c r="HM307" s="2"/>
      <c r="HN307" s="2"/>
      <c r="HO307" s="2"/>
      <c r="HP307" s="2"/>
      <c r="HQ307" s="2"/>
      <c r="HR307" s="2"/>
      <c r="HS307" s="2"/>
      <c r="HT307" s="2"/>
      <c r="HU307" s="2"/>
      <c r="HV307" s="2"/>
      <c r="HW307" s="2"/>
      <c r="HX307" s="2"/>
      <c r="HY307" s="2"/>
      <c r="HZ307" s="2"/>
      <c r="IA307" s="2"/>
      <c r="IB307" s="2"/>
      <c r="IC307" s="2"/>
    </row>
    <row r="308" spans="1:237" x14ac:dyDescent="0.2">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c r="AG308" s="2"/>
      <c r="AH308" s="2"/>
      <c r="AI308" s="2"/>
      <c r="AJ308" s="2"/>
      <c r="AK308" s="2"/>
      <c r="AL308" s="2"/>
      <c r="AM308" s="2"/>
      <c r="AN308" s="2"/>
      <c r="AO308" s="2"/>
      <c r="AP308" s="2"/>
      <c r="AQ308" s="2"/>
      <c r="AR308" s="2"/>
      <c r="AS308" s="2"/>
      <c r="AT308" s="2"/>
      <c r="AU308" s="2"/>
      <c r="AV308" s="2"/>
      <c r="AW308" s="2"/>
      <c r="AX308" s="2"/>
      <c r="AY308" s="2"/>
      <c r="AZ308" s="2"/>
      <c r="BA308" s="2"/>
      <c r="BB308" s="2"/>
      <c r="BC308" s="2"/>
      <c r="BD308" s="2"/>
      <c r="BE308" s="2"/>
      <c r="BF308" s="2"/>
      <c r="BG308" s="2"/>
      <c r="BH308" s="2"/>
      <c r="BI308" s="2"/>
      <c r="BJ308" s="2"/>
      <c r="BK308" s="2"/>
      <c r="BL308" s="2"/>
      <c r="BM308" s="2"/>
      <c r="BN308" s="2"/>
      <c r="BO308" s="2"/>
      <c r="BP308" s="2"/>
      <c r="BQ308" s="2"/>
      <c r="BR308" s="2"/>
      <c r="BS308" s="2"/>
      <c r="BT308" s="2"/>
      <c r="BU308" s="2"/>
      <c r="BV308" s="2"/>
      <c r="BW308" s="2"/>
      <c r="BX308" s="2"/>
      <c r="BY308" s="2"/>
      <c r="BZ308" s="2"/>
      <c r="CA308" s="2"/>
      <c r="CB308" s="2"/>
      <c r="CC308" s="2"/>
      <c r="CD308" s="2"/>
      <c r="CE308" s="2"/>
      <c r="CF308" s="2"/>
      <c r="CG308" s="2"/>
      <c r="CH308" s="2"/>
      <c r="CI308" s="2"/>
      <c r="CJ308" s="2"/>
      <c r="CK308" s="2"/>
      <c r="CL308" s="2"/>
      <c r="CM308" s="2"/>
      <c r="CN308" s="2"/>
      <c r="CO308" s="2"/>
      <c r="CP308" s="2"/>
      <c r="CQ308" s="2"/>
      <c r="CR308" s="2"/>
      <c r="CS308" s="2"/>
      <c r="CT308" s="2"/>
      <c r="CU308" s="2"/>
      <c r="CV308" s="2"/>
      <c r="CW308" s="2"/>
      <c r="CX308" s="2"/>
      <c r="CY308" s="2"/>
      <c r="CZ308" s="2"/>
      <c r="DA308" s="2"/>
      <c r="DB308" s="2"/>
      <c r="DC308" s="2"/>
      <c r="DD308" s="2"/>
      <c r="DE308" s="2"/>
      <c r="DF308" s="2"/>
      <c r="DG308" s="2"/>
      <c r="DH308" s="2"/>
      <c r="DI308" s="2"/>
      <c r="DJ308" s="2"/>
      <c r="DK308" s="2"/>
      <c r="DL308" s="2"/>
      <c r="DM308" s="2"/>
      <c r="DN308" s="2"/>
      <c r="DO308" s="2"/>
      <c r="DP308" s="2"/>
      <c r="DQ308" s="2"/>
      <c r="DR308" s="2"/>
      <c r="DS308" s="2"/>
      <c r="DT308" s="2"/>
      <c r="DU308" s="2"/>
      <c r="DV308" s="2"/>
      <c r="DW308" s="2"/>
      <c r="DX308" s="2"/>
      <c r="DY308" s="2"/>
      <c r="DZ308" s="2"/>
      <c r="EA308" s="2"/>
      <c r="EB308" s="2"/>
      <c r="EC308" s="2"/>
      <c r="ED308" s="2"/>
      <c r="EE308" s="2"/>
      <c r="EF308" s="2"/>
      <c r="EG308" s="2"/>
      <c r="EH308" s="2"/>
      <c r="EI308" s="2"/>
      <c r="EJ308" s="2"/>
      <c r="EK308" s="2"/>
      <c r="EL308" s="2"/>
      <c r="EM308" s="2"/>
      <c r="EN308" s="2"/>
      <c r="EO308" s="2"/>
      <c r="EP308" s="2"/>
      <c r="EQ308" s="2"/>
      <c r="ER308" s="2"/>
      <c r="ES308" s="2"/>
      <c r="ET308" s="2"/>
      <c r="EU308" s="2"/>
      <c r="EV308" s="2"/>
      <c r="EW308" s="2"/>
      <c r="EX308" s="2"/>
      <c r="EY308" s="2"/>
      <c r="EZ308" s="2"/>
      <c r="FA308" s="2"/>
      <c r="FB308" s="2"/>
      <c r="FC308" s="2"/>
      <c r="FD308" s="2"/>
      <c r="FE308" s="2"/>
      <c r="FF308" s="2"/>
      <c r="FG308" s="2"/>
      <c r="FH308" s="2"/>
      <c r="FI308" s="2"/>
      <c r="FJ308" s="2"/>
      <c r="FK308" s="2"/>
      <c r="FL308" s="2"/>
      <c r="FM308" s="2"/>
      <c r="FN308" s="2"/>
      <c r="FO308" s="2"/>
      <c r="FP308" s="2"/>
      <c r="FQ308" s="2"/>
      <c r="FR308" s="2"/>
      <c r="FS308" s="2"/>
      <c r="FT308" s="2"/>
      <c r="FU308" s="2"/>
      <c r="FV308" s="2"/>
      <c r="FW308" s="2"/>
      <c r="FX308" s="2"/>
      <c r="FY308" s="2"/>
      <c r="FZ308" s="2"/>
      <c r="GA308" s="2"/>
      <c r="GB308" s="2"/>
      <c r="GC308" s="2"/>
      <c r="GD308" s="2"/>
      <c r="GE308" s="2"/>
      <c r="GF308" s="2"/>
      <c r="GG308" s="2"/>
      <c r="GH308" s="2"/>
      <c r="GI308" s="2"/>
      <c r="GJ308" s="2"/>
      <c r="GK308" s="2"/>
      <c r="GL308" s="2"/>
      <c r="GM308" s="2"/>
      <c r="GN308" s="2"/>
      <c r="GO308" s="2"/>
      <c r="GP308" s="2"/>
      <c r="GQ308" s="2"/>
      <c r="GR308" s="2"/>
      <c r="GS308" s="2"/>
      <c r="GT308" s="2"/>
      <c r="GU308" s="2"/>
      <c r="GV308" s="2"/>
      <c r="GW308" s="2"/>
      <c r="GX308" s="2"/>
      <c r="GY308" s="2"/>
      <c r="GZ308" s="2"/>
      <c r="HA308" s="2"/>
      <c r="HB308" s="2"/>
      <c r="HC308" s="2"/>
      <c r="HD308" s="2"/>
      <c r="HE308" s="2"/>
      <c r="HF308" s="2"/>
      <c r="HG308" s="2"/>
      <c r="HH308" s="2"/>
      <c r="HI308" s="2"/>
      <c r="HJ308" s="2"/>
      <c r="HK308" s="2"/>
      <c r="HL308" s="2"/>
      <c r="HM308" s="2"/>
      <c r="HN308" s="2"/>
      <c r="HO308" s="2"/>
      <c r="HP308" s="2"/>
      <c r="HQ308" s="2"/>
      <c r="HR308" s="2"/>
      <c r="HS308" s="2"/>
      <c r="HT308" s="2"/>
      <c r="HU308" s="2"/>
      <c r="HV308" s="2"/>
      <c r="HW308" s="2"/>
      <c r="HX308" s="2"/>
      <c r="HY308" s="2"/>
      <c r="HZ308" s="2"/>
      <c r="IA308" s="2"/>
      <c r="IB308" s="2"/>
      <c r="IC308" s="2"/>
    </row>
    <row r="309" spans="1:237" x14ac:dyDescent="0.2">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c r="AG309" s="2"/>
      <c r="AH309" s="2"/>
      <c r="AI309" s="2"/>
      <c r="AJ309" s="2"/>
      <c r="AK309" s="2"/>
      <c r="AL309" s="2"/>
      <c r="AM309" s="2"/>
      <c r="AN309" s="2"/>
      <c r="AO309" s="2"/>
      <c r="AP309" s="2"/>
      <c r="AQ309" s="2"/>
      <c r="AR309" s="2"/>
      <c r="AS309" s="2"/>
      <c r="AT309" s="2"/>
      <c r="AU309" s="2"/>
      <c r="AV309" s="2"/>
      <c r="AW309" s="2"/>
      <c r="AX309" s="2"/>
      <c r="AY309" s="2"/>
      <c r="AZ309" s="2"/>
      <c r="BA309" s="2"/>
      <c r="BB309" s="2"/>
      <c r="BC309" s="2"/>
      <c r="BD309" s="2"/>
      <c r="BE309" s="2"/>
      <c r="BF309" s="2"/>
      <c r="BG309" s="2"/>
      <c r="BH309" s="2"/>
      <c r="BI309" s="2"/>
      <c r="BJ309" s="2"/>
      <c r="BK309" s="2"/>
      <c r="BL309" s="2"/>
      <c r="BM309" s="2"/>
      <c r="BN309" s="2"/>
      <c r="BO309" s="2"/>
      <c r="BP309" s="2"/>
      <c r="BQ309" s="2"/>
      <c r="BR309" s="2"/>
      <c r="BS309" s="2"/>
      <c r="BT309" s="2"/>
      <c r="BU309" s="2"/>
      <c r="BV309" s="2"/>
      <c r="BW309" s="2"/>
      <c r="BX309" s="2"/>
      <c r="BY309" s="2"/>
      <c r="BZ309" s="2"/>
      <c r="CA309" s="2"/>
      <c r="CB309" s="2"/>
      <c r="CC309" s="2"/>
      <c r="CD309" s="2"/>
      <c r="CE309" s="2"/>
      <c r="CF309" s="2"/>
      <c r="CG309" s="2"/>
      <c r="CH309" s="2"/>
      <c r="CI309" s="2"/>
      <c r="CJ309" s="2"/>
      <c r="CK309" s="2"/>
      <c r="CL309" s="2"/>
      <c r="CM309" s="2"/>
      <c r="CN309" s="2"/>
      <c r="CO309" s="2"/>
      <c r="CP309" s="2"/>
      <c r="CQ309" s="2"/>
      <c r="CR309" s="2"/>
      <c r="CS309" s="2"/>
      <c r="CT309" s="2"/>
      <c r="CU309" s="2"/>
      <c r="CV309" s="2"/>
      <c r="CW309" s="2"/>
      <c r="CX309" s="2"/>
      <c r="CY309" s="2"/>
      <c r="CZ309" s="2"/>
      <c r="DA309" s="2"/>
      <c r="DB309" s="2"/>
      <c r="DC309" s="2"/>
      <c r="DD309" s="2"/>
      <c r="DE309" s="2"/>
      <c r="DF309" s="2"/>
      <c r="DG309" s="2"/>
      <c r="DH309" s="2"/>
      <c r="DI309" s="2"/>
      <c r="DJ309" s="2"/>
      <c r="DK309" s="2"/>
      <c r="DL309" s="2"/>
      <c r="DM309" s="2"/>
      <c r="DN309" s="2"/>
      <c r="DO309" s="2"/>
      <c r="DP309" s="2"/>
      <c r="DQ309" s="2"/>
      <c r="DR309" s="2"/>
      <c r="DS309" s="2"/>
      <c r="DT309" s="2"/>
      <c r="DU309" s="2"/>
      <c r="DV309" s="2"/>
      <c r="DW309" s="2"/>
      <c r="DX309" s="2"/>
      <c r="DY309" s="2"/>
      <c r="DZ309" s="2"/>
      <c r="EA309" s="2"/>
      <c r="EB309" s="2"/>
      <c r="EC309" s="2"/>
      <c r="ED309" s="2"/>
      <c r="EE309" s="2"/>
      <c r="EF309" s="2"/>
      <c r="EG309" s="2"/>
      <c r="EH309" s="2"/>
      <c r="EI309" s="2"/>
      <c r="EJ309" s="2"/>
      <c r="EK309" s="2"/>
      <c r="EL309" s="2"/>
      <c r="EM309" s="2"/>
      <c r="EN309" s="2"/>
      <c r="EO309" s="2"/>
      <c r="EP309" s="2"/>
      <c r="EQ309" s="2"/>
      <c r="ER309" s="2"/>
      <c r="ES309" s="2"/>
      <c r="ET309" s="2"/>
      <c r="EU309" s="2"/>
      <c r="EV309" s="2"/>
      <c r="EW309" s="2"/>
      <c r="EX309" s="2"/>
      <c r="EY309" s="2"/>
      <c r="EZ309" s="2"/>
      <c r="FA309" s="2"/>
      <c r="FB309" s="2"/>
      <c r="FC309" s="2"/>
      <c r="FD309" s="2"/>
      <c r="FE309" s="2"/>
      <c r="FF309" s="2"/>
      <c r="FG309" s="2"/>
      <c r="FH309" s="2"/>
      <c r="FI309" s="2"/>
      <c r="FJ309" s="2"/>
      <c r="FK309" s="2"/>
      <c r="FL309" s="2"/>
      <c r="FM309" s="2"/>
      <c r="FN309" s="2"/>
      <c r="FO309" s="2"/>
      <c r="FP309" s="2"/>
      <c r="FQ309" s="2"/>
      <c r="FR309" s="2"/>
      <c r="FS309" s="2"/>
      <c r="FT309" s="2"/>
      <c r="FU309" s="2"/>
      <c r="FV309" s="2"/>
      <c r="FW309" s="2"/>
      <c r="FX309" s="2"/>
      <c r="FY309" s="2"/>
      <c r="FZ309" s="2"/>
      <c r="GA309" s="2"/>
      <c r="GB309" s="2"/>
      <c r="GC309" s="2"/>
      <c r="GD309" s="2"/>
      <c r="GE309" s="2"/>
      <c r="GF309" s="2"/>
      <c r="GG309" s="2"/>
      <c r="GH309" s="2"/>
      <c r="GI309" s="2"/>
      <c r="GJ309" s="2"/>
      <c r="GK309" s="2"/>
      <c r="GL309" s="2"/>
      <c r="GM309" s="2"/>
      <c r="GN309" s="2"/>
      <c r="GO309" s="2"/>
      <c r="GP309" s="2"/>
      <c r="GQ309" s="2"/>
      <c r="GR309" s="2"/>
      <c r="GS309" s="2"/>
      <c r="GT309" s="2"/>
      <c r="GU309" s="2"/>
      <c r="GV309" s="2"/>
      <c r="GW309" s="2"/>
      <c r="GX309" s="2"/>
      <c r="GY309" s="2"/>
      <c r="GZ309" s="2"/>
      <c r="HA309" s="2"/>
      <c r="HB309" s="2"/>
      <c r="HC309" s="2"/>
      <c r="HD309" s="2"/>
      <c r="HE309" s="2"/>
      <c r="HF309" s="2"/>
      <c r="HG309" s="2"/>
      <c r="HH309" s="2"/>
      <c r="HI309" s="2"/>
      <c r="HJ309" s="2"/>
      <c r="HK309" s="2"/>
      <c r="HL309" s="2"/>
      <c r="HM309" s="2"/>
      <c r="HN309" s="2"/>
      <c r="HO309" s="2"/>
      <c r="HP309" s="2"/>
      <c r="HQ309" s="2"/>
      <c r="HR309" s="2"/>
      <c r="HS309" s="2"/>
      <c r="HT309" s="2"/>
      <c r="HU309" s="2"/>
      <c r="HV309" s="2"/>
      <c r="HW309" s="2"/>
      <c r="HX309" s="2"/>
      <c r="HY309" s="2"/>
      <c r="HZ309" s="2"/>
      <c r="IA309" s="2"/>
      <c r="IB309" s="2"/>
      <c r="IC309" s="2"/>
    </row>
    <row r="310" spans="1:237" x14ac:dyDescent="0.2">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c r="AG310" s="2"/>
      <c r="AH310" s="2"/>
      <c r="AI310" s="2"/>
      <c r="AJ310" s="2"/>
      <c r="AK310" s="2"/>
      <c r="AL310" s="2"/>
      <c r="AM310" s="2"/>
      <c r="AN310" s="2"/>
      <c r="AO310" s="2"/>
      <c r="AP310" s="2"/>
      <c r="AQ310" s="2"/>
      <c r="AR310" s="2"/>
      <c r="AS310" s="2"/>
      <c r="AT310" s="2"/>
      <c r="AU310" s="2"/>
      <c r="AV310" s="2"/>
      <c r="AW310" s="2"/>
      <c r="AX310" s="2"/>
      <c r="AY310" s="2"/>
      <c r="AZ310" s="2"/>
      <c r="BA310" s="2"/>
      <c r="BB310" s="2"/>
      <c r="BC310" s="2"/>
      <c r="BD310" s="2"/>
      <c r="BE310" s="2"/>
      <c r="BF310" s="2"/>
      <c r="BG310" s="2"/>
      <c r="BH310" s="2"/>
      <c r="BI310" s="2"/>
      <c r="BJ310" s="2"/>
      <c r="BK310" s="2"/>
      <c r="BL310" s="2"/>
      <c r="BM310" s="2"/>
      <c r="BN310" s="2"/>
      <c r="BO310" s="2"/>
      <c r="BP310" s="2"/>
      <c r="BQ310" s="2"/>
      <c r="BR310" s="2"/>
      <c r="BS310" s="2"/>
      <c r="BT310" s="2"/>
      <c r="BU310" s="2"/>
      <c r="BV310" s="2"/>
      <c r="BW310" s="2"/>
      <c r="BX310" s="2"/>
      <c r="BY310" s="2"/>
      <c r="BZ310" s="2"/>
      <c r="CA310" s="2"/>
      <c r="CB310" s="2"/>
      <c r="CC310" s="2"/>
      <c r="CD310" s="2"/>
      <c r="CE310" s="2"/>
      <c r="CF310" s="2"/>
      <c r="CG310" s="2"/>
      <c r="CH310" s="2"/>
      <c r="CI310" s="2"/>
      <c r="CJ310" s="2"/>
      <c r="CK310" s="2"/>
      <c r="CL310" s="2"/>
      <c r="CM310" s="2"/>
      <c r="CN310" s="2"/>
      <c r="CO310" s="2"/>
      <c r="CP310" s="2"/>
      <c r="CQ310" s="2"/>
      <c r="CR310" s="2"/>
      <c r="CS310" s="2"/>
      <c r="CT310" s="2"/>
      <c r="CU310" s="2"/>
      <c r="CV310" s="2"/>
      <c r="CW310" s="2"/>
      <c r="CX310" s="2"/>
      <c r="CY310" s="2"/>
      <c r="CZ310" s="2"/>
      <c r="DA310" s="2"/>
      <c r="DB310" s="2"/>
      <c r="DC310" s="2"/>
      <c r="DD310" s="2"/>
      <c r="DE310" s="2"/>
      <c r="DF310" s="2"/>
      <c r="DG310" s="2"/>
      <c r="DH310" s="2"/>
      <c r="DI310" s="2"/>
      <c r="DJ310" s="2"/>
      <c r="DK310" s="2"/>
      <c r="DL310" s="2"/>
      <c r="DM310" s="2"/>
      <c r="DN310" s="2"/>
      <c r="DO310" s="2"/>
      <c r="DP310" s="2"/>
      <c r="DQ310" s="2"/>
      <c r="DR310" s="2"/>
      <c r="DS310" s="2"/>
      <c r="DT310" s="2"/>
      <c r="DU310" s="2"/>
      <c r="DV310" s="2"/>
      <c r="DW310" s="2"/>
      <c r="DX310" s="2"/>
      <c r="DY310" s="2"/>
      <c r="DZ310" s="2"/>
      <c r="EA310" s="2"/>
      <c r="EB310" s="2"/>
      <c r="EC310" s="2"/>
      <c r="ED310" s="2"/>
      <c r="EE310" s="2"/>
      <c r="EF310" s="2"/>
      <c r="EG310" s="2"/>
      <c r="EH310" s="2"/>
      <c r="EI310" s="2"/>
      <c r="EJ310" s="2"/>
      <c r="EK310" s="2"/>
      <c r="EL310" s="2"/>
      <c r="EM310" s="2"/>
      <c r="EN310" s="2"/>
      <c r="EO310" s="2"/>
      <c r="EP310" s="2"/>
      <c r="EQ310" s="2"/>
      <c r="ER310" s="2"/>
      <c r="ES310" s="2"/>
      <c r="ET310" s="2"/>
      <c r="EU310" s="2"/>
      <c r="EV310" s="2"/>
      <c r="EW310" s="2"/>
      <c r="EX310" s="2"/>
      <c r="EY310" s="2"/>
      <c r="EZ310" s="2"/>
      <c r="FA310" s="2"/>
      <c r="FB310" s="2"/>
      <c r="FC310" s="2"/>
      <c r="FD310" s="2"/>
      <c r="FE310" s="2"/>
      <c r="FF310" s="2"/>
      <c r="FG310" s="2"/>
      <c r="FH310" s="2"/>
      <c r="FI310" s="2"/>
      <c r="FJ310" s="2"/>
      <c r="FK310" s="2"/>
      <c r="FL310" s="2"/>
      <c r="FM310" s="2"/>
      <c r="FN310" s="2"/>
      <c r="FO310" s="2"/>
      <c r="FP310" s="2"/>
      <c r="FQ310" s="2"/>
      <c r="FR310" s="2"/>
      <c r="FS310" s="2"/>
      <c r="FT310" s="2"/>
      <c r="FU310" s="2"/>
      <c r="FV310" s="2"/>
      <c r="FW310" s="2"/>
      <c r="FX310" s="2"/>
      <c r="FY310" s="2"/>
      <c r="FZ310" s="2"/>
      <c r="GA310" s="2"/>
      <c r="GB310" s="2"/>
      <c r="GC310" s="2"/>
      <c r="GD310" s="2"/>
      <c r="GE310" s="2"/>
      <c r="GF310" s="2"/>
      <c r="GG310" s="2"/>
      <c r="GH310" s="2"/>
      <c r="GI310" s="2"/>
      <c r="GJ310" s="2"/>
      <c r="GK310" s="2"/>
      <c r="GL310" s="2"/>
      <c r="GM310" s="2"/>
      <c r="GN310" s="2"/>
      <c r="GO310" s="2"/>
      <c r="GP310" s="2"/>
      <c r="GQ310" s="2"/>
      <c r="GR310" s="2"/>
      <c r="GS310" s="2"/>
      <c r="GT310" s="2"/>
      <c r="GU310" s="2"/>
      <c r="GV310" s="2"/>
      <c r="GW310" s="2"/>
      <c r="GX310" s="2"/>
      <c r="GY310" s="2"/>
      <c r="GZ310" s="2"/>
      <c r="HA310" s="2"/>
      <c r="HB310" s="2"/>
      <c r="HC310" s="2"/>
      <c r="HD310" s="2"/>
      <c r="HE310" s="2"/>
      <c r="HF310" s="2"/>
      <c r="HG310" s="2"/>
      <c r="HH310" s="2"/>
      <c r="HI310" s="2"/>
      <c r="HJ310" s="2"/>
      <c r="HK310" s="2"/>
      <c r="HL310" s="2"/>
      <c r="HM310" s="2"/>
      <c r="HN310" s="2"/>
      <c r="HO310" s="2"/>
      <c r="HP310" s="2"/>
      <c r="HQ310" s="2"/>
      <c r="HR310" s="2"/>
      <c r="HS310" s="2"/>
      <c r="HT310" s="2"/>
      <c r="HU310" s="2"/>
      <c r="HV310" s="2"/>
      <c r="HW310" s="2"/>
      <c r="HX310" s="2"/>
      <c r="HY310" s="2"/>
      <c r="HZ310" s="2"/>
      <c r="IA310" s="2"/>
      <c r="IB310" s="2"/>
      <c r="IC310" s="2"/>
    </row>
    <row r="311" spans="1:237" x14ac:dyDescent="0.2">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c r="AG311" s="2"/>
      <c r="AH311" s="2"/>
      <c r="AI311" s="2"/>
      <c r="AJ311" s="2"/>
      <c r="AK311" s="2"/>
      <c r="AL311" s="2"/>
      <c r="AM311" s="2"/>
      <c r="AN311" s="2"/>
      <c r="AO311" s="2"/>
      <c r="AP311" s="2"/>
      <c r="AQ311" s="2"/>
      <c r="AR311" s="2"/>
      <c r="AS311" s="2"/>
      <c r="AT311" s="2"/>
      <c r="AU311" s="2"/>
      <c r="AV311" s="2"/>
      <c r="AW311" s="2"/>
      <c r="AX311" s="2"/>
      <c r="AY311" s="2"/>
      <c r="AZ311" s="2"/>
      <c r="BA311" s="2"/>
      <c r="BB311" s="2"/>
      <c r="BC311" s="2"/>
      <c r="BD311" s="2"/>
      <c r="BE311" s="2"/>
      <c r="BF311" s="2"/>
      <c r="BG311" s="2"/>
      <c r="BH311" s="2"/>
      <c r="BI311" s="2"/>
      <c r="BJ311" s="2"/>
      <c r="BK311" s="2"/>
      <c r="BL311" s="2"/>
      <c r="BM311" s="2"/>
      <c r="BN311" s="2"/>
      <c r="BO311" s="2"/>
      <c r="BP311" s="2"/>
      <c r="BQ311" s="2"/>
      <c r="BR311" s="2"/>
      <c r="BS311" s="2"/>
      <c r="BT311" s="2"/>
      <c r="BU311" s="2"/>
      <c r="BV311" s="2"/>
      <c r="BW311" s="2"/>
      <c r="BX311" s="2"/>
      <c r="BY311" s="2"/>
      <c r="BZ311" s="2"/>
      <c r="CA311" s="2"/>
      <c r="CB311" s="2"/>
      <c r="CC311" s="2"/>
      <c r="CD311" s="2"/>
      <c r="CE311" s="2"/>
      <c r="CF311" s="2"/>
      <c r="CG311" s="2"/>
      <c r="CH311" s="2"/>
      <c r="CI311" s="2"/>
      <c r="CJ311" s="2"/>
      <c r="CK311" s="2"/>
      <c r="CL311" s="2"/>
      <c r="CM311" s="2"/>
      <c r="CN311" s="2"/>
      <c r="CO311" s="2"/>
      <c r="CP311" s="2"/>
      <c r="CQ311" s="2"/>
      <c r="CR311" s="2"/>
      <c r="CS311" s="2"/>
      <c r="CT311" s="2"/>
      <c r="CU311" s="2"/>
      <c r="CV311" s="2"/>
      <c r="CW311" s="2"/>
      <c r="CX311" s="2"/>
      <c r="CY311" s="2"/>
      <c r="CZ311" s="2"/>
      <c r="DA311" s="2"/>
      <c r="DB311" s="2"/>
      <c r="DC311" s="2"/>
      <c r="DD311" s="2"/>
      <c r="DE311" s="2"/>
      <c r="DF311" s="2"/>
      <c r="DG311" s="2"/>
      <c r="DH311" s="2"/>
      <c r="DI311" s="2"/>
      <c r="DJ311" s="2"/>
      <c r="DK311" s="2"/>
      <c r="DL311" s="2"/>
      <c r="DM311" s="2"/>
      <c r="DN311" s="2"/>
      <c r="DO311" s="2"/>
      <c r="DP311" s="2"/>
      <c r="DQ311" s="2"/>
      <c r="DR311" s="2"/>
      <c r="DS311" s="2"/>
      <c r="DT311" s="2"/>
      <c r="DU311" s="2"/>
      <c r="DV311" s="2"/>
      <c r="DW311" s="2"/>
      <c r="DX311" s="2"/>
      <c r="DY311" s="2"/>
      <c r="DZ311" s="2"/>
      <c r="EA311" s="2"/>
      <c r="EB311" s="2"/>
      <c r="EC311" s="2"/>
      <c r="ED311" s="2"/>
      <c r="EE311" s="2"/>
      <c r="EF311" s="2"/>
      <c r="EG311" s="2"/>
      <c r="EH311" s="2"/>
      <c r="EI311" s="2"/>
      <c r="EJ311" s="2"/>
      <c r="EK311" s="2"/>
      <c r="EL311" s="2"/>
      <c r="EM311" s="2"/>
      <c r="EN311" s="2"/>
      <c r="EO311" s="2"/>
      <c r="EP311" s="2"/>
      <c r="EQ311" s="2"/>
      <c r="ER311" s="2"/>
      <c r="ES311" s="2"/>
      <c r="ET311" s="2"/>
      <c r="EU311" s="2"/>
      <c r="EV311" s="2"/>
      <c r="EW311" s="2"/>
      <c r="EX311" s="2"/>
      <c r="EY311" s="2"/>
      <c r="EZ311" s="2"/>
      <c r="FA311" s="2"/>
      <c r="FB311" s="2"/>
      <c r="FC311" s="2"/>
      <c r="FD311" s="2"/>
      <c r="FE311" s="2"/>
      <c r="FF311" s="2"/>
      <c r="FG311" s="2"/>
      <c r="FH311" s="2"/>
      <c r="FI311" s="2"/>
      <c r="FJ311" s="2"/>
      <c r="FK311" s="2"/>
      <c r="FL311" s="2"/>
      <c r="FM311" s="2"/>
      <c r="FN311" s="2"/>
      <c r="FO311" s="2"/>
      <c r="FP311" s="2"/>
      <c r="FQ311" s="2"/>
      <c r="FR311" s="2"/>
      <c r="FS311" s="2"/>
      <c r="FT311" s="2"/>
      <c r="FU311" s="2"/>
      <c r="FV311" s="2"/>
      <c r="FW311" s="2"/>
      <c r="FX311" s="2"/>
      <c r="FY311" s="2"/>
      <c r="FZ311" s="2"/>
      <c r="GA311" s="2"/>
      <c r="GB311" s="2"/>
      <c r="GC311" s="2"/>
      <c r="GD311" s="2"/>
      <c r="GE311" s="2"/>
      <c r="GF311" s="2"/>
      <c r="GG311" s="2"/>
      <c r="GH311" s="2"/>
      <c r="GI311" s="2"/>
      <c r="GJ311" s="2"/>
      <c r="GK311" s="2"/>
      <c r="GL311" s="2"/>
      <c r="GM311" s="2"/>
      <c r="GN311" s="2"/>
      <c r="GO311" s="2"/>
      <c r="GP311" s="2"/>
      <c r="GQ311" s="2"/>
      <c r="GR311" s="2"/>
      <c r="GS311" s="2"/>
      <c r="GT311" s="2"/>
      <c r="GU311" s="2"/>
      <c r="GV311" s="2"/>
      <c r="GW311" s="2"/>
      <c r="GX311" s="2"/>
      <c r="GY311" s="2"/>
      <c r="GZ311" s="2"/>
      <c r="HA311" s="2"/>
      <c r="HB311" s="2"/>
      <c r="HC311" s="2"/>
      <c r="HD311" s="2"/>
      <c r="HE311" s="2"/>
      <c r="HF311" s="2"/>
      <c r="HG311" s="2"/>
      <c r="HH311" s="2"/>
      <c r="HI311" s="2"/>
      <c r="HJ311" s="2"/>
      <c r="HK311" s="2"/>
      <c r="HL311" s="2"/>
      <c r="HM311" s="2"/>
      <c r="HN311" s="2"/>
      <c r="HO311" s="2"/>
      <c r="HP311" s="2"/>
      <c r="HQ311" s="2"/>
      <c r="HR311" s="2"/>
      <c r="HS311" s="2"/>
      <c r="HT311" s="2"/>
      <c r="HU311" s="2"/>
      <c r="HV311" s="2"/>
      <c r="HW311" s="2"/>
      <c r="HX311" s="2"/>
      <c r="HY311" s="2"/>
      <c r="HZ311" s="2"/>
      <c r="IA311" s="2"/>
      <c r="IB311" s="2"/>
      <c r="IC311" s="2"/>
    </row>
    <row r="312" spans="1:237" x14ac:dyDescent="0.2">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c r="AG312" s="2"/>
      <c r="AH312" s="2"/>
      <c r="AI312" s="2"/>
      <c r="AJ312" s="2"/>
      <c r="AK312" s="2"/>
      <c r="AL312" s="2"/>
      <c r="AM312" s="2"/>
      <c r="AN312" s="2"/>
      <c r="AO312" s="2"/>
      <c r="AP312" s="2"/>
      <c r="AQ312" s="2"/>
      <c r="AR312" s="2"/>
      <c r="AS312" s="2"/>
      <c r="AT312" s="2"/>
      <c r="AU312" s="2"/>
      <c r="AV312" s="2"/>
      <c r="AW312" s="2"/>
      <c r="AX312" s="2"/>
      <c r="AY312" s="2"/>
      <c r="AZ312" s="2"/>
      <c r="BA312" s="2"/>
      <c r="BB312" s="2"/>
      <c r="BC312" s="2"/>
      <c r="BD312" s="2"/>
      <c r="BE312" s="2"/>
      <c r="BF312" s="2"/>
      <c r="BG312" s="2"/>
      <c r="BH312" s="2"/>
      <c r="BI312" s="2"/>
      <c r="BJ312" s="2"/>
      <c r="BK312" s="2"/>
      <c r="BL312" s="2"/>
      <c r="BM312" s="2"/>
      <c r="BN312" s="2"/>
      <c r="BO312" s="2"/>
      <c r="BP312" s="2"/>
      <c r="BQ312" s="2"/>
      <c r="BR312" s="2"/>
      <c r="BS312" s="2"/>
      <c r="BT312" s="2"/>
      <c r="BU312" s="2"/>
      <c r="BV312" s="2"/>
      <c r="BW312" s="2"/>
      <c r="BX312" s="2"/>
      <c r="BY312" s="2"/>
      <c r="BZ312" s="2"/>
      <c r="CA312" s="2"/>
      <c r="CB312" s="2"/>
      <c r="CC312" s="2"/>
      <c r="CD312" s="2"/>
      <c r="CE312" s="2"/>
      <c r="CF312" s="2"/>
      <c r="CG312" s="2"/>
      <c r="CH312" s="2"/>
      <c r="CI312" s="2"/>
      <c r="CJ312" s="2"/>
      <c r="CK312" s="2"/>
      <c r="CL312" s="2"/>
      <c r="CM312" s="2"/>
      <c r="CN312" s="2"/>
      <c r="CO312" s="2"/>
      <c r="CP312" s="2"/>
      <c r="CQ312" s="2"/>
      <c r="CR312" s="2"/>
      <c r="CS312" s="2"/>
      <c r="CT312" s="2"/>
      <c r="CU312" s="2"/>
      <c r="CV312" s="2"/>
      <c r="CW312" s="2"/>
      <c r="CX312" s="2"/>
      <c r="CY312" s="2"/>
      <c r="CZ312" s="2"/>
      <c r="DA312" s="2"/>
      <c r="DB312" s="2"/>
      <c r="DC312" s="2"/>
      <c r="DD312" s="2"/>
      <c r="DE312" s="2"/>
      <c r="DF312" s="2"/>
      <c r="DG312" s="2"/>
      <c r="DH312" s="2"/>
      <c r="DI312" s="2"/>
      <c r="DJ312" s="2"/>
      <c r="DK312" s="2"/>
      <c r="DL312" s="2"/>
      <c r="DM312" s="2"/>
      <c r="DN312" s="2"/>
      <c r="DO312" s="2"/>
      <c r="DP312" s="2"/>
      <c r="DQ312" s="2"/>
      <c r="DR312" s="2"/>
      <c r="DS312" s="2"/>
      <c r="DT312" s="2"/>
      <c r="DU312" s="2"/>
      <c r="DV312" s="2"/>
      <c r="DW312" s="2"/>
      <c r="DX312" s="2"/>
      <c r="DY312" s="2"/>
      <c r="DZ312" s="2"/>
      <c r="EA312" s="2"/>
      <c r="EB312" s="2"/>
      <c r="EC312" s="2"/>
      <c r="ED312" s="2"/>
      <c r="EE312" s="2"/>
      <c r="EF312" s="2"/>
      <c r="EG312" s="2"/>
      <c r="EH312" s="2"/>
      <c r="EI312" s="2"/>
      <c r="EJ312" s="2"/>
      <c r="EK312" s="2"/>
      <c r="EL312" s="2"/>
      <c r="EM312" s="2"/>
      <c r="EN312" s="2"/>
      <c r="EO312" s="2"/>
      <c r="EP312" s="2"/>
      <c r="EQ312" s="2"/>
      <c r="ER312" s="2"/>
      <c r="ES312" s="2"/>
      <c r="ET312" s="2"/>
      <c r="EU312" s="2"/>
      <c r="EV312" s="2"/>
      <c r="EW312" s="2"/>
      <c r="EX312" s="2"/>
      <c r="EY312" s="2"/>
      <c r="EZ312" s="2"/>
      <c r="FA312" s="2"/>
      <c r="FB312" s="2"/>
      <c r="FC312" s="2"/>
      <c r="FD312" s="2"/>
      <c r="FE312" s="2"/>
      <c r="FF312" s="2"/>
      <c r="FG312" s="2"/>
      <c r="FH312" s="2"/>
      <c r="FI312" s="2"/>
      <c r="FJ312" s="2"/>
      <c r="FK312" s="2"/>
      <c r="FL312" s="2"/>
      <c r="FM312" s="2"/>
      <c r="FN312" s="2"/>
      <c r="FO312" s="2"/>
      <c r="FP312" s="2"/>
      <c r="FQ312" s="2"/>
      <c r="FR312" s="2"/>
      <c r="FS312" s="2"/>
      <c r="FT312" s="2"/>
      <c r="FU312" s="2"/>
      <c r="FV312" s="2"/>
      <c r="FW312" s="2"/>
      <c r="FX312" s="2"/>
      <c r="FY312" s="2"/>
      <c r="FZ312" s="2"/>
      <c r="GA312" s="2"/>
      <c r="GB312" s="2"/>
      <c r="GC312" s="2"/>
      <c r="GD312" s="2"/>
      <c r="GE312" s="2"/>
      <c r="GF312" s="2"/>
      <c r="GG312" s="2"/>
      <c r="GH312" s="2"/>
      <c r="GI312" s="2"/>
      <c r="GJ312" s="2"/>
      <c r="GK312" s="2"/>
      <c r="GL312" s="2"/>
      <c r="GM312" s="2"/>
      <c r="GN312" s="2"/>
      <c r="GO312" s="2"/>
      <c r="GP312" s="2"/>
      <c r="GQ312" s="2"/>
      <c r="GR312" s="2"/>
      <c r="GS312" s="2"/>
      <c r="GT312" s="2"/>
      <c r="GU312" s="2"/>
      <c r="GV312" s="2"/>
      <c r="GW312" s="2"/>
      <c r="GX312" s="2"/>
      <c r="GY312" s="2"/>
      <c r="GZ312" s="2"/>
      <c r="HA312" s="2"/>
      <c r="HB312" s="2"/>
      <c r="HC312" s="2"/>
      <c r="HD312" s="2"/>
      <c r="HE312" s="2"/>
      <c r="HF312" s="2"/>
      <c r="HG312" s="2"/>
      <c r="HH312" s="2"/>
      <c r="HI312" s="2"/>
      <c r="HJ312" s="2"/>
      <c r="HK312" s="2"/>
      <c r="HL312" s="2"/>
      <c r="HM312" s="2"/>
      <c r="HN312" s="2"/>
      <c r="HO312" s="2"/>
      <c r="HP312" s="2"/>
      <c r="HQ312" s="2"/>
      <c r="HR312" s="2"/>
      <c r="HS312" s="2"/>
      <c r="HT312" s="2"/>
      <c r="HU312" s="2"/>
      <c r="HV312" s="2"/>
      <c r="HW312" s="2"/>
      <c r="HX312" s="2"/>
      <c r="HY312" s="2"/>
      <c r="HZ312" s="2"/>
      <c r="IA312" s="2"/>
      <c r="IB312" s="2"/>
      <c r="IC312" s="2"/>
    </row>
    <row r="313" spans="1:237" x14ac:dyDescent="0.2">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c r="AG313" s="2"/>
      <c r="AH313" s="2"/>
      <c r="AI313" s="2"/>
      <c r="AJ313" s="2"/>
      <c r="AK313" s="2"/>
      <c r="AL313" s="2"/>
      <c r="AM313" s="2"/>
      <c r="AN313" s="2"/>
      <c r="AO313" s="2"/>
      <c r="AP313" s="2"/>
      <c r="AQ313" s="2"/>
      <c r="AR313" s="2"/>
      <c r="AS313" s="2"/>
      <c r="AT313" s="2"/>
      <c r="AU313" s="2"/>
      <c r="AV313" s="2"/>
      <c r="AW313" s="2"/>
      <c r="AX313" s="2"/>
      <c r="AY313" s="2"/>
      <c r="AZ313" s="2"/>
      <c r="BA313" s="2"/>
      <c r="BB313" s="2"/>
      <c r="BC313" s="2"/>
      <c r="BD313" s="2"/>
      <c r="BE313" s="2"/>
      <c r="BF313" s="2"/>
      <c r="BG313" s="2"/>
      <c r="BH313" s="2"/>
      <c r="BI313" s="2"/>
      <c r="BJ313" s="2"/>
      <c r="BK313" s="2"/>
      <c r="BL313" s="2"/>
      <c r="BM313" s="2"/>
      <c r="BN313" s="2"/>
      <c r="BO313" s="2"/>
      <c r="BP313" s="2"/>
      <c r="BQ313" s="2"/>
      <c r="BR313" s="2"/>
      <c r="BS313" s="2"/>
      <c r="BT313" s="2"/>
      <c r="BU313" s="2"/>
      <c r="BV313" s="2"/>
      <c r="BW313" s="2"/>
      <c r="BX313" s="2"/>
      <c r="BY313" s="2"/>
      <c r="BZ313" s="2"/>
      <c r="CA313" s="2"/>
      <c r="CB313" s="2"/>
      <c r="CC313" s="2"/>
      <c r="CD313" s="2"/>
      <c r="CE313" s="2"/>
      <c r="CF313" s="2"/>
      <c r="CG313" s="2"/>
      <c r="CH313" s="2"/>
      <c r="CI313" s="2"/>
      <c r="CJ313" s="2"/>
      <c r="CK313" s="2"/>
      <c r="CL313" s="2"/>
      <c r="CM313" s="2"/>
      <c r="CN313" s="2"/>
      <c r="CO313" s="2"/>
      <c r="CP313" s="2"/>
      <c r="CQ313" s="2"/>
      <c r="CR313" s="2"/>
      <c r="CS313" s="2"/>
      <c r="CT313" s="2"/>
      <c r="CU313" s="2"/>
      <c r="CV313" s="2"/>
      <c r="CW313" s="2"/>
      <c r="CX313" s="2"/>
      <c r="CY313" s="2"/>
      <c r="CZ313" s="2"/>
      <c r="DA313" s="2"/>
      <c r="DB313" s="2"/>
      <c r="DC313" s="2"/>
      <c r="DD313" s="2"/>
      <c r="DE313" s="2"/>
      <c r="DF313" s="2"/>
      <c r="DG313" s="2"/>
      <c r="DH313" s="2"/>
      <c r="DI313" s="2"/>
      <c r="DJ313" s="2"/>
      <c r="DK313" s="2"/>
      <c r="DL313" s="2"/>
      <c r="DM313" s="2"/>
      <c r="DN313" s="2"/>
      <c r="DO313" s="2"/>
      <c r="DP313" s="2"/>
      <c r="DQ313" s="2"/>
      <c r="DR313" s="2"/>
      <c r="DS313" s="2"/>
      <c r="DT313" s="2"/>
      <c r="DU313" s="2"/>
      <c r="DV313" s="2"/>
      <c r="DW313" s="2"/>
      <c r="DX313" s="2"/>
      <c r="DY313" s="2"/>
      <c r="DZ313" s="2"/>
      <c r="EA313" s="2"/>
      <c r="EB313" s="2"/>
      <c r="EC313" s="2"/>
      <c r="ED313" s="2"/>
      <c r="EE313" s="2"/>
      <c r="EF313" s="2"/>
      <c r="EG313" s="2"/>
      <c r="EH313" s="2"/>
      <c r="EI313" s="2"/>
      <c r="EJ313" s="2"/>
      <c r="EK313" s="2"/>
      <c r="EL313" s="2"/>
      <c r="EM313" s="2"/>
      <c r="EN313" s="2"/>
      <c r="EO313" s="2"/>
      <c r="EP313" s="2"/>
      <c r="EQ313" s="2"/>
      <c r="ER313" s="2"/>
      <c r="ES313" s="2"/>
      <c r="ET313" s="2"/>
      <c r="EU313" s="2"/>
      <c r="EV313" s="2"/>
      <c r="EW313" s="2"/>
      <c r="EX313" s="2"/>
      <c r="EY313" s="2"/>
      <c r="EZ313" s="2"/>
      <c r="FA313" s="2"/>
      <c r="FB313" s="2"/>
      <c r="FC313" s="2"/>
      <c r="FD313" s="2"/>
      <c r="FE313" s="2"/>
      <c r="FF313" s="2"/>
      <c r="FG313" s="2"/>
      <c r="FH313" s="2"/>
      <c r="FI313" s="2"/>
      <c r="FJ313" s="2"/>
      <c r="FK313" s="2"/>
      <c r="FL313" s="2"/>
      <c r="FM313" s="2"/>
      <c r="FN313" s="2"/>
      <c r="FO313" s="2"/>
      <c r="FP313" s="2"/>
      <c r="FQ313" s="2"/>
      <c r="FR313" s="2"/>
      <c r="FS313" s="2"/>
      <c r="FT313" s="2"/>
      <c r="FU313" s="2"/>
      <c r="FV313" s="2"/>
      <c r="FW313" s="2"/>
      <c r="FX313" s="2"/>
      <c r="FY313" s="2"/>
      <c r="FZ313" s="2"/>
      <c r="GA313" s="2"/>
      <c r="GB313" s="2"/>
      <c r="GC313" s="2"/>
      <c r="GD313" s="2"/>
      <c r="GE313" s="2"/>
      <c r="GF313" s="2"/>
      <c r="GG313" s="2"/>
      <c r="GH313" s="2"/>
      <c r="GI313" s="2"/>
      <c r="GJ313" s="2"/>
      <c r="GK313" s="2"/>
      <c r="GL313" s="2"/>
      <c r="GM313" s="2"/>
      <c r="GN313" s="2"/>
      <c r="GO313" s="2"/>
      <c r="GP313" s="2"/>
      <c r="GQ313" s="2"/>
      <c r="GR313" s="2"/>
      <c r="GS313" s="2"/>
      <c r="GT313" s="2"/>
      <c r="GU313" s="2"/>
      <c r="GV313" s="2"/>
      <c r="GW313" s="2"/>
      <c r="GX313" s="2"/>
      <c r="GY313" s="2"/>
      <c r="GZ313" s="2"/>
      <c r="HA313" s="2"/>
      <c r="HB313" s="2"/>
      <c r="HC313" s="2"/>
      <c r="HD313" s="2"/>
      <c r="HE313" s="2"/>
      <c r="HF313" s="2"/>
      <c r="HG313" s="2"/>
      <c r="HH313" s="2"/>
      <c r="HI313" s="2"/>
      <c r="HJ313" s="2"/>
      <c r="HK313" s="2"/>
      <c r="HL313" s="2"/>
      <c r="HM313" s="2"/>
      <c r="HN313" s="2"/>
      <c r="HO313" s="2"/>
      <c r="HP313" s="2"/>
      <c r="HQ313" s="2"/>
      <c r="HR313" s="2"/>
      <c r="HS313" s="2"/>
      <c r="HT313" s="2"/>
      <c r="HU313" s="2"/>
      <c r="HV313" s="2"/>
      <c r="HW313" s="2"/>
      <c r="HX313" s="2"/>
      <c r="HY313" s="2"/>
      <c r="HZ313" s="2"/>
      <c r="IA313" s="2"/>
      <c r="IB313" s="2"/>
      <c r="IC313" s="2"/>
    </row>
    <row r="314" spans="1:237" x14ac:dyDescent="0.2">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c r="AG314" s="2"/>
      <c r="AH314" s="2"/>
      <c r="AI314" s="2"/>
      <c r="AJ314" s="2"/>
      <c r="AK314" s="2"/>
      <c r="AL314" s="2"/>
      <c r="AM314" s="2"/>
      <c r="AN314" s="2"/>
      <c r="AO314" s="2"/>
      <c r="AP314" s="2"/>
      <c r="AQ314" s="2"/>
      <c r="AR314" s="2"/>
      <c r="AS314" s="2"/>
      <c r="AT314" s="2"/>
      <c r="AU314" s="2"/>
      <c r="AV314" s="2"/>
      <c r="AW314" s="2"/>
      <c r="AX314" s="2"/>
      <c r="AY314" s="2"/>
      <c r="AZ314" s="2"/>
      <c r="BA314" s="2"/>
      <c r="BB314" s="2"/>
      <c r="BC314" s="2"/>
      <c r="BD314" s="2"/>
      <c r="BE314" s="2"/>
      <c r="BF314" s="2"/>
      <c r="BG314" s="2"/>
      <c r="BH314" s="2"/>
      <c r="BI314" s="2"/>
      <c r="BJ314" s="2"/>
      <c r="BK314" s="2"/>
      <c r="BL314" s="2"/>
      <c r="BM314" s="2"/>
      <c r="BN314" s="2"/>
      <c r="BO314" s="2"/>
      <c r="BP314" s="2"/>
      <c r="BQ314" s="2"/>
      <c r="BR314" s="2"/>
      <c r="BS314" s="2"/>
      <c r="BT314" s="2"/>
      <c r="BU314" s="2"/>
      <c r="BV314" s="2"/>
      <c r="BW314" s="2"/>
      <c r="BX314" s="2"/>
      <c r="BY314" s="2"/>
      <c r="BZ314" s="2"/>
      <c r="CA314" s="2"/>
      <c r="CB314" s="2"/>
      <c r="CC314" s="2"/>
      <c r="CD314" s="2"/>
      <c r="CE314" s="2"/>
      <c r="CF314" s="2"/>
      <c r="CG314" s="2"/>
      <c r="CH314" s="2"/>
      <c r="CI314" s="2"/>
      <c r="CJ314" s="2"/>
      <c r="CK314" s="2"/>
      <c r="CL314" s="2"/>
      <c r="CM314" s="2"/>
      <c r="CN314" s="2"/>
      <c r="CO314" s="2"/>
      <c r="CP314" s="2"/>
      <c r="CQ314" s="2"/>
      <c r="CR314" s="2"/>
      <c r="CS314" s="2"/>
      <c r="CT314" s="2"/>
      <c r="CU314" s="2"/>
      <c r="CV314" s="2"/>
      <c r="CW314" s="2"/>
      <c r="CX314" s="2"/>
      <c r="CY314" s="2"/>
      <c r="CZ314" s="2"/>
      <c r="DA314" s="2"/>
      <c r="DB314" s="2"/>
      <c r="DC314" s="2"/>
      <c r="DD314" s="2"/>
      <c r="DE314" s="2"/>
      <c r="DF314" s="2"/>
      <c r="DG314" s="2"/>
      <c r="DH314" s="2"/>
      <c r="DI314" s="2"/>
      <c r="DJ314" s="2"/>
      <c r="DK314" s="2"/>
      <c r="DL314" s="2"/>
      <c r="DM314" s="2"/>
      <c r="DN314" s="2"/>
      <c r="DO314" s="2"/>
      <c r="DP314" s="2"/>
      <c r="DQ314" s="2"/>
      <c r="DR314" s="2"/>
      <c r="DS314" s="2"/>
      <c r="DT314" s="2"/>
      <c r="DU314" s="2"/>
      <c r="DV314" s="2"/>
      <c r="DW314" s="2"/>
      <c r="DX314" s="2"/>
      <c r="DY314" s="2"/>
      <c r="DZ314" s="2"/>
      <c r="EA314" s="2"/>
      <c r="EB314" s="2"/>
      <c r="EC314" s="2"/>
      <c r="ED314" s="2"/>
      <c r="EE314" s="2"/>
      <c r="EF314" s="2"/>
      <c r="EG314" s="2"/>
      <c r="EH314" s="2"/>
      <c r="EI314" s="2"/>
      <c r="EJ314" s="2"/>
      <c r="EK314" s="2"/>
      <c r="EL314" s="2"/>
      <c r="EM314" s="2"/>
      <c r="EN314" s="2"/>
      <c r="EO314" s="2"/>
      <c r="EP314" s="2"/>
      <c r="EQ314" s="2"/>
      <c r="ER314" s="2"/>
      <c r="ES314" s="2"/>
      <c r="ET314" s="2"/>
      <c r="EU314" s="2"/>
      <c r="EV314" s="2"/>
      <c r="EW314" s="2"/>
      <c r="EX314" s="2"/>
      <c r="EY314" s="2"/>
      <c r="EZ314" s="2"/>
      <c r="FA314" s="2"/>
      <c r="FB314" s="2"/>
      <c r="FC314" s="2"/>
      <c r="FD314" s="2"/>
      <c r="FE314" s="2"/>
      <c r="FF314" s="2"/>
      <c r="FG314" s="2"/>
      <c r="FH314" s="2"/>
      <c r="FI314" s="2"/>
      <c r="FJ314" s="2"/>
      <c r="FK314" s="2"/>
      <c r="FL314" s="2"/>
      <c r="FM314" s="2"/>
      <c r="FN314" s="2"/>
      <c r="FO314" s="2"/>
      <c r="FP314" s="2"/>
      <c r="FQ314" s="2"/>
      <c r="FR314" s="2"/>
      <c r="FS314" s="2"/>
      <c r="FT314" s="2"/>
      <c r="FU314" s="2"/>
      <c r="FV314" s="2"/>
      <c r="FW314" s="2"/>
      <c r="FX314" s="2"/>
      <c r="FY314" s="2"/>
      <c r="FZ314" s="2"/>
      <c r="GA314" s="2"/>
      <c r="GB314" s="2"/>
      <c r="GC314" s="2"/>
      <c r="GD314" s="2"/>
      <c r="GE314" s="2"/>
      <c r="GF314" s="2"/>
      <c r="GG314" s="2"/>
      <c r="GH314" s="2"/>
      <c r="GI314" s="2"/>
      <c r="GJ314" s="2"/>
      <c r="GK314" s="2"/>
      <c r="GL314" s="2"/>
      <c r="GM314" s="2"/>
      <c r="GN314" s="2"/>
      <c r="GO314" s="2"/>
      <c r="GP314" s="2"/>
      <c r="GQ314" s="2"/>
      <c r="GR314" s="2"/>
      <c r="GS314" s="2"/>
      <c r="GT314" s="2"/>
      <c r="GU314" s="2"/>
      <c r="GV314" s="2"/>
      <c r="GW314" s="2"/>
      <c r="GX314" s="2"/>
      <c r="GY314" s="2"/>
      <c r="GZ314" s="2"/>
      <c r="HA314" s="2"/>
      <c r="HB314" s="2"/>
      <c r="HC314" s="2"/>
      <c r="HD314" s="2"/>
      <c r="HE314" s="2"/>
      <c r="HF314" s="2"/>
      <c r="HG314" s="2"/>
      <c r="HH314" s="2"/>
      <c r="HI314" s="2"/>
      <c r="HJ314" s="2"/>
      <c r="HK314" s="2"/>
      <c r="HL314" s="2"/>
      <c r="HM314" s="2"/>
      <c r="HN314" s="2"/>
      <c r="HO314" s="2"/>
      <c r="HP314" s="2"/>
      <c r="HQ314" s="2"/>
      <c r="HR314" s="2"/>
      <c r="HS314" s="2"/>
      <c r="HT314" s="2"/>
      <c r="HU314" s="2"/>
      <c r="HV314" s="2"/>
      <c r="HW314" s="2"/>
      <c r="HX314" s="2"/>
      <c r="HY314" s="2"/>
      <c r="HZ314" s="2"/>
      <c r="IA314" s="2"/>
      <c r="IB314" s="2"/>
      <c r="IC314" s="2"/>
    </row>
    <row r="315" spans="1:237" x14ac:dyDescent="0.2">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c r="AG315" s="2"/>
      <c r="AH315" s="2"/>
      <c r="AI315" s="2"/>
      <c r="AJ315" s="2"/>
      <c r="AK315" s="2"/>
      <c r="AL315" s="2"/>
      <c r="AM315" s="2"/>
      <c r="AN315" s="2"/>
      <c r="AO315" s="2"/>
      <c r="AP315" s="2"/>
      <c r="AQ315" s="2"/>
      <c r="AR315" s="2"/>
      <c r="AS315" s="2"/>
      <c r="AT315" s="2"/>
      <c r="AU315" s="2"/>
      <c r="AV315" s="2"/>
      <c r="AW315" s="2"/>
      <c r="AX315" s="2"/>
      <c r="AY315" s="2"/>
      <c r="AZ315" s="2"/>
      <c r="BA315" s="2"/>
      <c r="BB315" s="2"/>
      <c r="BC315" s="2"/>
      <c r="BD315" s="2"/>
      <c r="BE315" s="2"/>
      <c r="BF315" s="2"/>
      <c r="BG315" s="2"/>
      <c r="BH315" s="2"/>
      <c r="BI315" s="2"/>
      <c r="BJ315" s="2"/>
      <c r="BK315" s="2"/>
      <c r="BL315" s="2"/>
      <c r="BM315" s="2"/>
      <c r="BN315" s="2"/>
      <c r="BO315" s="2"/>
      <c r="BP315" s="2"/>
      <c r="BQ315" s="2"/>
      <c r="BR315" s="2"/>
      <c r="BS315" s="2"/>
      <c r="BT315" s="2"/>
      <c r="BU315" s="2"/>
      <c r="BV315" s="2"/>
      <c r="BW315" s="2"/>
      <c r="BX315" s="2"/>
      <c r="BY315" s="2"/>
      <c r="BZ315" s="2"/>
      <c r="CA315" s="2"/>
      <c r="CB315" s="2"/>
      <c r="CC315" s="2"/>
      <c r="CD315" s="2"/>
      <c r="CE315" s="2"/>
      <c r="CF315" s="2"/>
      <c r="CG315" s="2"/>
      <c r="CH315" s="2"/>
      <c r="CI315" s="2"/>
      <c r="CJ315" s="2"/>
      <c r="CK315" s="2"/>
      <c r="CL315" s="2"/>
      <c r="CM315" s="2"/>
      <c r="CN315" s="2"/>
      <c r="CO315" s="2"/>
      <c r="CP315" s="2"/>
      <c r="CQ315" s="2"/>
      <c r="CR315" s="2"/>
      <c r="CS315" s="2"/>
      <c r="CT315" s="2"/>
      <c r="CU315" s="2"/>
      <c r="CV315" s="2"/>
      <c r="CW315" s="2"/>
      <c r="CX315" s="2"/>
      <c r="CY315" s="2"/>
      <c r="CZ315" s="2"/>
      <c r="DA315" s="2"/>
      <c r="DB315" s="2"/>
      <c r="DC315" s="2"/>
      <c r="DD315" s="2"/>
      <c r="DE315" s="2"/>
      <c r="DF315" s="2"/>
      <c r="DG315" s="2"/>
      <c r="DH315" s="2"/>
      <c r="DI315" s="2"/>
      <c r="DJ315" s="2"/>
      <c r="DK315" s="2"/>
      <c r="DL315" s="2"/>
      <c r="DM315" s="2"/>
      <c r="DN315" s="2"/>
      <c r="DO315" s="2"/>
      <c r="DP315" s="2"/>
      <c r="DQ315" s="2"/>
      <c r="DR315" s="2"/>
      <c r="DS315" s="2"/>
      <c r="DT315" s="2"/>
      <c r="DU315" s="2"/>
      <c r="DV315" s="2"/>
      <c r="DW315" s="2"/>
      <c r="DX315" s="2"/>
      <c r="DY315" s="2"/>
      <c r="DZ315" s="2"/>
      <c r="EA315" s="2"/>
      <c r="EB315" s="2"/>
      <c r="EC315" s="2"/>
      <c r="ED315" s="2"/>
      <c r="EE315" s="2"/>
      <c r="EF315" s="2"/>
      <c r="EG315" s="2"/>
      <c r="EH315" s="2"/>
      <c r="EI315" s="2"/>
      <c r="EJ315" s="2"/>
      <c r="EK315" s="2"/>
      <c r="EL315" s="2"/>
      <c r="EM315" s="2"/>
      <c r="EN315" s="2"/>
      <c r="EO315" s="2"/>
      <c r="EP315" s="2"/>
      <c r="EQ315" s="2"/>
      <c r="ER315" s="2"/>
      <c r="ES315" s="2"/>
      <c r="ET315" s="2"/>
      <c r="EU315" s="2"/>
      <c r="EV315" s="2"/>
      <c r="EW315" s="2"/>
      <c r="EX315" s="2"/>
      <c r="EY315" s="2"/>
      <c r="EZ315" s="2"/>
      <c r="FA315" s="2"/>
      <c r="FB315" s="2"/>
      <c r="FC315" s="2"/>
      <c r="FD315" s="2"/>
      <c r="FE315" s="2"/>
      <c r="FF315" s="2"/>
      <c r="FG315" s="2"/>
      <c r="FH315" s="2"/>
      <c r="FI315" s="2"/>
      <c r="FJ315" s="2"/>
      <c r="FK315" s="2"/>
      <c r="FL315" s="2"/>
      <c r="FM315" s="2"/>
      <c r="FN315" s="2"/>
      <c r="FO315" s="2"/>
      <c r="FP315" s="2"/>
      <c r="FQ315" s="2"/>
      <c r="FR315" s="2"/>
      <c r="FS315" s="2"/>
      <c r="FT315" s="2"/>
      <c r="FU315" s="2"/>
      <c r="FV315" s="2"/>
      <c r="FW315" s="2"/>
      <c r="FX315" s="2"/>
      <c r="FY315" s="2"/>
      <c r="FZ315" s="2"/>
      <c r="GA315" s="2"/>
      <c r="GB315" s="2"/>
      <c r="GC315" s="2"/>
      <c r="GD315" s="2"/>
      <c r="GE315" s="2"/>
      <c r="GF315" s="2"/>
      <c r="GG315" s="2"/>
      <c r="GH315" s="2"/>
      <c r="GI315" s="2"/>
      <c r="GJ315" s="2"/>
      <c r="GK315" s="2"/>
      <c r="GL315" s="2"/>
      <c r="GM315" s="2"/>
      <c r="GN315" s="2"/>
      <c r="GO315" s="2"/>
      <c r="GP315" s="2"/>
      <c r="GQ315" s="2"/>
      <c r="GR315" s="2"/>
      <c r="GS315" s="2"/>
      <c r="GT315" s="2"/>
      <c r="GU315" s="2"/>
      <c r="GV315" s="2"/>
      <c r="GW315" s="2"/>
      <c r="GX315" s="2"/>
      <c r="GY315" s="2"/>
      <c r="GZ315" s="2"/>
      <c r="HA315" s="2"/>
      <c r="HB315" s="2"/>
      <c r="HC315" s="2"/>
      <c r="HD315" s="2"/>
      <c r="HE315" s="2"/>
      <c r="HF315" s="2"/>
      <c r="HG315" s="2"/>
      <c r="HH315" s="2"/>
      <c r="HI315" s="2"/>
      <c r="HJ315" s="2"/>
      <c r="HK315" s="2"/>
      <c r="HL315" s="2"/>
      <c r="HM315" s="2"/>
      <c r="HN315" s="2"/>
      <c r="HO315" s="2"/>
      <c r="HP315" s="2"/>
      <c r="HQ315" s="2"/>
      <c r="HR315" s="2"/>
      <c r="HS315" s="2"/>
      <c r="HT315" s="2"/>
      <c r="HU315" s="2"/>
      <c r="HV315" s="2"/>
      <c r="HW315" s="2"/>
      <c r="HX315" s="2"/>
      <c r="HY315" s="2"/>
      <c r="HZ315" s="2"/>
      <c r="IA315" s="2"/>
      <c r="IB315" s="2"/>
      <c r="IC315" s="2"/>
    </row>
    <row r="316" spans="1:237" x14ac:dyDescent="0.2">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c r="AG316" s="2"/>
      <c r="AH316" s="2"/>
      <c r="AI316" s="2"/>
      <c r="AJ316" s="2"/>
      <c r="AK316" s="2"/>
      <c r="AL316" s="2"/>
      <c r="AM316" s="2"/>
      <c r="AN316" s="2"/>
      <c r="AO316" s="2"/>
      <c r="AP316" s="2"/>
      <c r="AQ316" s="2"/>
      <c r="AR316" s="2"/>
      <c r="AS316" s="2"/>
      <c r="AT316" s="2"/>
      <c r="AU316" s="2"/>
      <c r="AV316" s="2"/>
      <c r="AW316" s="2"/>
      <c r="AX316" s="2"/>
      <c r="AY316" s="2"/>
      <c r="AZ316" s="2"/>
      <c r="BA316" s="2"/>
      <c r="BB316" s="2"/>
      <c r="BC316" s="2"/>
      <c r="BD316" s="2"/>
      <c r="BE316" s="2"/>
      <c r="BF316" s="2"/>
      <c r="BG316" s="2"/>
      <c r="BH316" s="2"/>
      <c r="BI316" s="2"/>
      <c r="BJ316" s="2"/>
      <c r="BK316" s="2"/>
      <c r="BL316" s="2"/>
      <c r="BM316" s="2"/>
      <c r="BN316" s="2"/>
      <c r="BO316" s="2"/>
      <c r="BP316" s="2"/>
      <c r="BQ316" s="2"/>
      <c r="BR316" s="2"/>
      <c r="BS316" s="2"/>
      <c r="BT316" s="2"/>
      <c r="BU316" s="2"/>
      <c r="BV316" s="2"/>
      <c r="BW316" s="2"/>
      <c r="BX316" s="2"/>
      <c r="BY316" s="2"/>
      <c r="BZ316" s="2"/>
      <c r="CA316" s="2"/>
      <c r="CB316" s="2"/>
      <c r="CC316" s="2"/>
      <c r="CD316" s="2"/>
      <c r="CE316" s="2"/>
      <c r="CF316" s="2"/>
      <c r="CG316" s="2"/>
      <c r="CH316" s="2"/>
      <c r="CI316" s="2"/>
      <c r="CJ316" s="2"/>
      <c r="CK316" s="2"/>
      <c r="CL316" s="2"/>
      <c r="CM316" s="2"/>
      <c r="CN316" s="2"/>
      <c r="CO316" s="2"/>
      <c r="CP316" s="2"/>
      <c r="CQ316" s="2"/>
      <c r="CR316" s="2"/>
      <c r="CS316" s="2"/>
      <c r="CT316" s="2"/>
      <c r="CU316" s="2"/>
      <c r="CV316" s="2"/>
      <c r="CW316" s="2"/>
      <c r="CX316" s="2"/>
      <c r="CY316" s="2"/>
      <c r="CZ316" s="2"/>
      <c r="DA316" s="2"/>
      <c r="DB316" s="2"/>
      <c r="DC316" s="2"/>
      <c r="DD316" s="2"/>
      <c r="DE316" s="2"/>
      <c r="DF316" s="2"/>
      <c r="DG316" s="2"/>
      <c r="DH316" s="2"/>
      <c r="DI316" s="2"/>
      <c r="DJ316" s="2"/>
      <c r="DK316" s="2"/>
      <c r="DL316" s="2"/>
      <c r="DM316" s="2"/>
      <c r="DN316" s="2"/>
      <c r="DO316" s="2"/>
      <c r="DP316" s="2"/>
      <c r="DQ316" s="2"/>
      <c r="DR316" s="2"/>
      <c r="DS316" s="2"/>
      <c r="DT316" s="2"/>
      <c r="DU316" s="2"/>
      <c r="DV316" s="2"/>
      <c r="DW316" s="2"/>
      <c r="DX316" s="2"/>
      <c r="DY316" s="2"/>
      <c r="DZ316" s="2"/>
      <c r="EA316" s="2"/>
      <c r="EB316" s="2"/>
      <c r="EC316" s="2"/>
      <c r="ED316" s="2"/>
      <c r="EE316" s="2"/>
      <c r="EF316" s="2"/>
      <c r="EG316" s="2"/>
      <c r="EH316" s="2"/>
      <c r="EI316" s="2"/>
      <c r="EJ316" s="2"/>
      <c r="EK316" s="2"/>
      <c r="EL316" s="2"/>
      <c r="EM316" s="2"/>
      <c r="EN316" s="2"/>
      <c r="EO316" s="2"/>
      <c r="EP316" s="2"/>
      <c r="EQ316" s="2"/>
      <c r="ER316" s="2"/>
      <c r="ES316" s="2"/>
      <c r="ET316" s="2"/>
      <c r="EU316" s="2"/>
      <c r="EV316" s="2"/>
      <c r="EW316" s="2"/>
      <c r="EX316" s="2"/>
      <c r="EY316" s="2"/>
      <c r="EZ316" s="2"/>
      <c r="FA316" s="2"/>
      <c r="FB316" s="2"/>
      <c r="FC316" s="2"/>
      <c r="FD316" s="2"/>
      <c r="FE316" s="2"/>
      <c r="FF316" s="2"/>
      <c r="FG316" s="2"/>
      <c r="FH316" s="2"/>
      <c r="FI316" s="2"/>
      <c r="FJ316" s="2"/>
      <c r="FK316" s="2"/>
      <c r="FL316" s="2"/>
      <c r="FM316" s="2"/>
      <c r="FN316" s="2"/>
      <c r="FO316" s="2"/>
      <c r="FP316" s="2"/>
      <c r="FQ316" s="2"/>
      <c r="FR316" s="2"/>
      <c r="FS316" s="2"/>
      <c r="FT316" s="2"/>
      <c r="FU316" s="2"/>
      <c r="FV316" s="2"/>
      <c r="FW316" s="2"/>
      <c r="FX316" s="2"/>
      <c r="FY316" s="2"/>
      <c r="FZ316" s="2"/>
      <c r="GA316" s="2"/>
      <c r="GB316" s="2"/>
      <c r="GC316" s="2"/>
      <c r="GD316" s="2"/>
      <c r="GE316" s="2"/>
      <c r="GF316" s="2"/>
      <c r="GG316" s="2"/>
      <c r="GH316" s="2"/>
      <c r="GI316" s="2"/>
      <c r="GJ316" s="2"/>
      <c r="GK316" s="2"/>
      <c r="GL316" s="2"/>
      <c r="GM316" s="2"/>
      <c r="GN316" s="2"/>
      <c r="GO316" s="2"/>
      <c r="GP316" s="2"/>
      <c r="GQ316" s="2"/>
      <c r="GR316" s="2"/>
      <c r="GS316" s="2"/>
      <c r="GT316" s="2"/>
      <c r="GU316" s="2"/>
      <c r="GV316" s="2"/>
      <c r="GW316" s="2"/>
      <c r="GX316" s="2"/>
      <c r="GY316" s="2"/>
      <c r="GZ316" s="2"/>
      <c r="HA316" s="2"/>
      <c r="HB316" s="2"/>
      <c r="HC316" s="2"/>
      <c r="HD316" s="2"/>
      <c r="HE316" s="2"/>
      <c r="HF316" s="2"/>
      <c r="HG316" s="2"/>
      <c r="HH316" s="2"/>
      <c r="HI316" s="2"/>
      <c r="HJ316" s="2"/>
      <c r="HK316" s="2"/>
      <c r="HL316" s="2"/>
      <c r="HM316" s="2"/>
      <c r="HN316" s="2"/>
      <c r="HO316" s="2"/>
      <c r="HP316" s="2"/>
      <c r="HQ316" s="2"/>
      <c r="HR316" s="2"/>
      <c r="HS316" s="2"/>
      <c r="HT316" s="2"/>
      <c r="HU316" s="2"/>
      <c r="HV316" s="2"/>
      <c r="HW316" s="2"/>
      <c r="HX316" s="2"/>
      <c r="HY316" s="2"/>
      <c r="HZ316" s="2"/>
      <c r="IA316" s="2"/>
      <c r="IB316" s="2"/>
      <c r="IC316" s="2"/>
    </row>
    <row r="317" spans="1:237" x14ac:dyDescent="0.2">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c r="AG317" s="2"/>
      <c r="AH317" s="2"/>
      <c r="AI317" s="2"/>
      <c r="AJ317" s="2"/>
      <c r="AK317" s="2"/>
      <c r="AL317" s="2"/>
      <c r="AM317" s="2"/>
      <c r="AN317" s="2"/>
      <c r="AO317" s="2"/>
      <c r="AP317" s="2"/>
      <c r="AQ317" s="2"/>
      <c r="AR317" s="2"/>
      <c r="AS317" s="2"/>
      <c r="AT317" s="2"/>
      <c r="AU317" s="2"/>
      <c r="AV317" s="2"/>
      <c r="AW317" s="2"/>
      <c r="AX317" s="2"/>
      <c r="AY317" s="2"/>
      <c r="AZ317" s="2"/>
      <c r="BA317" s="2"/>
      <c r="BB317" s="2"/>
      <c r="BC317" s="2"/>
      <c r="BD317" s="2"/>
      <c r="BE317" s="2"/>
      <c r="BF317" s="2"/>
      <c r="BG317" s="2"/>
      <c r="BH317" s="2"/>
      <c r="BI317" s="2"/>
      <c r="BJ317" s="2"/>
      <c r="BK317" s="2"/>
      <c r="BL317" s="2"/>
      <c r="BM317" s="2"/>
      <c r="BN317" s="2"/>
      <c r="BO317" s="2"/>
      <c r="BP317" s="2"/>
      <c r="BQ317" s="2"/>
      <c r="BR317" s="2"/>
      <c r="BS317" s="2"/>
      <c r="BT317" s="2"/>
      <c r="BU317" s="2"/>
      <c r="BV317" s="2"/>
      <c r="BW317" s="2"/>
      <c r="BX317" s="2"/>
      <c r="BY317" s="2"/>
      <c r="BZ317" s="2"/>
      <c r="CA317" s="2"/>
      <c r="CB317" s="2"/>
      <c r="CC317" s="2"/>
      <c r="CD317" s="2"/>
      <c r="CE317" s="2"/>
      <c r="CF317" s="2"/>
      <c r="CG317" s="2"/>
      <c r="CH317" s="2"/>
      <c r="CI317" s="2"/>
      <c r="CJ317" s="2"/>
      <c r="CK317" s="2"/>
      <c r="CL317" s="2"/>
      <c r="CM317" s="2"/>
      <c r="CN317" s="2"/>
      <c r="CO317" s="2"/>
      <c r="CP317" s="2"/>
      <c r="CQ317" s="2"/>
      <c r="CR317" s="2"/>
      <c r="CS317" s="2"/>
      <c r="CT317" s="2"/>
      <c r="CU317" s="2"/>
      <c r="CV317" s="2"/>
      <c r="CW317" s="2"/>
      <c r="CX317" s="2"/>
      <c r="CY317" s="2"/>
      <c r="CZ317" s="2"/>
      <c r="DA317" s="2"/>
      <c r="DB317" s="2"/>
      <c r="DC317" s="2"/>
      <c r="DD317" s="2"/>
      <c r="DE317" s="2"/>
      <c r="DF317" s="2"/>
      <c r="DG317" s="2"/>
      <c r="DH317" s="2"/>
      <c r="DI317" s="2"/>
      <c r="DJ317" s="2"/>
      <c r="DK317" s="2"/>
      <c r="DL317" s="2"/>
      <c r="DM317" s="2"/>
      <c r="DN317" s="2"/>
      <c r="DO317" s="2"/>
      <c r="DP317" s="2"/>
      <c r="DQ317" s="2"/>
      <c r="DR317" s="2"/>
      <c r="DS317" s="2"/>
      <c r="DT317" s="2"/>
      <c r="DU317" s="2"/>
      <c r="DV317" s="2"/>
      <c r="DW317" s="2"/>
      <c r="DX317" s="2"/>
      <c r="DY317" s="2"/>
      <c r="DZ317" s="2"/>
      <c r="EA317" s="2"/>
      <c r="EB317" s="2"/>
      <c r="EC317" s="2"/>
      <c r="ED317" s="2"/>
      <c r="EE317" s="2"/>
      <c r="EF317" s="2"/>
      <c r="EG317" s="2"/>
      <c r="EH317" s="2"/>
      <c r="EI317" s="2"/>
      <c r="EJ317" s="2"/>
      <c r="EK317" s="2"/>
      <c r="EL317" s="2"/>
      <c r="EM317" s="2"/>
      <c r="EN317" s="2"/>
      <c r="EO317" s="2"/>
      <c r="EP317" s="2"/>
      <c r="EQ317" s="2"/>
      <c r="ER317" s="2"/>
      <c r="ES317" s="2"/>
      <c r="ET317" s="2"/>
      <c r="EU317" s="2"/>
      <c r="EV317" s="2"/>
      <c r="EW317" s="2"/>
      <c r="EX317" s="2"/>
      <c r="EY317" s="2"/>
      <c r="EZ317" s="2"/>
      <c r="FA317" s="2"/>
      <c r="FB317" s="2"/>
      <c r="FC317" s="2"/>
      <c r="FD317" s="2"/>
      <c r="FE317" s="2"/>
      <c r="FF317" s="2"/>
      <c r="FG317" s="2"/>
      <c r="FH317" s="2"/>
      <c r="FI317" s="2"/>
      <c r="FJ317" s="2"/>
      <c r="FK317" s="2"/>
      <c r="FL317" s="2"/>
      <c r="FM317" s="2"/>
      <c r="FN317" s="2"/>
      <c r="FO317" s="2"/>
      <c r="FP317" s="2"/>
      <c r="FQ317" s="2"/>
      <c r="FR317" s="2"/>
      <c r="FS317" s="2"/>
      <c r="FT317" s="2"/>
      <c r="FU317" s="2"/>
      <c r="FV317" s="2"/>
      <c r="FW317" s="2"/>
      <c r="FX317" s="2"/>
      <c r="FY317" s="2"/>
      <c r="FZ317" s="2"/>
      <c r="GA317" s="2"/>
      <c r="GB317" s="2"/>
      <c r="GC317" s="2"/>
      <c r="GD317" s="2"/>
      <c r="GE317" s="2"/>
      <c r="GF317" s="2"/>
      <c r="GG317" s="2"/>
      <c r="GH317" s="2"/>
      <c r="GI317" s="2"/>
      <c r="GJ317" s="2"/>
      <c r="GK317" s="2"/>
      <c r="GL317" s="2"/>
      <c r="GM317" s="2"/>
      <c r="GN317" s="2"/>
      <c r="GO317" s="2"/>
      <c r="GP317" s="2"/>
      <c r="GQ317" s="2"/>
      <c r="GR317" s="2"/>
      <c r="GS317" s="2"/>
      <c r="GT317" s="2"/>
      <c r="GU317" s="2"/>
      <c r="GV317" s="2"/>
      <c r="GW317" s="2"/>
      <c r="GX317" s="2"/>
      <c r="GY317" s="2"/>
      <c r="GZ317" s="2"/>
      <c r="HA317" s="2"/>
      <c r="HB317" s="2"/>
      <c r="HC317" s="2"/>
      <c r="HD317" s="2"/>
      <c r="HE317" s="2"/>
      <c r="HF317" s="2"/>
      <c r="HG317" s="2"/>
      <c r="HH317" s="2"/>
      <c r="HI317" s="2"/>
      <c r="HJ317" s="2"/>
      <c r="HK317" s="2"/>
      <c r="HL317" s="2"/>
      <c r="HM317" s="2"/>
      <c r="HN317" s="2"/>
      <c r="HO317" s="2"/>
      <c r="HP317" s="2"/>
      <c r="HQ317" s="2"/>
      <c r="HR317" s="2"/>
      <c r="HS317" s="2"/>
      <c r="HT317" s="2"/>
      <c r="HU317" s="2"/>
      <c r="HV317" s="2"/>
      <c r="HW317" s="2"/>
      <c r="HX317" s="2"/>
      <c r="HY317" s="2"/>
      <c r="HZ317" s="2"/>
      <c r="IA317" s="2"/>
      <c r="IB317" s="2"/>
      <c r="IC317" s="2"/>
    </row>
    <row r="318" spans="1:237" x14ac:dyDescent="0.2">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c r="AG318" s="2"/>
      <c r="AH318" s="2"/>
      <c r="AI318" s="2"/>
      <c r="AJ318" s="2"/>
      <c r="AK318" s="2"/>
      <c r="AL318" s="2"/>
      <c r="AM318" s="2"/>
      <c r="AN318" s="2"/>
      <c r="AO318" s="2"/>
      <c r="AP318" s="2"/>
      <c r="AQ318" s="2"/>
      <c r="AR318" s="2"/>
      <c r="AS318" s="2"/>
      <c r="AT318" s="2"/>
      <c r="AU318" s="2"/>
      <c r="AV318" s="2"/>
      <c r="AW318" s="2"/>
      <c r="AX318" s="2"/>
      <c r="AY318" s="2"/>
      <c r="AZ318" s="2"/>
      <c r="BA318" s="2"/>
      <c r="BB318" s="2"/>
      <c r="BC318" s="2"/>
      <c r="BD318" s="2"/>
      <c r="BE318" s="2"/>
      <c r="BF318" s="2"/>
      <c r="BG318" s="2"/>
      <c r="BH318" s="2"/>
      <c r="BI318" s="2"/>
      <c r="BJ318" s="2"/>
      <c r="BK318" s="2"/>
      <c r="BL318" s="2"/>
      <c r="BM318" s="2"/>
      <c r="BN318" s="2"/>
      <c r="BO318" s="2"/>
      <c r="BP318" s="2"/>
      <c r="BQ318" s="2"/>
      <c r="BR318" s="2"/>
      <c r="BS318" s="2"/>
      <c r="BT318" s="2"/>
      <c r="BU318" s="2"/>
      <c r="BV318" s="2"/>
      <c r="BW318" s="2"/>
      <c r="BX318" s="2"/>
      <c r="BY318" s="2"/>
      <c r="BZ318" s="2"/>
      <c r="CA318" s="2"/>
      <c r="CB318" s="2"/>
      <c r="CC318" s="2"/>
      <c r="CD318" s="2"/>
      <c r="CE318" s="2"/>
      <c r="CF318" s="2"/>
      <c r="CG318" s="2"/>
      <c r="CH318" s="2"/>
      <c r="CI318" s="2"/>
      <c r="CJ318" s="2"/>
      <c r="CK318" s="2"/>
      <c r="CL318" s="2"/>
      <c r="CM318" s="2"/>
      <c r="CN318" s="2"/>
      <c r="CO318" s="2"/>
      <c r="CP318" s="2"/>
      <c r="CQ318" s="2"/>
      <c r="CR318" s="2"/>
      <c r="CS318" s="2"/>
      <c r="CT318" s="2"/>
      <c r="CU318" s="2"/>
      <c r="CV318" s="2"/>
      <c r="CW318" s="2"/>
      <c r="CX318" s="2"/>
      <c r="CY318" s="2"/>
      <c r="CZ318" s="2"/>
      <c r="DA318" s="2"/>
      <c r="DB318" s="2"/>
      <c r="DC318" s="2"/>
      <c r="DD318" s="2"/>
      <c r="DE318" s="2"/>
      <c r="DF318" s="2"/>
      <c r="DG318" s="2"/>
      <c r="DH318" s="2"/>
      <c r="DI318" s="2"/>
      <c r="DJ318" s="2"/>
      <c r="DK318" s="2"/>
      <c r="DL318" s="2"/>
      <c r="DM318" s="2"/>
      <c r="DN318" s="2"/>
      <c r="DO318" s="2"/>
      <c r="DP318" s="2"/>
      <c r="DQ318" s="2"/>
      <c r="DR318" s="2"/>
      <c r="DS318" s="2"/>
      <c r="DT318" s="2"/>
      <c r="DU318" s="2"/>
      <c r="DV318" s="2"/>
      <c r="DW318" s="2"/>
      <c r="DX318" s="2"/>
      <c r="DY318" s="2"/>
      <c r="DZ318" s="2"/>
      <c r="EA318" s="2"/>
      <c r="EB318" s="2"/>
      <c r="EC318" s="2"/>
      <c r="ED318" s="2"/>
      <c r="EE318" s="2"/>
      <c r="EF318" s="2"/>
      <c r="EG318" s="2"/>
      <c r="EH318" s="2"/>
      <c r="EI318" s="2"/>
      <c r="EJ318" s="2"/>
      <c r="EK318" s="2"/>
      <c r="EL318" s="2"/>
      <c r="EM318" s="2"/>
      <c r="EN318" s="2"/>
      <c r="EO318" s="2"/>
      <c r="EP318" s="2"/>
      <c r="EQ318" s="2"/>
      <c r="ER318" s="2"/>
      <c r="ES318" s="2"/>
      <c r="ET318" s="2"/>
      <c r="EU318" s="2"/>
      <c r="EV318" s="2"/>
      <c r="EW318" s="2"/>
      <c r="EX318" s="2"/>
      <c r="EY318" s="2"/>
      <c r="EZ318" s="2"/>
      <c r="FA318" s="2"/>
      <c r="FB318" s="2"/>
      <c r="FC318" s="2"/>
      <c r="FD318" s="2"/>
      <c r="FE318" s="2"/>
      <c r="FF318" s="2"/>
      <c r="FG318" s="2"/>
      <c r="FH318" s="2"/>
      <c r="FI318" s="2"/>
      <c r="FJ318" s="2"/>
      <c r="FK318" s="2"/>
      <c r="FL318" s="2"/>
      <c r="FM318" s="2"/>
      <c r="FN318" s="2"/>
      <c r="FO318" s="2"/>
      <c r="FP318" s="2"/>
      <c r="FQ318" s="2"/>
      <c r="FR318" s="2"/>
      <c r="FS318" s="2"/>
      <c r="FT318" s="2"/>
      <c r="FU318" s="2"/>
      <c r="FV318" s="2"/>
      <c r="FW318" s="2"/>
      <c r="FX318" s="2"/>
      <c r="FY318" s="2"/>
      <c r="FZ318" s="2"/>
      <c r="GA318" s="2"/>
      <c r="GB318" s="2"/>
      <c r="GC318" s="2"/>
      <c r="GD318" s="2"/>
      <c r="GE318" s="2"/>
      <c r="GF318" s="2"/>
      <c r="GG318" s="2"/>
      <c r="GH318" s="2"/>
      <c r="GI318" s="2"/>
      <c r="GJ318" s="2"/>
      <c r="GK318" s="2"/>
      <c r="GL318" s="2"/>
      <c r="GM318" s="2"/>
      <c r="GN318" s="2"/>
      <c r="GO318" s="2"/>
      <c r="GP318" s="2"/>
      <c r="GQ318" s="2"/>
      <c r="GR318" s="2"/>
      <c r="GS318" s="2"/>
      <c r="GT318" s="2"/>
      <c r="GU318" s="2"/>
      <c r="GV318" s="2"/>
      <c r="GW318" s="2"/>
      <c r="GX318" s="2"/>
      <c r="GY318" s="2"/>
      <c r="GZ318" s="2"/>
      <c r="HA318" s="2"/>
      <c r="HB318" s="2"/>
      <c r="HC318" s="2"/>
      <c r="HD318" s="2"/>
      <c r="HE318" s="2"/>
      <c r="HF318" s="2"/>
      <c r="HG318" s="2"/>
      <c r="HH318" s="2"/>
      <c r="HI318" s="2"/>
      <c r="HJ318" s="2"/>
      <c r="HK318" s="2"/>
      <c r="HL318" s="2"/>
      <c r="HM318" s="2"/>
      <c r="HN318" s="2"/>
      <c r="HO318" s="2"/>
      <c r="HP318" s="2"/>
      <c r="HQ318" s="2"/>
      <c r="HR318" s="2"/>
      <c r="HS318" s="2"/>
      <c r="HT318" s="2"/>
      <c r="HU318" s="2"/>
      <c r="HV318" s="2"/>
      <c r="HW318" s="2"/>
      <c r="HX318" s="2"/>
      <c r="HY318" s="2"/>
      <c r="HZ318" s="2"/>
      <c r="IA318" s="2"/>
      <c r="IB318" s="2"/>
      <c r="IC318" s="2"/>
    </row>
    <row r="319" spans="1:237" x14ac:dyDescent="0.2">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c r="AG319" s="2"/>
      <c r="AH319" s="2"/>
      <c r="AI319" s="2"/>
      <c r="AJ319" s="2"/>
      <c r="AK319" s="2"/>
      <c r="AL319" s="2"/>
      <c r="AM319" s="2"/>
      <c r="AN319" s="2"/>
      <c r="AO319" s="2"/>
      <c r="AP319" s="2"/>
      <c r="AQ319" s="2"/>
      <c r="AR319" s="2"/>
      <c r="AS319" s="2"/>
      <c r="AT319" s="2"/>
      <c r="AU319" s="2"/>
      <c r="AV319" s="2"/>
      <c r="AW319" s="2"/>
      <c r="AX319" s="2"/>
      <c r="AY319" s="2"/>
      <c r="AZ319" s="2"/>
      <c r="BA319" s="2"/>
      <c r="BB319" s="2"/>
      <c r="BC319" s="2"/>
      <c r="BD319" s="2"/>
      <c r="BE319" s="2"/>
      <c r="BF319" s="2"/>
      <c r="BG319" s="2"/>
      <c r="BH319" s="2"/>
      <c r="BI319" s="2"/>
      <c r="BJ319" s="2"/>
      <c r="BK319" s="2"/>
      <c r="BL319" s="2"/>
      <c r="BM319" s="2"/>
      <c r="BN319" s="2"/>
      <c r="BO319" s="2"/>
      <c r="BP319" s="2"/>
      <c r="BQ319" s="2"/>
      <c r="BR319" s="2"/>
      <c r="BS319" s="2"/>
      <c r="BT319" s="2"/>
      <c r="BU319" s="2"/>
      <c r="BV319" s="2"/>
      <c r="BW319" s="2"/>
      <c r="BX319" s="2"/>
      <c r="BY319" s="2"/>
      <c r="BZ319" s="2"/>
      <c r="CA319" s="2"/>
      <c r="CB319" s="2"/>
      <c r="CC319" s="2"/>
      <c r="CD319" s="2"/>
      <c r="CE319" s="2"/>
      <c r="CF319" s="2"/>
      <c r="CG319" s="2"/>
      <c r="CH319" s="2"/>
      <c r="CI319" s="2"/>
      <c r="CJ319" s="2"/>
      <c r="CK319" s="2"/>
      <c r="CL319" s="2"/>
      <c r="CM319" s="2"/>
      <c r="CN319" s="2"/>
      <c r="CO319" s="2"/>
      <c r="CP319" s="2"/>
      <c r="CQ319" s="2"/>
      <c r="CR319" s="2"/>
      <c r="CS319" s="2"/>
      <c r="CT319" s="2"/>
      <c r="CU319" s="2"/>
      <c r="CV319" s="2"/>
      <c r="CW319" s="2"/>
      <c r="CX319" s="2"/>
      <c r="CY319" s="2"/>
      <c r="CZ319" s="2"/>
      <c r="DA319" s="2"/>
      <c r="DB319" s="2"/>
      <c r="DC319" s="2"/>
      <c r="DD319" s="2"/>
      <c r="DE319" s="2"/>
      <c r="DF319" s="2"/>
      <c r="DG319" s="2"/>
      <c r="DH319" s="2"/>
      <c r="DI319" s="2"/>
      <c r="DJ319" s="2"/>
      <c r="DK319" s="2"/>
      <c r="DL319" s="2"/>
      <c r="DM319" s="2"/>
      <c r="DN319" s="2"/>
      <c r="DO319" s="2"/>
      <c r="DP319" s="2"/>
      <c r="DQ319" s="2"/>
      <c r="DR319" s="2"/>
      <c r="DS319" s="2"/>
      <c r="DT319" s="2"/>
      <c r="DU319" s="2"/>
      <c r="DV319" s="2"/>
      <c r="DW319" s="2"/>
      <c r="DX319" s="2"/>
      <c r="DY319" s="2"/>
      <c r="DZ319" s="2"/>
      <c r="EA319" s="2"/>
      <c r="EB319" s="2"/>
      <c r="EC319" s="2"/>
      <c r="ED319" s="2"/>
      <c r="EE319" s="2"/>
      <c r="EF319" s="2"/>
      <c r="EG319" s="2"/>
      <c r="EH319" s="2"/>
      <c r="EI319" s="2"/>
      <c r="EJ319" s="2"/>
      <c r="EK319" s="2"/>
      <c r="EL319" s="2"/>
      <c r="EM319" s="2"/>
      <c r="EN319" s="2"/>
      <c r="EO319" s="2"/>
      <c r="EP319" s="2"/>
      <c r="EQ319" s="2"/>
      <c r="ER319" s="2"/>
      <c r="ES319" s="2"/>
      <c r="ET319" s="2"/>
      <c r="EU319" s="2"/>
      <c r="EV319" s="2"/>
      <c r="EW319" s="2"/>
      <c r="EX319" s="2"/>
      <c r="EY319" s="2"/>
      <c r="EZ319" s="2"/>
      <c r="FA319" s="2"/>
      <c r="FB319" s="2"/>
      <c r="FC319" s="2"/>
      <c r="FD319" s="2"/>
      <c r="FE319" s="2"/>
      <c r="FF319" s="2"/>
      <c r="FG319" s="2"/>
      <c r="FH319" s="2"/>
      <c r="FI319" s="2"/>
      <c r="FJ319" s="2"/>
      <c r="FK319" s="2"/>
      <c r="FL319" s="2"/>
      <c r="FM319" s="2"/>
      <c r="FN319" s="2"/>
      <c r="FO319" s="2"/>
      <c r="FP319" s="2"/>
      <c r="FQ319" s="2"/>
      <c r="FR319" s="2"/>
      <c r="FS319" s="2"/>
      <c r="FT319" s="2"/>
      <c r="FU319" s="2"/>
      <c r="FV319" s="2"/>
      <c r="FW319" s="2"/>
      <c r="FX319" s="2"/>
      <c r="FY319" s="2"/>
      <c r="FZ319" s="2"/>
      <c r="GA319" s="2"/>
      <c r="GB319" s="2"/>
      <c r="GC319" s="2"/>
      <c r="GD319" s="2"/>
      <c r="GE319" s="2"/>
      <c r="GF319" s="2"/>
      <c r="GG319" s="2"/>
      <c r="GH319" s="2"/>
      <c r="GI319" s="2"/>
      <c r="GJ319" s="2"/>
      <c r="GK319" s="2"/>
      <c r="GL319" s="2"/>
      <c r="GM319" s="2"/>
      <c r="GN319" s="2"/>
      <c r="GO319" s="2"/>
      <c r="GP319" s="2"/>
      <c r="GQ319" s="2"/>
      <c r="GR319" s="2"/>
      <c r="GS319" s="2"/>
      <c r="GT319" s="2"/>
      <c r="GU319" s="2"/>
      <c r="GV319" s="2"/>
      <c r="GW319" s="2"/>
      <c r="GX319" s="2"/>
      <c r="GY319" s="2"/>
      <c r="GZ319" s="2"/>
      <c r="HA319" s="2"/>
      <c r="HB319" s="2"/>
      <c r="HC319" s="2"/>
      <c r="HD319" s="2"/>
      <c r="HE319" s="2"/>
      <c r="HF319" s="2"/>
      <c r="HG319" s="2"/>
      <c r="HH319" s="2"/>
      <c r="HI319" s="2"/>
      <c r="HJ319" s="2"/>
      <c r="HK319" s="2"/>
      <c r="HL319" s="2"/>
      <c r="HM319" s="2"/>
      <c r="HN319" s="2"/>
      <c r="HO319" s="2"/>
      <c r="HP319" s="2"/>
      <c r="HQ319" s="2"/>
      <c r="HR319" s="2"/>
      <c r="HS319" s="2"/>
      <c r="HT319" s="2"/>
      <c r="HU319" s="2"/>
      <c r="HV319" s="2"/>
      <c r="HW319" s="2"/>
      <c r="HX319" s="2"/>
      <c r="HY319" s="2"/>
      <c r="HZ319" s="2"/>
      <c r="IA319" s="2"/>
      <c r="IB319" s="2"/>
      <c r="IC319" s="2"/>
    </row>
    <row r="320" spans="1:237" x14ac:dyDescent="0.2">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c r="AG320" s="2"/>
      <c r="AH320" s="2"/>
      <c r="AI320" s="2"/>
      <c r="AJ320" s="2"/>
      <c r="AK320" s="2"/>
      <c r="AL320" s="2"/>
      <c r="AM320" s="2"/>
      <c r="AN320" s="2"/>
      <c r="AO320" s="2"/>
      <c r="AP320" s="2"/>
      <c r="AQ320" s="2"/>
      <c r="AR320" s="2"/>
      <c r="AS320" s="2"/>
      <c r="AT320" s="2"/>
      <c r="AU320" s="2"/>
      <c r="AV320" s="2"/>
      <c r="AW320" s="2"/>
      <c r="AX320" s="2"/>
      <c r="AY320" s="2"/>
      <c r="AZ320" s="2"/>
      <c r="BA320" s="2"/>
      <c r="BB320" s="2"/>
      <c r="BC320" s="2"/>
      <c r="BD320" s="2"/>
      <c r="BE320" s="2"/>
      <c r="BF320" s="2"/>
      <c r="BG320" s="2"/>
      <c r="BH320" s="2"/>
      <c r="BI320" s="2"/>
      <c r="BJ320" s="2"/>
      <c r="BK320" s="2"/>
      <c r="BL320" s="2"/>
      <c r="BM320" s="2"/>
      <c r="BN320" s="2"/>
      <c r="BO320" s="2"/>
      <c r="BP320" s="2"/>
      <c r="BQ320" s="2"/>
      <c r="BR320" s="2"/>
      <c r="BS320" s="2"/>
      <c r="BT320" s="2"/>
      <c r="BU320" s="2"/>
      <c r="BV320" s="2"/>
      <c r="BW320" s="2"/>
      <c r="BX320" s="2"/>
      <c r="BY320" s="2"/>
      <c r="BZ320" s="2"/>
      <c r="CA320" s="2"/>
      <c r="CB320" s="2"/>
      <c r="CC320" s="2"/>
      <c r="CD320" s="2"/>
      <c r="CE320" s="2"/>
      <c r="CF320" s="2"/>
      <c r="CG320" s="2"/>
      <c r="CH320" s="2"/>
      <c r="CI320" s="2"/>
      <c r="CJ320" s="2"/>
      <c r="CK320" s="2"/>
      <c r="CL320" s="2"/>
      <c r="CM320" s="2"/>
      <c r="CN320" s="2"/>
      <c r="CO320" s="2"/>
      <c r="CP320" s="2"/>
      <c r="CQ320" s="2"/>
      <c r="CR320" s="2"/>
      <c r="CS320" s="2"/>
      <c r="CT320" s="2"/>
      <c r="CU320" s="2"/>
      <c r="CV320" s="2"/>
      <c r="CW320" s="2"/>
      <c r="CX320" s="2"/>
      <c r="CY320" s="2"/>
      <c r="CZ320" s="2"/>
      <c r="DA320" s="2"/>
      <c r="DB320" s="2"/>
      <c r="DC320" s="2"/>
      <c r="DD320" s="2"/>
      <c r="DE320" s="2"/>
      <c r="DF320" s="2"/>
      <c r="DG320" s="2"/>
      <c r="DH320" s="2"/>
      <c r="DI320" s="2"/>
      <c r="DJ320" s="2"/>
      <c r="DK320" s="2"/>
      <c r="DL320" s="2"/>
      <c r="DM320" s="2"/>
      <c r="DN320" s="2"/>
      <c r="DO320" s="2"/>
      <c r="DP320" s="2"/>
      <c r="DQ320" s="2"/>
      <c r="DR320" s="2"/>
      <c r="DS320" s="2"/>
      <c r="DT320" s="2"/>
      <c r="DU320" s="2"/>
      <c r="DV320" s="2"/>
      <c r="DW320" s="2"/>
      <c r="DX320" s="2"/>
      <c r="DY320" s="2"/>
      <c r="DZ320" s="2"/>
      <c r="EA320" s="2"/>
      <c r="EB320" s="2"/>
      <c r="EC320" s="2"/>
      <c r="ED320" s="2"/>
      <c r="EE320" s="2"/>
      <c r="EF320" s="2"/>
      <c r="EG320" s="2"/>
      <c r="EH320" s="2"/>
      <c r="EI320" s="2"/>
      <c r="EJ320" s="2"/>
      <c r="EK320" s="2"/>
      <c r="EL320" s="2"/>
      <c r="EM320" s="2"/>
      <c r="EN320" s="2"/>
      <c r="EO320" s="2"/>
      <c r="EP320" s="2"/>
      <c r="EQ320" s="2"/>
      <c r="ER320" s="2"/>
      <c r="ES320" s="2"/>
      <c r="ET320" s="2"/>
      <c r="EU320" s="2"/>
      <c r="EV320" s="2"/>
      <c r="EW320" s="2"/>
      <c r="EX320" s="2"/>
      <c r="EY320" s="2"/>
      <c r="EZ320" s="2"/>
      <c r="FA320" s="2"/>
      <c r="FB320" s="2"/>
      <c r="FC320" s="2"/>
      <c r="FD320" s="2"/>
      <c r="FE320" s="2"/>
      <c r="FF320" s="2"/>
      <c r="FG320" s="2"/>
      <c r="FH320" s="2"/>
      <c r="FI320" s="2"/>
      <c r="FJ320" s="2"/>
      <c r="FK320" s="2"/>
      <c r="FL320" s="2"/>
      <c r="FM320" s="2"/>
      <c r="FN320" s="2"/>
      <c r="FO320" s="2"/>
      <c r="FP320" s="2"/>
      <c r="FQ320" s="2"/>
      <c r="FR320" s="2"/>
      <c r="FS320" s="2"/>
      <c r="FT320" s="2"/>
      <c r="FU320" s="2"/>
      <c r="FV320" s="2"/>
      <c r="FW320" s="2"/>
      <c r="FX320" s="2"/>
      <c r="FY320" s="2"/>
      <c r="FZ320" s="2"/>
      <c r="GA320" s="2"/>
      <c r="GB320" s="2"/>
      <c r="GC320" s="2"/>
      <c r="GD320" s="2"/>
      <c r="GE320" s="2"/>
      <c r="GF320" s="2"/>
      <c r="GG320" s="2"/>
      <c r="GH320" s="2"/>
      <c r="GI320" s="2"/>
      <c r="GJ320" s="2"/>
      <c r="GK320" s="2"/>
      <c r="GL320" s="2"/>
      <c r="GM320" s="2"/>
      <c r="GN320" s="2"/>
      <c r="GO320" s="2"/>
      <c r="GP320" s="2"/>
      <c r="GQ320" s="2"/>
      <c r="GR320" s="2"/>
      <c r="GS320" s="2"/>
      <c r="GT320" s="2"/>
      <c r="GU320" s="2"/>
      <c r="GV320" s="2"/>
      <c r="GW320" s="2"/>
      <c r="GX320" s="2"/>
      <c r="GY320" s="2"/>
      <c r="GZ320" s="2"/>
      <c r="HA320" s="2"/>
      <c r="HB320" s="2"/>
      <c r="HC320" s="2"/>
      <c r="HD320" s="2"/>
      <c r="HE320" s="2"/>
      <c r="HF320" s="2"/>
      <c r="HG320" s="2"/>
      <c r="HH320" s="2"/>
      <c r="HI320" s="2"/>
      <c r="HJ320" s="2"/>
      <c r="HK320" s="2"/>
      <c r="HL320" s="2"/>
      <c r="HM320" s="2"/>
      <c r="HN320" s="2"/>
      <c r="HO320" s="2"/>
      <c r="HP320" s="2"/>
      <c r="HQ320" s="2"/>
      <c r="HR320" s="2"/>
      <c r="HS320" s="2"/>
      <c r="HT320" s="2"/>
      <c r="HU320" s="2"/>
      <c r="HV320" s="2"/>
      <c r="HW320" s="2"/>
      <c r="HX320" s="2"/>
      <c r="HY320" s="2"/>
      <c r="HZ320" s="2"/>
      <c r="IA320" s="2"/>
      <c r="IB320" s="2"/>
      <c r="IC320" s="2"/>
    </row>
    <row r="321" spans="1:237" x14ac:dyDescent="0.2">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c r="AG321" s="2"/>
      <c r="AH321" s="2"/>
      <c r="AI321" s="2"/>
      <c r="AJ321" s="2"/>
      <c r="AK321" s="2"/>
      <c r="AL321" s="2"/>
      <c r="AM321" s="2"/>
      <c r="AN321" s="2"/>
      <c r="AO321" s="2"/>
      <c r="AP321" s="2"/>
      <c r="AQ321" s="2"/>
      <c r="AR321" s="2"/>
      <c r="AS321" s="2"/>
      <c r="AT321" s="2"/>
      <c r="AU321" s="2"/>
      <c r="AV321" s="2"/>
      <c r="AW321" s="2"/>
      <c r="AX321" s="2"/>
      <c r="AY321" s="2"/>
      <c r="AZ321" s="2"/>
      <c r="BA321" s="2"/>
      <c r="BB321" s="2"/>
      <c r="BC321" s="2"/>
      <c r="BD321" s="2"/>
      <c r="BE321" s="2"/>
      <c r="BF321" s="2"/>
      <c r="BG321" s="2"/>
      <c r="BH321" s="2"/>
      <c r="BI321" s="2"/>
      <c r="BJ321" s="2"/>
      <c r="BK321" s="2"/>
      <c r="BL321" s="2"/>
      <c r="BM321" s="2"/>
      <c r="BN321" s="2"/>
      <c r="BO321" s="2"/>
      <c r="BP321" s="2"/>
      <c r="BQ321" s="2"/>
      <c r="BR321" s="2"/>
      <c r="BS321" s="2"/>
      <c r="BT321" s="2"/>
      <c r="BU321" s="2"/>
      <c r="BV321" s="2"/>
      <c r="BW321" s="2"/>
      <c r="BX321" s="2"/>
      <c r="BY321" s="2"/>
      <c r="BZ321" s="2"/>
      <c r="CA321" s="2"/>
      <c r="CB321" s="2"/>
      <c r="CC321" s="2"/>
      <c r="CD321" s="2"/>
      <c r="CE321" s="2"/>
      <c r="CF321" s="2"/>
      <c r="CG321" s="2"/>
      <c r="CH321" s="2"/>
      <c r="CI321" s="2"/>
      <c r="CJ321" s="2"/>
      <c r="CK321" s="2"/>
      <c r="CL321" s="2"/>
      <c r="CM321" s="2"/>
      <c r="CN321" s="2"/>
      <c r="CO321" s="2"/>
      <c r="CP321" s="2"/>
      <c r="CQ321" s="2"/>
      <c r="CR321" s="2"/>
      <c r="CS321" s="2"/>
      <c r="CT321" s="2"/>
      <c r="CU321" s="2"/>
      <c r="CV321" s="2"/>
      <c r="CW321" s="2"/>
      <c r="CX321" s="2"/>
      <c r="CY321" s="2"/>
      <c r="CZ321" s="2"/>
      <c r="DA321" s="2"/>
      <c r="DB321" s="2"/>
      <c r="DC321" s="2"/>
      <c r="DD321" s="2"/>
      <c r="DE321" s="2"/>
      <c r="DF321" s="2"/>
      <c r="DG321" s="2"/>
      <c r="DH321" s="2"/>
      <c r="DI321" s="2"/>
      <c r="DJ321" s="2"/>
      <c r="DK321" s="2"/>
      <c r="DL321" s="2"/>
      <c r="DM321" s="2"/>
      <c r="DN321" s="2"/>
      <c r="DO321" s="2"/>
      <c r="DP321" s="2"/>
      <c r="DQ321" s="2"/>
      <c r="DR321" s="2"/>
      <c r="DS321" s="2"/>
      <c r="DT321" s="2"/>
      <c r="DU321" s="2"/>
      <c r="DV321" s="2"/>
      <c r="DW321" s="2"/>
      <c r="DX321" s="2"/>
      <c r="DY321" s="2"/>
      <c r="DZ321" s="2"/>
      <c r="EA321" s="2"/>
      <c r="EB321" s="2"/>
      <c r="EC321" s="2"/>
      <c r="ED321" s="2"/>
      <c r="EE321" s="2"/>
      <c r="EF321" s="2"/>
      <c r="EG321" s="2"/>
      <c r="EH321" s="2"/>
      <c r="EI321" s="2"/>
      <c r="EJ321" s="2"/>
      <c r="EK321" s="2"/>
      <c r="EL321" s="2"/>
      <c r="EM321" s="2"/>
      <c r="EN321" s="2"/>
      <c r="EO321" s="2"/>
      <c r="EP321" s="2"/>
      <c r="EQ321" s="2"/>
      <c r="ER321" s="2"/>
      <c r="ES321" s="2"/>
      <c r="ET321" s="2"/>
      <c r="EU321" s="2"/>
      <c r="EV321" s="2"/>
      <c r="EW321" s="2"/>
      <c r="EX321" s="2"/>
      <c r="EY321" s="2"/>
      <c r="EZ321" s="2"/>
      <c r="FA321" s="2"/>
      <c r="FB321" s="2"/>
      <c r="FC321" s="2"/>
      <c r="FD321" s="2"/>
      <c r="FE321" s="2"/>
      <c r="FF321" s="2"/>
      <c r="FG321" s="2"/>
      <c r="FH321" s="2"/>
      <c r="FI321" s="2"/>
      <c r="FJ321" s="2"/>
      <c r="FK321" s="2"/>
      <c r="FL321" s="2"/>
      <c r="FM321" s="2"/>
      <c r="FN321" s="2"/>
      <c r="FO321" s="2"/>
      <c r="FP321" s="2"/>
      <c r="FQ321" s="2"/>
      <c r="FR321" s="2"/>
      <c r="FS321" s="2"/>
      <c r="FT321" s="2"/>
      <c r="FU321" s="2"/>
      <c r="FV321" s="2"/>
      <c r="FW321" s="2"/>
      <c r="FX321" s="2"/>
      <c r="FY321" s="2"/>
      <c r="FZ321" s="2"/>
      <c r="GA321" s="2"/>
      <c r="GB321" s="2"/>
      <c r="GC321" s="2"/>
      <c r="GD321" s="2"/>
      <c r="GE321" s="2"/>
      <c r="GF321" s="2"/>
      <c r="GG321" s="2"/>
      <c r="GH321" s="2"/>
      <c r="GI321" s="2"/>
      <c r="GJ321" s="2"/>
      <c r="GK321" s="2"/>
      <c r="GL321" s="2"/>
      <c r="GM321" s="2"/>
      <c r="GN321" s="2"/>
      <c r="GO321" s="2"/>
      <c r="GP321" s="2"/>
      <c r="GQ321" s="2"/>
      <c r="GR321" s="2"/>
      <c r="GS321" s="2"/>
      <c r="GT321" s="2"/>
      <c r="GU321" s="2"/>
      <c r="GV321" s="2"/>
      <c r="GW321" s="2"/>
      <c r="GX321" s="2"/>
      <c r="GY321" s="2"/>
      <c r="GZ321" s="2"/>
      <c r="HA321" s="2"/>
      <c r="HB321" s="2"/>
      <c r="HC321" s="2"/>
      <c r="HD321" s="2"/>
      <c r="HE321" s="2"/>
      <c r="HF321" s="2"/>
      <c r="HG321" s="2"/>
      <c r="HH321" s="2"/>
      <c r="HI321" s="2"/>
      <c r="HJ321" s="2"/>
      <c r="HK321" s="2"/>
      <c r="HL321" s="2"/>
      <c r="HM321" s="2"/>
      <c r="HN321" s="2"/>
      <c r="HO321" s="2"/>
      <c r="HP321" s="2"/>
      <c r="HQ321" s="2"/>
      <c r="HR321" s="2"/>
      <c r="HS321" s="2"/>
      <c r="HT321" s="2"/>
      <c r="HU321" s="2"/>
      <c r="HV321" s="2"/>
      <c r="HW321" s="2"/>
      <c r="HX321" s="2"/>
      <c r="HY321" s="2"/>
      <c r="HZ321" s="2"/>
      <c r="IA321" s="2"/>
      <c r="IB321" s="2"/>
      <c r="IC321" s="2"/>
    </row>
    <row r="322" spans="1:237" x14ac:dyDescent="0.2">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c r="AG322" s="2"/>
      <c r="AH322" s="2"/>
      <c r="AI322" s="2"/>
      <c r="AJ322" s="2"/>
      <c r="AK322" s="2"/>
      <c r="AL322" s="2"/>
      <c r="AM322" s="2"/>
      <c r="AN322" s="2"/>
      <c r="AO322" s="2"/>
      <c r="AP322" s="2"/>
      <c r="AQ322" s="2"/>
      <c r="AR322" s="2"/>
      <c r="AS322" s="2"/>
      <c r="AT322" s="2"/>
      <c r="AU322" s="2"/>
      <c r="AV322" s="2"/>
      <c r="AW322" s="2"/>
      <c r="AX322" s="2"/>
      <c r="AY322" s="2"/>
      <c r="AZ322" s="2"/>
      <c r="BA322" s="2"/>
      <c r="BB322" s="2"/>
      <c r="BC322" s="2"/>
      <c r="BD322" s="2"/>
      <c r="BE322" s="2"/>
      <c r="BF322" s="2"/>
      <c r="BG322" s="2"/>
      <c r="BH322" s="2"/>
      <c r="BI322" s="2"/>
      <c r="BJ322" s="2"/>
      <c r="BK322" s="2"/>
      <c r="BL322" s="2"/>
      <c r="BM322" s="2"/>
      <c r="BN322" s="2"/>
      <c r="BO322" s="2"/>
      <c r="BP322" s="2"/>
      <c r="BQ322" s="2"/>
      <c r="BR322" s="2"/>
      <c r="BS322" s="2"/>
      <c r="BT322" s="2"/>
      <c r="BU322" s="2"/>
      <c r="BV322" s="2"/>
      <c r="BW322" s="2"/>
      <c r="BX322" s="2"/>
      <c r="BY322" s="2"/>
      <c r="BZ322" s="2"/>
      <c r="CA322" s="2"/>
      <c r="CB322" s="2"/>
      <c r="CC322" s="2"/>
      <c r="CD322" s="2"/>
      <c r="CE322" s="2"/>
      <c r="CF322" s="2"/>
      <c r="CG322" s="2"/>
      <c r="CH322" s="2"/>
      <c r="CI322" s="2"/>
      <c r="CJ322" s="2"/>
      <c r="CK322" s="2"/>
      <c r="CL322" s="2"/>
      <c r="CM322" s="2"/>
      <c r="CN322" s="2"/>
      <c r="CO322" s="2"/>
      <c r="CP322" s="2"/>
      <c r="CQ322" s="2"/>
      <c r="CR322" s="2"/>
      <c r="CS322" s="2"/>
      <c r="CT322" s="2"/>
      <c r="CU322" s="2"/>
      <c r="CV322" s="2"/>
      <c r="CW322" s="2"/>
      <c r="CX322" s="2"/>
      <c r="CY322" s="2"/>
      <c r="CZ322" s="2"/>
      <c r="DA322" s="2"/>
      <c r="DB322" s="2"/>
      <c r="DC322" s="2"/>
      <c r="DD322" s="2"/>
      <c r="DE322" s="2"/>
      <c r="DF322" s="2"/>
      <c r="DG322" s="2"/>
      <c r="DH322" s="2"/>
      <c r="DI322" s="2"/>
      <c r="DJ322" s="2"/>
      <c r="DK322" s="2"/>
      <c r="DL322" s="2"/>
      <c r="DM322" s="2"/>
      <c r="DN322" s="2"/>
      <c r="DO322" s="2"/>
      <c r="DP322" s="2"/>
      <c r="DQ322" s="2"/>
      <c r="DR322" s="2"/>
      <c r="DS322" s="2"/>
      <c r="DT322" s="2"/>
      <c r="DU322" s="2"/>
      <c r="DV322" s="2"/>
      <c r="DW322" s="2"/>
      <c r="DX322" s="2"/>
      <c r="DY322" s="2"/>
      <c r="DZ322" s="2"/>
      <c r="EA322" s="2"/>
      <c r="EB322" s="2"/>
      <c r="EC322" s="2"/>
      <c r="ED322" s="2"/>
      <c r="EE322" s="2"/>
      <c r="EF322" s="2"/>
      <c r="EG322" s="2"/>
      <c r="EH322" s="2"/>
      <c r="EI322" s="2"/>
      <c r="EJ322" s="2"/>
      <c r="EK322" s="2"/>
      <c r="EL322" s="2"/>
      <c r="EM322" s="2"/>
      <c r="EN322" s="2"/>
      <c r="EO322" s="2"/>
      <c r="EP322" s="2"/>
      <c r="EQ322" s="2"/>
      <c r="ER322" s="2"/>
      <c r="ES322" s="2"/>
      <c r="ET322" s="2"/>
      <c r="EU322" s="2"/>
      <c r="EV322" s="2"/>
      <c r="EW322" s="2"/>
      <c r="EX322" s="2"/>
      <c r="EY322" s="2"/>
      <c r="EZ322" s="2"/>
      <c r="FA322" s="2"/>
      <c r="FB322" s="2"/>
      <c r="FC322" s="2"/>
      <c r="FD322" s="2"/>
      <c r="FE322" s="2"/>
      <c r="FF322" s="2"/>
      <c r="FG322" s="2"/>
      <c r="FH322" s="2"/>
      <c r="FI322" s="2"/>
      <c r="FJ322" s="2"/>
      <c r="FK322" s="2"/>
      <c r="FL322" s="2"/>
      <c r="FM322" s="2"/>
      <c r="FN322" s="2"/>
      <c r="FO322" s="2"/>
      <c r="FP322" s="2"/>
      <c r="FQ322" s="2"/>
      <c r="FR322" s="2"/>
      <c r="FS322" s="2"/>
      <c r="FT322" s="2"/>
      <c r="FU322" s="2"/>
      <c r="FV322" s="2"/>
      <c r="FW322" s="2"/>
      <c r="FX322" s="2"/>
      <c r="FY322" s="2"/>
      <c r="FZ322" s="2"/>
      <c r="GA322" s="2"/>
      <c r="GB322" s="2"/>
      <c r="GC322" s="2"/>
      <c r="GD322" s="2"/>
      <c r="GE322" s="2"/>
      <c r="GF322" s="2"/>
      <c r="GG322" s="2"/>
      <c r="GH322" s="2"/>
      <c r="GI322" s="2"/>
      <c r="GJ322" s="2"/>
      <c r="GK322" s="2"/>
      <c r="GL322" s="2"/>
      <c r="GM322" s="2"/>
      <c r="GN322" s="2"/>
      <c r="GO322" s="2"/>
      <c r="GP322" s="2"/>
      <c r="GQ322" s="2"/>
      <c r="GR322" s="2"/>
      <c r="GS322" s="2"/>
      <c r="GT322" s="2"/>
      <c r="GU322" s="2"/>
      <c r="GV322" s="2"/>
      <c r="GW322" s="2"/>
      <c r="GX322" s="2"/>
      <c r="GY322" s="2"/>
      <c r="GZ322" s="2"/>
      <c r="HA322" s="2"/>
      <c r="HB322" s="2"/>
      <c r="HC322" s="2"/>
      <c r="HD322" s="2"/>
      <c r="HE322" s="2"/>
      <c r="HF322" s="2"/>
      <c r="HG322" s="2"/>
      <c r="HH322" s="2"/>
      <c r="HI322" s="2"/>
      <c r="HJ322" s="2"/>
      <c r="HK322" s="2"/>
      <c r="HL322" s="2"/>
      <c r="HM322" s="2"/>
      <c r="HN322" s="2"/>
      <c r="HO322" s="2"/>
      <c r="HP322" s="2"/>
      <c r="HQ322" s="2"/>
      <c r="HR322" s="2"/>
      <c r="HS322" s="2"/>
      <c r="HT322" s="2"/>
      <c r="HU322" s="2"/>
      <c r="HV322" s="2"/>
      <c r="HW322" s="2"/>
      <c r="HX322" s="2"/>
      <c r="HY322" s="2"/>
      <c r="HZ322" s="2"/>
      <c r="IA322" s="2"/>
      <c r="IB322" s="2"/>
      <c r="IC322" s="2"/>
    </row>
    <row r="323" spans="1:237" x14ac:dyDescent="0.2">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c r="AG323" s="2"/>
      <c r="AH323" s="2"/>
      <c r="AI323" s="2"/>
      <c r="AJ323" s="2"/>
      <c r="AK323" s="2"/>
      <c r="AL323" s="2"/>
      <c r="AM323" s="2"/>
      <c r="AN323" s="2"/>
      <c r="AO323" s="2"/>
      <c r="AP323" s="2"/>
      <c r="AQ323" s="2"/>
      <c r="AR323" s="2"/>
      <c r="AS323" s="2"/>
      <c r="AT323" s="2"/>
      <c r="AU323" s="2"/>
      <c r="AV323" s="2"/>
      <c r="AW323" s="2"/>
      <c r="AX323" s="2"/>
      <c r="AY323" s="2"/>
      <c r="AZ323" s="2"/>
      <c r="BA323" s="2"/>
      <c r="BB323" s="2"/>
      <c r="BC323" s="2"/>
      <c r="BD323" s="2"/>
      <c r="BE323" s="2"/>
      <c r="BF323" s="2"/>
      <c r="BG323" s="2"/>
      <c r="BH323" s="2"/>
      <c r="BI323" s="2"/>
      <c r="BJ323" s="2"/>
      <c r="BK323" s="2"/>
      <c r="BL323" s="2"/>
      <c r="BM323" s="2"/>
      <c r="BN323" s="2"/>
      <c r="BO323" s="2"/>
      <c r="BP323" s="2"/>
      <c r="BQ323" s="2"/>
      <c r="BR323" s="2"/>
      <c r="BS323" s="2"/>
      <c r="BT323" s="2"/>
      <c r="BU323" s="2"/>
      <c r="BV323" s="2"/>
      <c r="BW323" s="2"/>
      <c r="BX323" s="2"/>
      <c r="BY323" s="2"/>
      <c r="BZ323" s="2"/>
      <c r="CA323" s="2"/>
      <c r="CB323" s="2"/>
      <c r="CC323" s="2"/>
      <c r="CD323" s="2"/>
      <c r="CE323" s="2"/>
      <c r="CF323" s="2"/>
      <c r="CG323" s="2"/>
      <c r="CH323" s="2"/>
      <c r="CI323" s="2"/>
      <c r="CJ323" s="2"/>
      <c r="CK323" s="2"/>
      <c r="CL323" s="2"/>
      <c r="CM323" s="2"/>
      <c r="CN323" s="2"/>
      <c r="CO323" s="2"/>
      <c r="CP323" s="2"/>
      <c r="CQ323" s="2"/>
      <c r="CR323" s="2"/>
      <c r="CS323" s="2"/>
      <c r="CT323" s="2"/>
      <c r="CU323" s="2"/>
      <c r="CV323" s="2"/>
      <c r="CW323" s="2"/>
      <c r="CX323" s="2"/>
      <c r="CY323" s="2"/>
      <c r="CZ323" s="2"/>
      <c r="DA323" s="2"/>
      <c r="DB323" s="2"/>
      <c r="DC323" s="2"/>
      <c r="DD323" s="2"/>
      <c r="DE323" s="2"/>
      <c r="DF323" s="2"/>
      <c r="DG323" s="2"/>
      <c r="DH323" s="2"/>
      <c r="DI323" s="2"/>
      <c r="DJ323" s="2"/>
      <c r="DK323" s="2"/>
      <c r="DL323" s="2"/>
      <c r="DM323" s="2"/>
      <c r="DN323" s="2"/>
      <c r="DO323" s="2"/>
      <c r="DP323" s="2"/>
      <c r="DQ323" s="2"/>
      <c r="DR323" s="2"/>
      <c r="DS323" s="2"/>
      <c r="DT323" s="2"/>
      <c r="DU323" s="2"/>
      <c r="DV323" s="2"/>
      <c r="DW323" s="2"/>
      <c r="DX323" s="2"/>
      <c r="DY323" s="2"/>
      <c r="DZ323" s="2"/>
      <c r="EA323" s="2"/>
      <c r="EB323" s="2"/>
      <c r="EC323" s="2"/>
      <c r="ED323" s="2"/>
      <c r="EE323" s="2"/>
      <c r="EF323" s="2"/>
      <c r="EG323" s="2"/>
      <c r="EH323" s="2"/>
      <c r="EI323" s="2"/>
      <c r="EJ323" s="2"/>
      <c r="EK323" s="2"/>
      <c r="EL323" s="2"/>
      <c r="EM323" s="2"/>
      <c r="EN323" s="2"/>
      <c r="EO323" s="2"/>
      <c r="EP323" s="2"/>
      <c r="EQ323" s="2"/>
      <c r="ER323" s="2"/>
      <c r="ES323" s="2"/>
      <c r="ET323" s="2"/>
      <c r="EU323" s="2"/>
      <c r="EV323" s="2"/>
      <c r="EW323" s="2"/>
      <c r="EX323" s="2"/>
      <c r="EY323" s="2"/>
      <c r="EZ323" s="2"/>
      <c r="FA323" s="2"/>
      <c r="FB323" s="2"/>
      <c r="FC323" s="2"/>
      <c r="FD323" s="2"/>
      <c r="FE323" s="2"/>
      <c r="FF323" s="2"/>
      <c r="FG323" s="2"/>
      <c r="FH323" s="2"/>
      <c r="FI323" s="2"/>
      <c r="FJ323" s="2"/>
      <c r="FK323" s="2"/>
      <c r="FL323" s="2"/>
      <c r="FM323" s="2"/>
      <c r="FN323" s="2"/>
      <c r="FO323" s="2"/>
      <c r="FP323" s="2"/>
      <c r="FQ323" s="2"/>
      <c r="FR323" s="2"/>
      <c r="FS323" s="2"/>
      <c r="FT323" s="2"/>
      <c r="FU323" s="2"/>
      <c r="FV323" s="2"/>
      <c r="FW323" s="2"/>
      <c r="FX323" s="2"/>
      <c r="FY323" s="2"/>
      <c r="FZ323" s="2"/>
      <c r="GA323" s="2"/>
      <c r="GB323" s="2"/>
      <c r="GC323" s="2"/>
      <c r="GD323" s="2"/>
      <c r="GE323" s="2"/>
      <c r="GF323" s="2"/>
      <c r="GG323" s="2"/>
      <c r="GH323" s="2"/>
      <c r="GI323" s="2"/>
      <c r="GJ323" s="2"/>
      <c r="GK323" s="2"/>
      <c r="GL323" s="2"/>
      <c r="GM323" s="2"/>
      <c r="GN323" s="2"/>
      <c r="GO323" s="2"/>
      <c r="GP323" s="2"/>
      <c r="GQ323" s="2"/>
      <c r="GR323" s="2"/>
      <c r="GS323" s="2"/>
      <c r="GT323" s="2"/>
      <c r="GU323" s="2"/>
      <c r="GV323" s="2"/>
      <c r="GW323" s="2"/>
      <c r="GX323" s="2"/>
      <c r="GY323" s="2"/>
      <c r="GZ323" s="2"/>
      <c r="HA323" s="2"/>
      <c r="HB323" s="2"/>
      <c r="HC323" s="2"/>
      <c r="HD323" s="2"/>
      <c r="HE323" s="2"/>
      <c r="HF323" s="2"/>
      <c r="HG323" s="2"/>
      <c r="HH323" s="2"/>
      <c r="HI323" s="2"/>
      <c r="HJ323" s="2"/>
      <c r="HK323" s="2"/>
      <c r="HL323" s="2"/>
      <c r="HM323" s="2"/>
      <c r="HN323" s="2"/>
      <c r="HO323" s="2"/>
      <c r="HP323" s="2"/>
      <c r="HQ323" s="2"/>
      <c r="HR323" s="2"/>
      <c r="HS323" s="2"/>
      <c r="HT323" s="2"/>
      <c r="HU323" s="2"/>
      <c r="HV323" s="2"/>
      <c r="HW323" s="2"/>
      <c r="HX323" s="2"/>
      <c r="HY323" s="2"/>
      <c r="HZ323" s="2"/>
      <c r="IA323" s="2"/>
      <c r="IB323" s="2"/>
      <c r="IC323" s="2"/>
    </row>
    <row r="324" spans="1:237" x14ac:dyDescent="0.2">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c r="AG324" s="2"/>
      <c r="AH324" s="2"/>
      <c r="AI324" s="2"/>
      <c r="AJ324" s="2"/>
      <c r="AK324" s="2"/>
      <c r="AL324" s="2"/>
      <c r="AM324" s="2"/>
      <c r="AN324" s="2"/>
      <c r="AO324" s="2"/>
      <c r="AP324" s="2"/>
      <c r="AQ324" s="2"/>
      <c r="AR324" s="2"/>
      <c r="AS324" s="2"/>
      <c r="AT324" s="2"/>
      <c r="AU324" s="2"/>
      <c r="AV324" s="2"/>
      <c r="AW324" s="2"/>
      <c r="AX324" s="2"/>
      <c r="AY324" s="2"/>
      <c r="AZ324" s="2"/>
      <c r="BA324" s="2"/>
      <c r="BB324" s="2"/>
      <c r="BC324" s="2"/>
      <c r="BD324" s="2"/>
      <c r="BE324" s="2"/>
      <c r="BF324" s="2"/>
      <c r="BG324" s="2"/>
      <c r="BH324" s="2"/>
      <c r="BI324" s="2"/>
      <c r="BJ324" s="2"/>
      <c r="BK324" s="2"/>
      <c r="BL324" s="2"/>
      <c r="BM324" s="2"/>
      <c r="BN324" s="2"/>
      <c r="BO324" s="2"/>
      <c r="BP324" s="2"/>
      <c r="BQ324" s="2"/>
      <c r="BR324" s="2"/>
      <c r="BS324" s="2"/>
      <c r="BT324" s="2"/>
      <c r="BU324" s="2"/>
      <c r="BV324" s="2"/>
      <c r="BW324" s="2"/>
      <c r="BX324" s="2"/>
      <c r="BY324" s="2"/>
      <c r="BZ324" s="2"/>
      <c r="CA324" s="2"/>
      <c r="CB324" s="2"/>
      <c r="CC324" s="2"/>
      <c r="CD324" s="2"/>
      <c r="CE324" s="2"/>
      <c r="CF324" s="2"/>
      <c r="CG324" s="2"/>
      <c r="CH324" s="2"/>
      <c r="CI324" s="2"/>
      <c r="CJ324" s="2"/>
      <c r="CK324" s="2"/>
      <c r="CL324" s="2"/>
      <c r="CM324" s="2"/>
      <c r="CN324" s="2"/>
      <c r="CO324" s="2"/>
      <c r="CP324" s="2"/>
      <c r="CQ324" s="2"/>
      <c r="CR324" s="2"/>
      <c r="CS324" s="2"/>
      <c r="CT324" s="2"/>
      <c r="CU324" s="2"/>
      <c r="CV324" s="2"/>
      <c r="CW324" s="2"/>
      <c r="CX324" s="2"/>
      <c r="CY324" s="2"/>
      <c r="CZ324" s="2"/>
      <c r="DA324" s="2"/>
      <c r="DB324" s="2"/>
      <c r="DC324" s="2"/>
      <c r="DD324" s="2"/>
      <c r="DE324" s="2"/>
      <c r="DF324" s="2"/>
      <c r="DG324" s="2"/>
      <c r="DH324" s="2"/>
      <c r="DI324" s="2"/>
      <c r="DJ324" s="2"/>
      <c r="DK324" s="2"/>
      <c r="DL324" s="2"/>
      <c r="DM324" s="2"/>
      <c r="DN324" s="2"/>
      <c r="DO324" s="2"/>
      <c r="DP324" s="2"/>
      <c r="DQ324" s="2"/>
      <c r="DR324" s="2"/>
      <c r="DS324" s="2"/>
      <c r="DT324" s="2"/>
      <c r="DU324" s="2"/>
      <c r="DV324" s="2"/>
      <c r="DW324" s="2"/>
      <c r="DX324" s="2"/>
      <c r="DY324" s="2"/>
      <c r="DZ324" s="2"/>
      <c r="EA324" s="2"/>
      <c r="EB324" s="2"/>
      <c r="EC324" s="2"/>
      <c r="ED324" s="2"/>
      <c r="EE324" s="2"/>
      <c r="EF324" s="2"/>
      <c r="EG324" s="2"/>
      <c r="EH324" s="2"/>
      <c r="EI324" s="2"/>
      <c r="EJ324" s="2"/>
      <c r="EK324" s="2"/>
      <c r="EL324" s="2"/>
      <c r="EM324" s="2"/>
      <c r="EN324" s="2"/>
      <c r="EO324" s="2"/>
      <c r="EP324" s="2"/>
      <c r="EQ324" s="2"/>
      <c r="ER324" s="2"/>
      <c r="ES324" s="2"/>
      <c r="ET324" s="2"/>
      <c r="EU324" s="2"/>
      <c r="EV324" s="2"/>
      <c r="EW324" s="2"/>
      <c r="EX324" s="2"/>
      <c r="EY324" s="2"/>
      <c r="EZ324" s="2"/>
      <c r="FA324" s="2"/>
      <c r="FB324" s="2"/>
      <c r="FC324" s="2"/>
      <c r="FD324" s="2"/>
      <c r="FE324" s="2"/>
      <c r="FF324" s="2"/>
      <c r="FG324" s="2"/>
      <c r="FH324" s="2"/>
      <c r="FI324" s="2"/>
      <c r="FJ324" s="2"/>
      <c r="FK324" s="2"/>
      <c r="FL324" s="2"/>
      <c r="FM324" s="2"/>
      <c r="FN324" s="2"/>
      <c r="FO324" s="2"/>
      <c r="FP324" s="2"/>
      <c r="FQ324" s="2"/>
      <c r="FR324" s="2"/>
      <c r="FS324" s="2"/>
      <c r="FT324" s="2"/>
      <c r="FU324" s="2"/>
      <c r="FV324" s="2"/>
      <c r="FW324" s="2"/>
      <c r="FX324" s="2"/>
      <c r="FY324" s="2"/>
      <c r="FZ324" s="2"/>
      <c r="GA324" s="2"/>
      <c r="GB324" s="2"/>
      <c r="GC324" s="2"/>
      <c r="GD324" s="2"/>
      <c r="GE324" s="2"/>
      <c r="GF324" s="2"/>
      <c r="GG324" s="2"/>
      <c r="GH324" s="2"/>
      <c r="GI324" s="2"/>
      <c r="GJ324" s="2"/>
      <c r="GK324" s="2"/>
      <c r="GL324" s="2"/>
      <c r="GM324" s="2"/>
      <c r="GN324" s="2"/>
      <c r="GO324" s="2"/>
      <c r="GP324" s="2"/>
      <c r="GQ324" s="2"/>
      <c r="GR324" s="2"/>
      <c r="GS324" s="2"/>
      <c r="GT324" s="2"/>
      <c r="GU324" s="2"/>
      <c r="GV324" s="2"/>
      <c r="GW324" s="2"/>
      <c r="GX324" s="2"/>
      <c r="GY324" s="2"/>
      <c r="GZ324" s="2"/>
      <c r="HA324" s="2"/>
      <c r="HB324" s="2"/>
      <c r="HC324" s="2"/>
      <c r="HD324" s="2"/>
      <c r="HE324" s="2"/>
      <c r="HF324" s="2"/>
      <c r="HG324" s="2"/>
      <c r="HH324" s="2"/>
      <c r="HI324" s="2"/>
      <c r="HJ324" s="2"/>
      <c r="HK324" s="2"/>
      <c r="HL324" s="2"/>
      <c r="HM324" s="2"/>
      <c r="HN324" s="2"/>
      <c r="HO324" s="2"/>
      <c r="HP324" s="2"/>
      <c r="HQ324" s="2"/>
      <c r="HR324" s="2"/>
      <c r="HS324" s="2"/>
      <c r="HT324" s="2"/>
      <c r="HU324" s="2"/>
      <c r="HV324" s="2"/>
      <c r="HW324" s="2"/>
      <c r="HX324" s="2"/>
      <c r="HY324" s="2"/>
      <c r="HZ324" s="2"/>
      <c r="IA324" s="2"/>
      <c r="IB324" s="2"/>
      <c r="IC324" s="2"/>
    </row>
    <row r="325" spans="1:237" x14ac:dyDescent="0.2">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c r="AG325" s="2"/>
      <c r="AH325" s="2"/>
      <c r="AI325" s="2"/>
      <c r="AJ325" s="2"/>
      <c r="AK325" s="2"/>
      <c r="AL325" s="2"/>
      <c r="AM325" s="2"/>
      <c r="AN325" s="2"/>
      <c r="AO325" s="2"/>
      <c r="AP325" s="2"/>
      <c r="AQ325" s="2"/>
      <c r="AR325" s="2"/>
      <c r="AS325" s="2"/>
      <c r="AT325" s="2"/>
      <c r="AU325" s="2"/>
      <c r="AV325" s="2"/>
      <c r="AW325" s="2"/>
      <c r="AX325" s="2"/>
      <c r="AY325" s="2"/>
      <c r="AZ325" s="2"/>
      <c r="BA325" s="2"/>
      <c r="BB325" s="2"/>
      <c r="BC325" s="2"/>
      <c r="BD325" s="2"/>
      <c r="BE325" s="2"/>
      <c r="BF325" s="2"/>
      <c r="BG325" s="2"/>
      <c r="BH325" s="2"/>
      <c r="BI325" s="2"/>
      <c r="BJ325" s="2"/>
      <c r="BK325" s="2"/>
      <c r="BL325" s="2"/>
      <c r="BM325" s="2"/>
      <c r="BN325" s="2"/>
      <c r="BO325" s="2"/>
      <c r="BP325" s="2"/>
      <c r="BQ325" s="2"/>
      <c r="BR325" s="2"/>
      <c r="BS325" s="2"/>
      <c r="BT325" s="2"/>
      <c r="BU325" s="2"/>
      <c r="BV325" s="2"/>
      <c r="BW325" s="2"/>
      <c r="BX325" s="2"/>
      <c r="BY325" s="2"/>
      <c r="BZ325" s="2"/>
      <c r="CA325" s="2"/>
      <c r="CB325" s="2"/>
      <c r="CC325" s="2"/>
      <c r="CD325" s="2"/>
      <c r="CE325" s="2"/>
      <c r="CF325" s="2"/>
      <c r="CG325" s="2"/>
      <c r="CH325" s="2"/>
      <c r="CI325" s="2"/>
      <c r="CJ325" s="2"/>
      <c r="CK325" s="2"/>
      <c r="CL325" s="2"/>
      <c r="CM325" s="2"/>
      <c r="CN325" s="2"/>
      <c r="CO325" s="2"/>
      <c r="CP325" s="2"/>
      <c r="CQ325" s="2"/>
      <c r="CR325" s="2"/>
      <c r="CS325" s="2"/>
      <c r="CT325" s="2"/>
      <c r="CU325" s="2"/>
      <c r="CV325" s="2"/>
      <c r="CW325" s="2"/>
      <c r="CX325" s="2"/>
      <c r="CY325" s="2"/>
      <c r="CZ325" s="2"/>
      <c r="DA325" s="2"/>
      <c r="DB325" s="2"/>
      <c r="DC325" s="2"/>
      <c r="DD325" s="2"/>
      <c r="DE325" s="2"/>
      <c r="DF325" s="2"/>
      <c r="DG325" s="2"/>
      <c r="DH325" s="2"/>
      <c r="DI325" s="2"/>
      <c r="DJ325" s="2"/>
      <c r="DK325" s="2"/>
      <c r="DL325" s="2"/>
      <c r="DM325" s="2"/>
      <c r="DN325" s="2"/>
      <c r="DO325" s="2"/>
      <c r="DP325" s="2"/>
      <c r="DQ325" s="2"/>
      <c r="DR325" s="2"/>
      <c r="DS325" s="2"/>
      <c r="DT325" s="2"/>
      <c r="DU325" s="2"/>
      <c r="DV325" s="2"/>
      <c r="DW325" s="2"/>
      <c r="DX325" s="2"/>
      <c r="DY325" s="2"/>
      <c r="DZ325" s="2"/>
      <c r="EA325" s="2"/>
      <c r="EB325" s="2"/>
      <c r="EC325" s="2"/>
      <c r="ED325" s="2"/>
      <c r="EE325" s="2"/>
      <c r="EF325" s="2"/>
      <c r="EG325" s="2"/>
      <c r="EH325" s="2"/>
      <c r="EI325" s="2"/>
      <c r="EJ325" s="2"/>
      <c r="EK325" s="2"/>
      <c r="EL325" s="2"/>
      <c r="EM325" s="2"/>
      <c r="EN325" s="2"/>
      <c r="EO325" s="2"/>
      <c r="EP325" s="2"/>
      <c r="EQ325" s="2"/>
      <c r="ER325" s="2"/>
      <c r="ES325" s="2"/>
      <c r="ET325" s="2"/>
      <c r="EU325" s="2"/>
      <c r="EV325" s="2"/>
      <c r="EW325" s="2"/>
      <c r="EX325" s="2"/>
      <c r="EY325" s="2"/>
      <c r="EZ325" s="2"/>
      <c r="FA325" s="2"/>
      <c r="FB325" s="2"/>
      <c r="FC325" s="2"/>
      <c r="FD325" s="2"/>
      <c r="FE325" s="2"/>
      <c r="FF325" s="2"/>
      <c r="FG325" s="2"/>
      <c r="FH325" s="2"/>
      <c r="FI325" s="2"/>
      <c r="FJ325" s="2"/>
      <c r="FK325" s="2"/>
      <c r="FL325" s="2"/>
      <c r="FM325" s="2"/>
      <c r="FN325" s="2"/>
      <c r="FO325" s="2"/>
      <c r="FP325" s="2"/>
      <c r="FQ325" s="2"/>
      <c r="FR325" s="2"/>
      <c r="FS325" s="2"/>
      <c r="FT325" s="2"/>
      <c r="FU325" s="2"/>
      <c r="FV325" s="2"/>
      <c r="FW325" s="2"/>
      <c r="FX325" s="2"/>
      <c r="FY325" s="2"/>
      <c r="FZ325" s="2"/>
      <c r="GA325" s="2"/>
      <c r="GB325" s="2"/>
      <c r="GC325" s="2"/>
      <c r="GD325" s="2"/>
      <c r="GE325" s="2"/>
      <c r="GF325" s="2"/>
      <c r="GG325" s="2"/>
      <c r="GH325" s="2"/>
      <c r="GI325" s="2"/>
      <c r="GJ325" s="2"/>
      <c r="GK325" s="2"/>
      <c r="GL325" s="2"/>
      <c r="GM325" s="2"/>
      <c r="GN325" s="2"/>
      <c r="GO325" s="2"/>
      <c r="GP325" s="2"/>
      <c r="GQ325" s="2"/>
      <c r="GR325" s="2"/>
      <c r="GS325" s="2"/>
      <c r="GT325" s="2"/>
      <c r="GU325" s="2"/>
      <c r="GV325" s="2"/>
      <c r="GW325" s="2"/>
      <c r="GX325" s="2"/>
      <c r="GY325" s="2"/>
      <c r="GZ325" s="2"/>
      <c r="HA325" s="2"/>
      <c r="HB325" s="2"/>
      <c r="HC325" s="2"/>
      <c r="HD325" s="2"/>
      <c r="HE325" s="2"/>
      <c r="HF325" s="2"/>
      <c r="HG325" s="2"/>
      <c r="HH325" s="2"/>
      <c r="HI325" s="2"/>
      <c r="HJ325" s="2"/>
      <c r="HK325" s="2"/>
      <c r="HL325" s="2"/>
      <c r="HM325" s="2"/>
      <c r="HN325" s="2"/>
      <c r="HO325" s="2"/>
      <c r="HP325" s="2"/>
      <c r="HQ325" s="2"/>
      <c r="HR325" s="2"/>
      <c r="HS325" s="2"/>
      <c r="HT325" s="2"/>
      <c r="HU325" s="2"/>
      <c r="HV325" s="2"/>
      <c r="HW325" s="2"/>
      <c r="HX325" s="2"/>
      <c r="HY325" s="2"/>
      <c r="HZ325" s="2"/>
      <c r="IA325" s="2"/>
      <c r="IB325" s="2"/>
      <c r="IC325" s="2"/>
    </row>
    <row r="326" spans="1:237" x14ac:dyDescent="0.2">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c r="AG326" s="2"/>
      <c r="AH326" s="2"/>
      <c r="AI326" s="2"/>
      <c r="AJ326" s="2"/>
      <c r="AK326" s="2"/>
      <c r="AL326" s="2"/>
      <c r="AM326" s="2"/>
      <c r="AN326" s="2"/>
      <c r="AO326" s="2"/>
      <c r="AP326" s="2"/>
      <c r="AQ326" s="2"/>
      <c r="AR326" s="2"/>
      <c r="AS326" s="2"/>
      <c r="AT326" s="2"/>
      <c r="AU326" s="2"/>
      <c r="AV326" s="2"/>
      <c r="AW326" s="2"/>
      <c r="AX326" s="2"/>
      <c r="AY326" s="2"/>
      <c r="AZ326" s="2"/>
      <c r="BA326" s="2"/>
      <c r="BB326" s="2"/>
      <c r="BC326" s="2"/>
      <c r="BD326" s="2"/>
      <c r="BE326" s="2"/>
      <c r="BF326" s="2"/>
      <c r="BG326" s="2"/>
      <c r="BH326" s="2"/>
      <c r="BI326" s="2"/>
      <c r="BJ326" s="2"/>
      <c r="BK326" s="2"/>
      <c r="BL326" s="2"/>
      <c r="BM326" s="2"/>
      <c r="BN326" s="2"/>
      <c r="BO326" s="2"/>
      <c r="BP326" s="2"/>
      <c r="BQ326" s="2"/>
      <c r="BR326" s="2"/>
      <c r="BS326" s="2"/>
      <c r="BT326" s="2"/>
      <c r="BU326" s="2"/>
      <c r="BV326" s="2"/>
      <c r="BW326" s="2"/>
      <c r="BX326" s="2"/>
      <c r="BY326" s="2"/>
      <c r="BZ326" s="2"/>
      <c r="CA326" s="2"/>
      <c r="CB326" s="2"/>
      <c r="CC326" s="2"/>
      <c r="CD326" s="2"/>
      <c r="CE326" s="2"/>
      <c r="CF326" s="2"/>
      <c r="CG326" s="2"/>
      <c r="CH326" s="2"/>
      <c r="CI326" s="2"/>
      <c r="CJ326" s="2"/>
      <c r="CK326" s="2"/>
      <c r="CL326" s="2"/>
      <c r="CM326" s="2"/>
      <c r="CN326" s="2"/>
      <c r="CO326" s="2"/>
      <c r="CP326" s="2"/>
      <c r="CQ326" s="2"/>
      <c r="CR326" s="2"/>
      <c r="CS326" s="2"/>
      <c r="CT326" s="2"/>
      <c r="CU326" s="2"/>
      <c r="CV326" s="2"/>
      <c r="CW326" s="2"/>
      <c r="CX326" s="2"/>
      <c r="CY326" s="2"/>
      <c r="CZ326" s="2"/>
      <c r="DA326" s="2"/>
      <c r="DB326" s="2"/>
      <c r="DC326" s="2"/>
      <c r="DD326" s="2"/>
      <c r="DE326" s="2"/>
      <c r="DF326" s="2"/>
      <c r="DG326" s="2"/>
      <c r="DH326" s="2"/>
      <c r="DI326" s="2"/>
      <c r="DJ326" s="2"/>
      <c r="DK326" s="2"/>
      <c r="DL326" s="2"/>
      <c r="DM326" s="2"/>
      <c r="DN326" s="2"/>
      <c r="DO326" s="2"/>
      <c r="DP326" s="2"/>
      <c r="DQ326" s="2"/>
      <c r="DR326" s="2"/>
      <c r="DS326" s="2"/>
      <c r="DT326" s="2"/>
      <c r="DU326" s="2"/>
      <c r="DV326" s="2"/>
      <c r="DW326" s="2"/>
      <c r="DX326" s="2"/>
      <c r="DY326" s="2"/>
      <c r="DZ326" s="2"/>
      <c r="EA326" s="2"/>
      <c r="EB326" s="2"/>
      <c r="EC326" s="2"/>
      <c r="ED326" s="2"/>
      <c r="EE326" s="2"/>
      <c r="EF326" s="2"/>
      <c r="EG326" s="2"/>
      <c r="EH326" s="2"/>
      <c r="EI326" s="2"/>
      <c r="EJ326" s="2"/>
      <c r="EK326" s="2"/>
      <c r="EL326" s="2"/>
      <c r="EM326" s="2"/>
      <c r="EN326" s="2"/>
      <c r="EO326" s="2"/>
      <c r="EP326" s="2"/>
      <c r="EQ326" s="2"/>
      <c r="ER326" s="2"/>
      <c r="ES326" s="2"/>
      <c r="ET326" s="2"/>
      <c r="EU326" s="2"/>
      <c r="EV326" s="2"/>
      <c r="EW326" s="2"/>
      <c r="EX326" s="2"/>
      <c r="EY326" s="2"/>
      <c r="EZ326" s="2"/>
      <c r="FA326" s="2"/>
      <c r="FB326" s="2"/>
      <c r="FC326" s="2"/>
      <c r="FD326" s="2"/>
      <c r="FE326" s="2"/>
      <c r="FF326" s="2"/>
      <c r="FG326" s="2"/>
      <c r="FH326" s="2"/>
      <c r="FI326" s="2"/>
      <c r="FJ326" s="2"/>
      <c r="FK326" s="2"/>
      <c r="FL326" s="2"/>
      <c r="FM326" s="2"/>
      <c r="FN326" s="2"/>
      <c r="FO326" s="2"/>
      <c r="FP326" s="2"/>
      <c r="FQ326" s="2"/>
      <c r="FR326" s="2"/>
      <c r="FS326" s="2"/>
      <c r="FT326" s="2"/>
      <c r="FU326" s="2"/>
      <c r="FV326" s="2"/>
      <c r="FW326" s="2"/>
      <c r="FX326" s="2"/>
      <c r="FY326" s="2"/>
      <c r="FZ326" s="2"/>
      <c r="GA326" s="2"/>
      <c r="GB326" s="2"/>
      <c r="GC326" s="2"/>
      <c r="GD326" s="2"/>
      <c r="GE326" s="2"/>
      <c r="GF326" s="2"/>
      <c r="GG326" s="2"/>
      <c r="GH326" s="2"/>
      <c r="GI326" s="2"/>
      <c r="GJ326" s="2"/>
      <c r="GK326" s="2"/>
      <c r="GL326" s="2"/>
      <c r="GM326" s="2"/>
      <c r="GN326" s="2"/>
      <c r="GO326" s="2"/>
      <c r="GP326" s="2"/>
      <c r="GQ326" s="2"/>
      <c r="GR326" s="2"/>
      <c r="GS326" s="2"/>
      <c r="GT326" s="2"/>
      <c r="GU326" s="2"/>
      <c r="GV326" s="2"/>
      <c r="GW326" s="2"/>
      <c r="GX326" s="2"/>
      <c r="GY326" s="2"/>
      <c r="GZ326" s="2"/>
      <c r="HA326" s="2"/>
      <c r="HB326" s="2"/>
      <c r="HC326" s="2"/>
      <c r="HD326" s="2"/>
      <c r="HE326" s="2"/>
      <c r="HF326" s="2"/>
      <c r="HG326" s="2"/>
      <c r="HH326" s="2"/>
      <c r="HI326" s="2"/>
      <c r="HJ326" s="2"/>
      <c r="HK326" s="2"/>
      <c r="HL326" s="2"/>
      <c r="HM326" s="2"/>
      <c r="HN326" s="2"/>
      <c r="HO326" s="2"/>
      <c r="HP326" s="2"/>
      <c r="HQ326" s="2"/>
      <c r="HR326" s="2"/>
      <c r="HS326" s="2"/>
      <c r="HT326" s="2"/>
      <c r="HU326" s="2"/>
      <c r="HV326" s="2"/>
      <c r="HW326" s="2"/>
      <c r="HX326" s="2"/>
      <c r="HY326" s="2"/>
      <c r="HZ326" s="2"/>
      <c r="IA326" s="2"/>
      <c r="IB326" s="2"/>
      <c r="IC326" s="2"/>
    </row>
    <row r="327" spans="1:237" x14ac:dyDescent="0.2">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c r="AG327" s="2"/>
      <c r="AH327" s="2"/>
      <c r="AI327" s="2"/>
      <c r="AJ327" s="2"/>
      <c r="AK327" s="2"/>
      <c r="AL327" s="2"/>
      <c r="AM327" s="2"/>
      <c r="AN327" s="2"/>
      <c r="AO327" s="2"/>
      <c r="AP327" s="2"/>
      <c r="AQ327" s="2"/>
      <c r="AR327" s="2"/>
      <c r="AS327" s="2"/>
      <c r="AT327" s="2"/>
      <c r="AU327" s="2"/>
      <c r="AV327" s="2"/>
      <c r="AW327" s="2"/>
      <c r="AX327" s="2"/>
      <c r="AY327" s="2"/>
      <c r="AZ327" s="2"/>
      <c r="BA327" s="2"/>
      <c r="BB327" s="2"/>
      <c r="BC327" s="2"/>
      <c r="BD327" s="2"/>
      <c r="BE327" s="2"/>
      <c r="BF327" s="2"/>
      <c r="BG327" s="2"/>
      <c r="BH327" s="2"/>
      <c r="BI327" s="2"/>
      <c r="BJ327" s="2"/>
      <c r="BK327" s="2"/>
      <c r="BL327" s="2"/>
      <c r="BM327" s="2"/>
      <c r="BN327" s="2"/>
      <c r="BO327" s="2"/>
      <c r="BP327" s="2"/>
      <c r="BQ327" s="2"/>
      <c r="BR327" s="2"/>
      <c r="BS327" s="2"/>
      <c r="BT327" s="2"/>
      <c r="BU327" s="2"/>
      <c r="BV327" s="2"/>
      <c r="BW327" s="2"/>
      <c r="BX327" s="2"/>
      <c r="BY327" s="2"/>
      <c r="BZ327" s="2"/>
      <c r="CA327" s="2"/>
      <c r="CB327" s="2"/>
      <c r="CC327" s="2"/>
      <c r="CD327" s="2"/>
      <c r="CE327" s="2"/>
      <c r="CF327" s="2"/>
      <c r="CG327" s="2"/>
      <c r="CH327" s="2"/>
      <c r="CI327" s="2"/>
      <c r="CJ327" s="2"/>
      <c r="CK327" s="2"/>
      <c r="CL327" s="2"/>
      <c r="CM327" s="2"/>
      <c r="CN327" s="2"/>
      <c r="CO327" s="2"/>
      <c r="CP327" s="2"/>
      <c r="CQ327" s="2"/>
      <c r="CR327" s="2"/>
      <c r="CS327" s="2"/>
      <c r="CT327" s="2"/>
      <c r="CU327" s="2"/>
      <c r="CV327" s="2"/>
      <c r="CW327" s="2"/>
      <c r="CX327" s="2"/>
      <c r="CY327" s="2"/>
      <c r="CZ327" s="2"/>
      <c r="DA327" s="2"/>
      <c r="DB327" s="2"/>
      <c r="DC327" s="2"/>
      <c r="DD327" s="2"/>
      <c r="DE327" s="2"/>
      <c r="DF327" s="2"/>
      <c r="DG327" s="2"/>
      <c r="DH327" s="2"/>
      <c r="DI327" s="2"/>
      <c r="DJ327" s="2"/>
      <c r="DK327" s="2"/>
      <c r="DL327" s="2"/>
      <c r="DM327" s="2"/>
      <c r="DN327" s="2"/>
      <c r="DO327" s="2"/>
      <c r="DP327" s="2"/>
      <c r="DQ327" s="2"/>
      <c r="DR327" s="2"/>
      <c r="DS327" s="2"/>
      <c r="DT327" s="2"/>
      <c r="DU327" s="2"/>
      <c r="DV327" s="2"/>
      <c r="DW327" s="2"/>
      <c r="DX327" s="2"/>
      <c r="DY327" s="2"/>
      <c r="DZ327" s="2"/>
      <c r="EA327" s="2"/>
      <c r="EB327" s="2"/>
      <c r="EC327" s="2"/>
      <c r="ED327" s="2"/>
      <c r="EE327" s="2"/>
      <c r="EF327" s="2"/>
      <c r="EG327" s="2"/>
      <c r="EH327" s="2"/>
      <c r="EI327" s="2"/>
      <c r="EJ327" s="2"/>
      <c r="EK327" s="2"/>
      <c r="EL327" s="2"/>
      <c r="EM327" s="2"/>
      <c r="EN327" s="2"/>
      <c r="EO327" s="2"/>
      <c r="EP327" s="2"/>
      <c r="EQ327" s="2"/>
      <c r="ER327" s="2"/>
      <c r="ES327" s="2"/>
      <c r="ET327" s="2"/>
      <c r="EU327" s="2"/>
      <c r="EV327" s="2"/>
      <c r="EW327" s="2"/>
      <c r="EX327" s="2"/>
      <c r="EY327" s="2"/>
      <c r="EZ327" s="2"/>
      <c r="FA327" s="2"/>
      <c r="FB327" s="2"/>
      <c r="FC327" s="2"/>
      <c r="FD327" s="2"/>
      <c r="FE327" s="2"/>
      <c r="FF327" s="2"/>
      <c r="FG327" s="2"/>
      <c r="FH327" s="2"/>
      <c r="FI327" s="2"/>
      <c r="FJ327" s="2"/>
      <c r="FK327" s="2"/>
      <c r="FL327" s="2"/>
      <c r="FM327" s="2"/>
      <c r="FN327" s="2"/>
      <c r="FO327" s="2"/>
      <c r="FP327" s="2"/>
      <c r="FQ327" s="2"/>
      <c r="FR327" s="2"/>
      <c r="FS327" s="2"/>
      <c r="FT327" s="2"/>
      <c r="FU327" s="2"/>
      <c r="FV327" s="2"/>
      <c r="FW327" s="2"/>
      <c r="FX327" s="2"/>
      <c r="FY327" s="2"/>
      <c r="FZ327" s="2"/>
      <c r="GA327" s="2"/>
      <c r="GB327" s="2"/>
      <c r="GC327" s="2"/>
      <c r="GD327" s="2"/>
      <c r="GE327" s="2"/>
      <c r="GF327" s="2"/>
      <c r="GG327" s="2"/>
      <c r="GH327" s="2"/>
      <c r="GI327" s="2"/>
      <c r="GJ327" s="2"/>
      <c r="GK327" s="2"/>
      <c r="GL327" s="2"/>
      <c r="GM327" s="2"/>
      <c r="GN327" s="2"/>
      <c r="GO327" s="2"/>
      <c r="GP327" s="2"/>
      <c r="GQ327" s="2"/>
      <c r="GR327" s="2"/>
      <c r="GS327" s="2"/>
      <c r="GT327" s="2"/>
      <c r="GU327" s="2"/>
      <c r="GV327" s="2"/>
      <c r="GW327" s="2"/>
      <c r="GX327" s="2"/>
      <c r="GY327" s="2"/>
      <c r="GZ327" s="2"/>
      <c r="HA327" s="2"/>
      <c r="HB327" s="2"/>
      <c r="HC327" s="2"/>
      <c r="HD327" s="2"/>
      <c r="HE327" s="2"/>
      <c r="HF327" s="2"/>
      <c r="HG327" s="2"/>
      <c r="HH327" s="2"/>
      <c r="HI327" s="2"/>
      <c r="HJ327" s="2"/>
      <c r="HK327" s="2"/>
      <c r="HL327" s="2"/>
      <c r="HM327" s="2"/>
      <c r="HN327" s="2"/>
      <c r="HO327" s="2"/>
      <c r="HP327" s="2"/>
      <c r="HQ327" s="2"/>
      <c r="HR327" s="2"/>
      <c r="HS327" s="2"/>
      <c r="HT327" s="2"/>
      <c r="HU327" s="2"/>
      <c r="HV327" s="2"/>
      <c r="HW327" s="2"/>
      <c r="HX327" s="2"/>
      <c r="HY327" s="2"/>
      <c r="HZ327" s="2"/>
      <c r="IA327" s="2"/>
      <c r="IB327" s="2"/>
      <c r="IC327" s="2"/>
    </row>
    <row r="328" spans="1:237" x14ac:dyDescent="0.2">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c r="AG328" s="2"/>
      <c r="AH328" s="2"/>
      <c r="AI328" s="2"/>
      <c r="AJ328" s="2"/>
      <c r="AK328" s="2"/>
      <c r="AL328" s="2"/>
      <c r="AM328" s="2"/>
      <c r="AN328" s="2"/>
      <c r="AO328" s="2"/>
      <c r="AP328" s="2"/>
      <c r="AQ328" s="2"/>
      <c r="AR328" s="2"/>
      <c r="AS328" s="2"/>
      <c r="AT328" s="2"/>
      <c r="AU328" s="2"/>
      <c r="AV328" s="2"/>
      <c r="AW328" s="2"/>
      <c r="AX328" s="2"/>
      <c r="AY328" s="2"/>
      <c r="AZ328" s="2"/>
      <c r="BA328" s="2"/>
      <c r="BB328" s="2"/>
      <c r="BC328" s="2"/>
      <c r="BD328" s="2"/>
      <c r="BE328" s="2"/>
      <c r="BF328" s="2"/>
      <c r="BG328" s="2"/>
      <c r="BH328" s="2"/>
      <c r="BI328" s="2"/>
      <c r="BJ328" s="2"/>
      <c r="BK328" s="2"/>
      <c r="BL328" s="2"/>
      <c r="BM328" s="2"/>
      <c r="BN328" s="2"/>
      <c r="BO328" s="2"/>
      <c r="BP328" s="2"/>
      <c r="BQ328" s="2"/>
      <c r="BR328" s="2"/>
      <c r="BS328" s="2"/>
      <c r="BT328" s="2"/>
      <c r="BU328" s="2"/>
      <c r="BV328" s="2"/>
      <c r="BW328" s="2"/>
      <c r="BX328" s="2"/>
      <c r="BY328" s="2"/>
      <c r="BZ328" s="2"/>
      <c r="CA328" s="2"/>
      <c r="CB328" s="2"/>
      <c r="CC328" s="2"/>
      <c r="CD328" s="2"/>
      <c r="CE328" s="2"/>
      <c r="CF328" s="2"/>
      <c r="CG328" s="2"/>
      <c r="CH328" s="2"/>
      <c r="CI328" s="2"/>
      <c r="CJ328" s="2"/>
      <c r="CK328" s="2"/>
      <c r="CL328" s="2"/>
      <c r="CM328" s="2"/>
      <c r="CN328" s="2"/>
      <c r="CO328" s="2"/>
      <c r="CP328" s="2"/>
      <c r="CQ328" s="2"/>
      <c r="CR328" s="2"/>
      <c r="CS328" s="2"/>
      <c r="CT328" s="2"/>
      <c r="CU328" s="2"/>
      <c r="CV328" s="2"/>
      <c r="CW328" s="2"/>
      <c r="CX328" s="2"/>
      <c r="CY328" s="2"/>
      <c r="CZ328" s="2"/>
      <c r="DA328" s="2"/>
      <c r="DB328" s="2"/>
      <c r="DC328" s="2"/>
      <c r="DD328" s="2"/>
      <c r="DE328" s="2"/>
      <c r="DF328" s="2"/>
      <c r="DG328" s="2"/>
      <c r="DH328" s="2"/>
      <c r="DI328" s="2"/>
      <c r="DJ328" s="2"/>
      <c r="DK328" s="2"/>
      <c r="DL328" s="2"/>
      <c r="DM328" s="2"/>
      <c r="DN328" s="2"/>
      <c r="DO328" s="2"/>
      <c r="DP328" s="2"/>
      <c r="DQ328" s="2"/>
      <c r="DR328" s="2"/>
      <c r="DS328" s="2"/>
      <c r="DT328" s="2"/>
      <c r="DU328" s="2"/>
      <c r="DV328" s="2"/>
      <c r="DW328" s="2"/>
      <c r="DX328" s="2"/>
      <c r="DY328" s="2"/>
      <c r="DZ328" s="2"/>
      <c r="EA328" s="2"/>
      <c r="EB328" s="2"/>
      <c r="EC328" s="2"/>
      <c r="ED328" s="2"/>
      <c r="EE328" s="2"/>
      <c r="EF328" s="2"/>
      <c r="EG328" s="2"/>
      <c r="EH328" s="2"/>
      <c r="EI328" s="2"/>
      <c r="EJ328" s="2"/>
      <c r="EK328" s="2"/>
      <c r="EL328" s="2"/>
      <c r="EM328" s="2"/>
      <c r="EN328" s="2"/>
      <c r="EO328" s="2"/>
      <c r="EP328" s="2"/>
      <c r="EQ328" s="2"/>
      <c r="ER328" s="2"/>
      <c r="ES328" s="2"/>
      <c r="ET328" s="2"/>
      <c r="EU328" s="2"/>
      <c r="EV328" s="2"/>
      <c r="EW328" s="2"/>
      <c r="EX328" s="2"/>
      <c r="EY328" s="2"/>
      <c r="EZ328" s="2"/>
      <c r="FA328" s="2"/>
      <c r="FB328" s="2"/>
      <c r="FC328" s="2"/>
      <c r="FD328" s="2"/>
      <c r="FE328" s="2"/>
      <c r="FF328" s="2"/>
      <c r="FG328" s="2"/>
      <c r="FH328" s="2"/>
      <c r="FI328" s="2"/>
      <c r="FJ328" s="2"/>
      <c r="FK328" s="2"/>
      <c r="FL328" s="2"/>
      <c r="FM328" s="2"/>
      <c r="FN328" s="2"/>
      <c r="FO328" s="2"/>
      <c r="FP328" s="2"/>
      <c r="FQ328" s="2"/>
      <c r="FR328" s="2"/>
      <c r="FS328" s="2"/>
      <c r="FT328" s="2"/>
      <c r="FU328" s="2"/>
      <c r="FV328" s="2"/>
      <c r="FW328" s="2"/>
      <c r="FX328" s="2"/>
      <c r="FY328" s="2"/>
      <c r="FZ328" s="2"/>
      <c r="GA328" s="2"/>
      <c r="GB328" s="2"/>
      <c r="GC328" s="2"/>
      <c r="GD328" s="2"/>
      <c r="GE328" s="2"/>
      <c r="GF328" s="2"/>
      <c r="GG328" s="2"/>
      <c r="GH328" s="2"/>
      <c r="GI328" s="2"/>
      <c r="GJ328" s="2"/>
      <c r="GK328" s="2"/>
      <c r="GL328" s="2"/>
      <c r="GM328" s="2"/>
      <c r="GN328" s="2"/>
      <c r="GO328" s="2"/>
      <c r="GP328" s="2"/>
      <c r="GQ328" s="2"/>
      <c r="GR328" s="2"/>
      <c r="GS328" s="2"/>
      <c r="GT328" s="2"/>
      <c r="GU328" s="2"/>
      <c r="GV328" s="2"/>
      <c r="GW328" s="2"/>
      <c r="GX328" s="2"/>
      <c r="GY328" s="2"/>
      <c r="GZ328" s="2"/>
      <c r="HA328" s="2"/>
      <c r="HB328" s="2"/>
      <c r="HC328" s="2"/>
      <c r="HD328" s="2"/>
      <c r="HE328" s="2"/>
      <c r="HF328" s="2"/>
      <c r="HG328" s="2"/>
      <c r="HH328" s="2"/>
      <c r="HI328" s="2"/>
      <c r="HJ328" s="2"/>
      <c r="HK328" s="2"/>
      <c r="HL328" s="2"/>
      <c r="HM328" s="2"/>
      <c r="HN328" s="2"/>
      <c r="HO328" s="2"/>
      <c r="HP328" s="2"/>
      <c r="HQ328" s="2"/>
      <c r="HR328" s="2"/>
      <c r="HS328" s="2"/>
      <c r="HT328" s="2"/>
      <c r="HU328" s="2"/>
      <c r="HV328" s="2"/>
      <c r="HW328" s="2"/>
      <c r="HX328" s="2"/>
      <c r="HY328" s="2"/>
      <c r="HZ328" s="2"/>
      <c r="IA328" s="2"/>
      <c r="IB328" s="2"/>
      <c r="IC328" s="2"/>
    </row>
    <row r="329" spans="1:237" x14ac:dyDescent="0.2">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c r="AG329" s="2"/>
      <c r="AH329" s="2"/>
      <c r="AI329" s="2"/>
      <c r="AJ329" s="2"/>
      <c r="AK329" s="2"/>
      <c r="AL329" s="2"/>
      <c r="AM329" s="2"/>
      <c r="AN329" s="2"/>
      <c r="AO329" s="2"/>
      <c r="AP329" s="2"/>
      <c r="AQ329" s="2"/>
      <c r="AR329" s="2"/>
      <c r="AS329" s="2"/>
      <c r="AT329" s="2"/>
      <c r="AU329" s="2"/>
      <c r="AV329" s="2"/>
      <c r="AW329" s="2"/>
      <c r="AX329" s="2"/>
      <c r="AY329" s="2"/>
      <c r="AZ329" s="2"/>
      <c r="BA329" s="2"/>
      <c r="BB329" s="2"/>
      <c r="BC329" s="2"/>
      <c r="BD329" s="2"/>
      <c r="BE329" s="2"/>
      <c r="BF329" s="2"/>
      <c r="BG329" s="2"/>
      <c r="BH329" s="2"/>
      <c r="BI329" s="2"/>
      <c r="BJ329" s="2"/>
      <c r="BK329" s="2"/>
      <c r="BL329" s="2"/>
      <c r="BM329" s="2"/>
      <c r="BN329" s="2"/>
      <c r="BO329" s="2"/>
      <c r="BP329" s="2"/>
      <c r="BQ329" s="2"/>
      <c r="BR329" s="2"/>
      <c r="BS329" s="2"/>
      <c r="BT329" s="2"/>
      <c r="BU329" s="2"/>
      <c r="BV329" s="2"/>
      <c r="BW329" s="2"/>
      <c r="BX329" s="2"/>
      <c r="BY329" s="2"/>
      <c r="BZ329" s="2"/>
      <c r="CA329" s="2"/>
      <c r="CB329" s="2"/>
      <c r="CC329" s="2"/>
      <c r="CD329" s="2"/>
      <c r="CE329" s="2"/>
      <c r="CF329" s="2"/>
      <c r="CG329" s="2"/>
      <c r="CH329" s="2"/>
      <c r="CI329" s="2"/>
      <c r="CJ329" s="2"/>
      <c r="CK329" s="2"/>
      <c r="CL329" s="2"/>
      <c r="CM329" s="2"/>
      <c r="CN329" s="2"/>
      <c r="CO329" s="2"/>
      <c r="CP329" s="2"/>
      <c r="CQ329" s="2"/>
      <c r="CR329" s="2"/>
      <c r="CS329" s="2"/>
      <c r="CT329" s="2"/>
      <c r="CU329" s="2"/>
      <c r="CV329" s="2"/>
      <c r="CW329" s="2"/>
      <c r="CX329" s="2"/>
      <c r="CY329" s="2"/>
      <c r="CZ329" s="2"/>
      <c r="DA329" s="2"/>
      <c r="DB329" s="2"/>
      <c r="DC329" s="2"/>
      <c r="DD329" s="2"/>
      <c r="DE329" s="2"/>
      <c r="DF329" s="2"/>
      <c r="DG329" s="2"/>
      <c r="DH329" s="2"/>
      <c r="DI329" s="2"/>
      <c r="DJ329" s="2"/>
      <c r="DK329" s="2"/>
      <c r="DL329" s="2"/>
      <c r="DM329" s="2"/>
      <c r="DN329" s="2"/>
      <c r="DO329" s="2"/>
      <c r="DP329" s="2"/>
      <c r="DQ329" s="2"/>
      <c r="DR329" s="2"/>
      <c r="DS329" s="2"/>
      <c r="DT329" s="2"/>
      <c r="DU329" s="2"/>
      <c r="DV329" s="2"/>
      <c r="DW329" s="2"/>
      <c r="DX329" s="2"/>
      <c r="DY329" s="2"/>
      <c r="DZ329" s="2"/>
      <c r="EA329" s="2"/>
      <c r="EB329" s="2"/>
      <c r="EC329" s="2"/>
      <c r="ED329" s="2"/>
      <c r="EE329" s="2"/>
      <c r="EF329" s="2"/>
      <c r="EG329" s="2"/>
      <c r="EH329" s="2"/>
      <c r="EI329" s="2"/>
      <c r="EJ329" s="2"/>
      <c r="EK329" s="2"/>
      <c r="EL329" s="2"/>
      <c r="EM329" s="2"/>
      <c r="EN329" s="2"/>
      <c r="EO329" s="2"/>
      <c r="EP329" s="2"/>
      <c r="EQ329" s="2"/>
      <c r="ER329" s="2"/>
      <c r="ES329" s="2"/>
      <c r="ET329" s="2"/>
      <c r="EU329" s="2"/>
      <c r="EV329" s="2"/>
      <c r="EW329" s="2"/>
      <c r="EX329" s="2"/>
      <c r="EY329" s="2"/>
      <c r="EZ329" s="2"/>
      <c r="FA329" s="2"/>
      <c r="FB329" s="2"/>
      <c r="FC329" s="2"/>
      <c r="FD329" s="2"/>
      <c r="FE329" s="2"/>
      <c r="FF329" s="2"/>
      <c r="FG329" s="2"/>
      <c r="FH329" s="2"/>
      <c r="FI329" s="2"/>
      <c r="FJ329" s="2"/>
      <c r="FK329" s="2"/>
      <c r="FL329" s="2"/>
      <c r="FM329" s="2"/>
      <c r="FN329" s="2"/>
      <c r="FO329" s="2"/>
      <c r="FP329" s="2"/>
      <c r="FQ329" s="2"/>
      <c r="FR329" s="2"/>
      <c r="FS329" s="2"/>
      <c r="FT329" s="2"/>
      <c r="FU329" s="2"/>
      <c r="FV329" s="2"/>
      <c r="FW329" s="2"/>
      <c r="FX329" s="2"/>
      <c r="FY329" s="2"/>
      <c r="FZ329" s="2"/>
      <c r="GA329" s="2"/>
      <c r="GB329" s="2"/>
      <c r="GC329" s="2"/>
      <c r="GD329" s="2"/>
      <c r="GE329" s="2"/>
      <c r="GF329" s="2"/>
      <c r="GG329" s="2"/>
      <c r="GH329" s="2"/>
      <c r="GI329" s="2"/>
      <c r="GJ329" s="2"/>
      <c r="GK329" s="2"/>
      <c r="GL329" s="2"/>
      <c r="GM329" s="2"/>
      <c r="GN329" s="2"/>
      <c r="GO329" s="2"/>
      <c r="GP329" s="2"/>
      <c r="GQ329" s="2"/>
      <c r="GR329" s="2"/>
      <c r="GS329" s="2"/>
      <c r="GT329" s="2"/>
      <c r="GU329" s="2"/>
      <c r="GV329" s="2"/>
      <c r="GW329" s="2"/>
      <c r="GX329" s="2"/>
      <c r="GY329" s="2"/>
      <c r="GZ329" s="2"/>
      <c r="HA329" s="2"/>
      <c r="HB329" s="2"/>
      <c r="HC329" s="2"/>
      <c r="HD329" s="2"/>
      <c r="HE329" s="2"/>
      <c r="HF329" s="2"/>
      <c r="HG329" s="2"/>
      <c r="HH329" s="2"/>
      <c r="HI329" s="2"/>
      <c r="HJ329" s="2"/>
      <c r="HK329" s="2"/>
      <c r="HL329" s="2"/>
      <c r="HM329" s="2"/>
      <c r="HN329" s="2"/>
      <c r="HO329" s="2"/>
      <c r="HP329" s="2"/>
      <c r="HQ329" s="2"/>
      <c r="HR329" s="2"/>
      <c r="HS329" s="2"/>
      <c r="HT329" s="2"/>
      <c r="HU329" s="2"/>
      <c r="HV329" s="2"/>
      <c r="HW329" s="2"/>
      <c r="HX329" s="2"/>
      <c r="HY329" s="2"/>
      <c r="HZ329" s="2"/>
      <c r="IA329" s="2"/>
      <c r="IB329" s="2"/>
      <c r="IC329" s="2"/>
    </row>
    <row r="330" spans="1:237" x14ac:dyDescent="0.2">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c r="AG330" s="2"/>
      <c r="AH330" s="2"/>
      <c r="AI330" s="2"/>
      <c r="AJ330" s="2"/>
      <c r="AK330" s="2"/>
      <c r="AL330" s="2"/>
      <c r="AM330" s="2"/>
      <c r="AN330" s="2"/>
      <c r="AO330" s="2"/>
      <c r="AP330" s="2"/>
      <c r="AQ330" s="2"/>
      <c r="AR330" s="2"/>
      <c r="AS330" s="2"/>
      <c r="AT330" s="2"/>
      <c r="AU330" s="2"/>
      <c r="AV330" s="2"/>
      <c r="AW330" s="2"/>
      <c r="AX330" s="2"/>
      <c r="AY330" s="2"/>
      <c r="AZ330" s="2"/>
      <c r="BA330" s="2"/>
      <c r="BB330" s="2"/>
      <c r="BC330" s="2"/>
      <c r="BD330" s="2"/>
      <c r="BE330" s="2"/>
      <c r="BF330" s="2"/>
      <c r="BG330" s="2"/>
      <c r="BH330" s="2"/>
      <c r="BI330" s="2"/>
      <c r="BJ330" s="2"/>
      <c r="BK330" s="2"/>
      <c r="BL330" s="2"/>
      <c r="BM330" s="2"/>
      <c r="BN330" s="2"/>
      <c r="BO330" s="2"/>
      <c r="BP330" s="2"/>
      <c r="BQ330" s="2"/>
      <c r="BR330" s="2"/>
      <c r="BS330" s="2"/>
      <c r="BT330" s="2"/>
      <c r="BU330" s="2"/>
      <c r="BV330" s="2"/>
      <c r="BW330" s="2"/>
      <c r="BX330" s="2"/>
      <c r="BY330" s="2"/>
      <c r="BZ330" s="2"/>
      <c r="CA330" s="2"/>
      <c r="CB330" s="2"/>
      <c r="CC330" s="2"/>
      <c r="CD330" s="2"/>
      <c r="CE330" s="2"/>
      <c r="CF330" s="2"/>
      <c r="CG330" s="2"/>
      <c r="CH330" s="2"/>
      <c r="CI330" s="2"/>
      <c r="CJ330" s="2"/>
      <c r="CK330" s="2"/>
      <c r="CL330" s="2"/>
      <c r="CM330" s="2"/>
      <c r="CN330" s="2"/>
      <c r="CO330" s="2"/>
      <c r="CP330" s="2"/>
      <c r="CQ330" s="2"/>
      <c r="CR330" s="2"/>
      <c r="CS330" s="2"/>
      <c r="CT330" s="2"/>
      <c r="CU330" s="2"/>
      <c r="CV330" s="2"/>
      <c r="CW330" s="2"/>
      <c r="CX330" s="2"/>
      <c r="CY330" s="2"/>
      <c r="CZ330" s="2"/>
      <c r="DA330" s="2"/>
      <c r="DB330" s="2"/>
      <c r="DC330" s="2"/>
      <c r="DD330" s="2"/>
      <c r="DE330" s="2"/>
      <c r="DF330" s="2"/>
      <c r="DG330" s="2"/>
      <c r="DH330" s="2"/>
      <c r="DI330" s="2"/>
      <c r="DJ330" s="2"/>
      <c r="DK330" s="2"/>
      <c r="DL330" s="2"/>
      <c r="DM330" s="2"/>
      <c r="DN330" s="2"/>
      <c r="DO330" s="2"/>
      <c r="DP330" s="2"/>
      <c r="DQ330" s="2"/>
      <c r="DR330" s="2"/>
      <c r="DS330" s="2"/>
      <c r="DT330" s="2"/>
      <c r="DU330" s="2"/>
      <c r="DV330" s="2"/>
      <c r="DW330" s="2"/>
      <c r="DX330" s="2"/>
      <c r="DY330" s="2"/>
      <c r="DZ330" s="2"/>
      <c r="EA330" s="2"/>
      <c r="EB330" s="2"/>
      <c r="EC330" s="2"/>
      <c r="ED330" s="2"/>
      <c r="EE330" s="2"/>
      <c r="EF330" s="2"/>
      <c r="EG330" s="2"/>
      <c r="EH330" s="2"/>
      <c r="EI330" s="2"/>
      <c r="EJ330" s="2"/>
      <c r="EK330" s="2"/>
      <c r="EL330" s="2"/>
      <c r="EM330" s="2"/>
      <c r="EN330" s="2"/>
      <c r="EO330" s="2"/>
      <c r="EP330" s="2"/>
      <c r="EQ330" s="2"/>
      <c r="ER330" s="2"/>
      <c r="ES330" s="2"/>
      <c r="ET330" s="2"/>
      <c r="EU330" s="2"/>
      <c r="EV330" s="2"/>
      <c r="EW330" s="2"/>
      <c r="EX330" s="2"/>
      <c r="EY330" s="2"/>
      <c r="EZ330" s="2"/>
      <c r="FA330" s="2"/>
      <c r="FB330" s="2"/>
      <c r="FC330" s="2"/>
      <c r="FD330" s="2"/>
      <c r="FE330" s="2"/>
      <c r="FF330" s="2"/>
      <c r="FG330" s="2"/>
      <c r="FH330" s="2"/>
      <c r="FI330" s="2"/>
      <c r="FJ330" s="2"/>
      <c r="FK330" s="2"/>
      <c r="FL330" s="2"/>
      <c r="FM330" s="2"/>
      <c r="FN330" s="2"/>
      <c r="FO330" s="2"/>
      <c r="FP330" s="2"/>
      <c r="FQ330" s="2"/>
      <c r="FR330" s="2"/>
      <c r="FS330" s="2"/>
      <c r="FT330" s="2"/>
      <c r="FU330" s="2"/>
      <c r="FV330" s="2"/>
      <c r="FW330" s="2"/>
      <c r="FX330" s="2"/>
      <c r="FY330" s="2"/>
      <c r="FZ330" s="2"/>
      <c r="GA330" s="2"/>
      <c r="GB330" s="2"/>
      <c r="GC330" s="2"/>
      <c r="GD330" s="2"/>
      <c r="GE330" s="2"/>
      <c r="GF330" s="2"/>
      <c r="GG330" s="2"/>
      <c r="GH330" s="2"/>
      <c r="GI330" s="2"/>
      <c r="GJ330" s="2"/>
      <c r="GK330" s="2"/>
      <c r="GL330" s="2"/>
      <c r="GM330" s="2"/>
      <c r="GN330" s="2"/>
      <c r="GO330" s="2"/>
      <c r="GP330" s="2"/>
      <c r="GQ330" s="2"/>
      <c r="GR330" s="2"/>
      <c r="GS330" s="2"/>
      <c r="GT330" s="2"/>
      <c r="GU330" s="2"/>
      <c r="GV330" s="2"/>
      <c r="GW330" s="2"/>
      <c r="GX330" s="2"/>
      <c r="GY330" s="2"/>
      <c r="GZ330" s="2"/>
      <c r="HA330" s="2"/>
      <c r="HB330" s="2"/>
      <c r="HC330" s="2"/>
      <c r="HD330" s="2"/>
      <c r="HE330" s="2"/>
      <c r="HF330" s="2"/>
      <c r="HG330" s="2"/>
      <c r="HH330" s="2"/>
      <c r="HI330" s="2"/>
      <c r="HJ330" s="2"/>
      <c r="HK330" s="2"/>
      <c r="HL330" s="2"/>
      <c r="HM330" s="2"/>
      <c r="HN330" s="2"/>
      <c r="HO330" s="2"/>
      <c r="HP330" s="2"/>
      <c r="HQ330" s="2"/>
      <c r="HR330" s="2"/>
      <c r="HS330" s="2"/>
      <c r="HT330" s="2"/>
      <c r="HU330" s="2"/>
      <c r="HV330" s="2"/>
      <c r="HW330" s="2"/>
      <c r="HX330" s="2"/>
      <c r="HY330" s="2"/>
      <c r="HZ330" s="2"/>
      <c r="IA330" s="2"/>
      <c r="IB330" s="2"/>
      <c r="IC330" s="2"/>
    </row>
    <row r="331" spans="1:237" x14ac:dyDescent="0.2">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c r="AG331" s="2"/>
      <c r="AH331" s="2"/>
      <c r="AI331" s="2"/>
      <c r="AJ331" s="2"/>
      <c r="AK331" s="2"/>
      <c r="AL331" s="2"/>
      <c r="AM331" s="2"/>
      <c r="AN331" s="2"/>
      <c r="AO331" s="2"/>
      <c r="AP331" s="2"/>
      <c r="AQ331" s="2"/>
      <c r="AR331" s="2"/>
      <c r="AS331" s="2"/>
      <c r="AT331" s="2"/>
      <c r="AU331" s="2"/>
      <c r="AV331" s="2"/>
      <c r="AW331" s="2"/>
      <c r="AX331" s="2"/>
      <c r="AY331" s="2"/>
      <c r="AZ331" s="2"/>
      <c r="BA331" s="2"/>
      <c r="BB331" s="2"/>
      <c r="BC331" s="2"/>
      <c r="BD331" s="2"/>
      <c r="BE331" s="2"/>
      <c r="BF331" s="2"/>
      <c r="BG331" s="2"/>
      <c r="BH331" s="2"/>
      <c r="BI331" s="2"/>
      <c r="BJ331" s="2"/>
      <c r="BK331" s="2"/>
      <c r="BL331" s="2"/>
      <c r="BM331" s="2"/>
      <c r="BN331" s="2"/>
      <c r="BO331" s="2"/>
      <c r="BP331" s="2"/>
      <c r="BQ331" s="2"/>
      <c r="BR331" s="2"/>
      <c r="BS331" s="2"/>
      <c r="BT331" s="2"/>
      <c r="BU331" s="2"/>
      <c r="BV331" s="2"/>
      <c r="BW331" s="2"/>
      <c r="BX331" s="2"/>
      <c r="BY331" s="2"/>
      <c r="BZ331" s="2"/>
      <c r="CA331" s="2"/>
      <c r="CB331" s="2"/>
      <c r="CC331" s="2"/>
      <c r="CD331" s="2"/>
      <c r="CE331" s="2"/>
      <c r="CF331" s="2"/>
      <c r="CG331" s="2"/>
      <c r="CH331" s="2"/>
      <c r="CI331" s="2"/>
      <c r="CJ331" s="2"/>
      <c r="CK331" s="2"/>
      <c r="CL331" s="2"/>
      <c r="CM331" s="2"/>
      <c r="CN331" s="2"/>
      <c r="CO331" s="2"/>
      <c r="CP331" s="2"/>
      <c r="CQ331" s="2"/>
      <c r="CR331" s="2"/>
      <c r="CS331" s="2"/>
      <c r="CT331" s="2"/>
      <c r="CU331" s="2"/>
      <c r="CV331" s="2"/>
      <c r="CW331" s="2"/>
      <c r="CX331" s="2"/>
      <c r="CY331" s="2"/>
      <c r="CZ331" s="2"/>
      <c r="DA331" s="2"/>
      <c r="DB331" s="2"/>
      <c r="DC331" s="2"/>
      <c r="DD331" s="2"/>
      <c r="DE331" s="2"/>
      <c r="DF331" s="2"/>
      <c r="DG331" s="2"/>
      <c r="DH331" s="2"/>
      <c r="DI331" s="2"/>
      <c r="DJ331" s="2"/>
      <c r="DK331" s="2"/>
      <c r="DL331" s="2"/>
      <c r="DM331" s="2"/>
      <c r="DN331" s="2"/>
      <c r="DO331" s="2"/>
      <c r="DP331" s="2"/>
      <c r="DQ331" s="2"/>
      <c r="DR331" s="2"/>
      <c r="DS331" s="2"/>
      <c r="DT331" s="2"/>
      <c r="DU331" s="2"/>
      <c r="DV331" s="2"/>
      <c r="DW331" s="2"/>
      <c r="DX331" s="2"/>
      <c r="DY331" s="2"/>
      <c r="DZ331" s="2"/>
      <c r="EA331" s="2"/>
      <c r="EB331" s="2"/>
      <c r="EC331" s="2"/>
      <c r="ED331" s="2"/>
      <c r="EE331" s="2"/>
      <c r="EF331" s="2"/>
      <c r="EG331" s="2"/>
      <c r="EH331" s="2"/>
      <c r="EI331" s="2"/>
      <c r="EJ331" s="2"/>
      <c r="EK331" s="2"/>
      <c r="EL331" s="2"/>
      <c r="EM331" s="2"/>
      <c r="EN331" s="2"/>
      <c r="EO331" s="2"/>
      <c r="EP331" s="2"/>
      <c r="EQ331" s="2"/>
      <c r="ER331" s="2"/>
      <c r="ES331" s="2"/>
      <c r="ET331" s="2"/>
      <c r="EU331" s="2"/>
      <c r="EV331" s="2"/>
      <c r="EW331" s="2"/>
      <c r="EX331" s="2"/>
      <c r="EY331" s="2"/>
      <c r="EZ331" s="2"/>
      <c r="FA331" s="2"/>
      <c r="FB331" s="2"/>
      <c r="FC331" s="2"/>
      <c r="FD331" s="2"/>
      <c r="FE331" s="2"/>
      <c r="FF331" s="2"/>
      <c r="FG331" s="2"/>
      <c r="FH331" s="2"/>
      <c r="FI331" s="2"/>
      <c r="FJ331" s="2"/>
      <c r="FK331" s="2"/>
      <c r="FL331" s="2"/>
      <c r="FM331" s="2"/>
      <c r="FN331" s="2"/>
      <c r="FO331" s="2"/>
      <c r="FP331" s="2"/>
      <c r="FQ331" s="2"/>
      <c r="FR331" s="2"/>
      <c r="FS331" s="2"/>
      <c r="FT331" s="2"/>
      <c r="FU331" s="2"/>
      <c r="FV331" s="2"/>
      <c r="FW331" s="2"/>
      <c r="FX331" s="2"/>
      <c r="FY331" s="2"/>
      <c r="FZ331" s="2"/>
      <c r="GA331" s="2"/>
      <c r="GB331" s="2"/>
      <c r="GC331" s="2"/>
      <c r="GD331" s="2"/>
      <c r="GE331" s="2"/>
      <c r="GF331" s="2"/>
      <c r="GG331" s="2"/>
      <c r="GH331" s="2"/>
      <c r="GI331" s="2"/>
      <c r="GJ331" s="2"/>
      <c r="GK331" s="2"/>
      <c r="GL331" s="2"/>
      <c r="GM331" s="2"/>
      <c r="GN331" s="2"/>
      <c r="GO331" s="2"/>
      <c r="GP331" s="2"/>
      <c r="GQ331" s="2"/>
      <c r="GR331" s="2"/>
      <c r="GS331" s="2"/>
      <c r="GT331" s="2"/>
      <c r="GU331" s="2"/>
      <c r="GV331" s="2"/>
      <c r="GW331" s="2"/>
      <c r="GX331" s="2"/>
      <c r="GY331" s="2"/>
      <c r="GZ331" s="2"/>
      <c r="HA331" s="2"/>
      <c r="HB331" s="2"/>
      <c r="HC331" s="2"/>
      <c r="HD331" s="2"/>
      <c r="HE331" s="2"/>
      <c r="HF331" s="2"/>
      <c r="HG331" s="2"/>
      <c r="HH331" s="2"/>
      <c r="HI331" s="2"/>
      <c r="HJ331" s="2"/>
      <c r="HK331" s="2"/>
      <c r="HL331" s="2"/>
      <c r="HM331" s="2"/>
      <c r="HN331" s="2"/>
      <c r="HO331" s="2"/>
      <c r="HP331" s="2"/>
      <c r="HQ331" s="2"/>
      <c r="HR331" s="2"/>
      <c r="HS331" s="2"/>
      <c r="HT331" s="2"/>
      <c r="HU331" s="2"/>
      <c r="HV331" s="2"/>
      <c r="HW331" s="2"/>
      <c r="HX331" s="2"/>
      <c r="HY331" s="2"/>
      <c r="HZ331" s="2"/>
      <c r="IA331" s="2"/>
      <c r="IB331" s="2"/>
      <c r="IC331" s="2"/>
    </row>
    <row r="332" spans="1:237" x14ac:dyDescent="0.2">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c r="AG332" s="2"/>
      <c r="AH332" s="2"/>
      <c r="AI332" s="2"/>
      <c r="AJ332" s="2"/>
      <c r="AK332" s="2"/>
      <c r="AL332" s="2"/>
      <c r="AM332" s="2"/>
      <c r="AN332" s="2"/>
      <c r="AO332" s="2"/>
      <c r="AP332" s="2"/>
      <c r="AQ332" s="2"/>
      <c r="AR332" s="2"/>
      <c r="AS332" s="2"/>
      <c r="AT332" s="2"/>
      <c r="AU332" s="2"/>
      <c r="AV332" s="2"/>
      <c r="AW332" s="2"/>
      <c r="AX332" s="2"/>
      <c r="AY332" s="2"/>
      <c r="AZ332" s="2"/>
      <c r="BA332" s="2"/>
      <c r="BB332" s="2"/>
      <c r="BC332" s="2"/>
      <c r="BD332" s="2"/>
      <c r="BE332" s="2"/>
      <c r="BF332" s="2"/>
      <c r="BG332" s="2"/>
      <c r="BH332" s="2"/>
      <c r="BI332" s="2"/>
      <c r="BJ332" s="2"/>
      <c r="BK332" s="2"/>
      <c r="BL332" s="2"/>
      <c r="BM332" s="2"/>
      <c r="BN332" s="2"/>
      <c r="BO332" s="2"/>
      <c r="BP332" s="2"/>
      <c r="BQ332" s="2"/>
      <c r="BR332" s="2"/>
      <c r="BS332" s="2"/>
      <c r="BT332" s="2"/>
      <c r="BU332" s="2"/>
      <c r="BV332" s="2"/>
      <c r="BW332" s="2"/>
      <c r="BX332" s="2"/>
      <c r="BY332" s="2"/>
      <c r="BZ332" s="2"/>
      <c r="CA332" s="2"/>
      <c r="CB332" s="2"/>
      <c r="CC332" s="2"/>
      <c r="CD332" s="2"/>
      <c r="CE332" s="2"/>
      <c r="CF332" s="2"/>
      <c r="CG332" s="2"/>
      <c r="CH332" s="2"/>
      <c r="CI332" s="2"/>
      <c r="CJ332" s="2"/>
      <c r="CK332" s="2"/>
      <c r="CL332" s="2"/>
      <c r="CM332" s="2"/>
      <c r="CN332" s="2"/>
      <c r="CO332" s="2"/>
      <c r="CP332" s="2"/>
      <c r="CQ332" s="2"/>
      <c r="CR332" s="2"/>
      <c r="CS332" s="2"/>
      <c r="CT332" s="2"/>
      <c r="CU332" s="2"/>
      <c r="CV332" s="2"/>
      <c r="CW332" s="2"/>
      <c r="CX332" s="2"/>
      <c r="CY332" s="2"/>
      <c r="CZ332" s="2"/>
      <c r="DA332" s="2"/>
      <c r="DB332" s="2"/>
      <c r="DC332" s="2"/>
      <c r="DD332" s="2"/>
      <c r="DE332" s="2"/>
      <c r="DF332" s="2"/>
      <c r="DG332" s="2"/>
      <c r="DH332" s="2"/>
      <c r="DI332" s="2"/>
      <c r="DJ332" s="2"/>
      <c r="DK332" s="2"/>
      <c r="DL332" s="2"/>
      <c r="DM332" s="2"/>
      <c r="DN332" s="2"/>
      <c r="DO332" s="2"/>
      <c r="DP332" s="2"/>
      <c r="DQ332" s="2"/>
      <c r="DR332" s="2"/>
      <c r="DS332" s="2"/>
      <c r="DT332" s="2"/>
      <c r="DU332" s="2"/>
      <c r="DV332" s="2"/>
      <c r="DW332" s="2"/>
      <c r="DX332" s="2"/>
      <c r="DY332" s="2"/>
      <c r="DZ332" s="2"/>
      <c r="EA332" s="2"/>
      <c r="EB332" s="2"/>
      <c r="EC332" s="2"/>
      <c r="ED332" s="2"/>
      <c r="EE332" s="2"/>
      <c r="EF332" s="2"/>
      <c r="EG332" s="2"/>
      <c r="EH332" s="2"/>
      <c r="EI332" s="2"/>
      <c r="EJ332" s="2"/>
      <c r="EK332" s="2"/>
      <c r="EL332" s="2"/>
      <c r="EM332" s="2"/>
      <c r="EN332" s="2"/>
      <c r="EO332" s="2"/>
      <c r="EP332" s="2"/>
      <c r="EQ332" s="2"/>
      <c r="ER332" s="2"/>
      <c r="ES332" s="2"/>
      <c r="ET332" s="2"/>
      <c r="EU332" s="2"/>
      <c r="EV332" s="2"/>
      <c r="EW332" s="2"/>
      <c r="EX332" s="2"/>
      <c r="EY332" s="2"/>
      <c r="EZ332" s="2"/>
      <c r="FA332" s="2"/>
      <c r="FB332" s="2"/>
      <c r="FC332" s="2"/>
      <c r="FD332" s="2"/>
      <c r="FE332" s="2"/>
      <c r="FF332" s="2"/>
      <c r="FG332" s="2"/>
      <c r="FH332" s="2"/>
      <c r="FI332" s="2"/>
      <c r="FJ332" s="2"/>
      <c r="FK332" s="2"/>
      <c r="FL332" s="2"/>
      <c r="FM332" s="2"/>
      <c r="FN332" s="2"/>
      <c r="FO332" s="2"/>
      <c r="FP332" s="2"/>
      <c r="FQ332" s="2"/>
      <c r="FR332" s="2"/>
      <c r="FS332" s="2"/>
      <c r="FT332" s="2"/>
      <c r="FU332" s="2"/>
      <c r="FV332" s="2"/>
      <c r="FW332" s="2"/>
      <c r="FX332" s="2"/>
      <c r="FY332" s="2"/>
      <c r="FZ332" s="2"/>
      <c r="GA332" s="2"/>
      <c r="GB332" s="2"/>
      <c r="GC332" s="2"/>
      <c r="GD332" s="2"/>
      <c r="GE332" s="2"/>
      <c r="GF332" s="2"/>
      <c r="GG332" s="2"/>
      <c r="GH332" s="2"/>
      <c r="GI332" s="2"/>
      <c r="GJ332" s="2"/>
      <c r="GK332" s="2"/>
      <c r="GL332" s="2"/>
      <c r="GM332" s="2"/>
      <c r="GN332" s="2"/>
      <c r="GO332" s="2"/>
      <c r="GP332" s="2"/>
      <c r="GQ332" s="2"/>
      <c r="GR332" s="2"/>
      <c r="GS332" s="2"/>
      <c r="GT332" s="2"/>
      <c r="GU332" s="2"/>
      <c r="GV332" s="2"/>
      <c r="GW332" s="2"/>
      <c r="GX332" s="2"/>
      <c r="GY332" s="2"/>
      <c r="GZ332" s="2"/>
      <c r="HA332" s="2"/>
      <c r="HB332" s="2"/>
      <c r="HC332" s="2"/>
      <c r="HD332" s="2"/>
      <c r="HE332" s="2"/>
      <c r="HF332" s="2"/>
      <c r="HG332" s="2"/>
      <c r="HH332" s="2"/>
      <c r="HI332" s="2"/>
      <c r="HJ332" s="2"/>
      <c r="HK332" s="2"/>
      <c r="HL332" s="2"/>
      <c r="HM332" s="2"/>
      <c r="HN332" s="2"/>
      <c r="HO332" s="2"/>
      <c r="HP332" s="2"/>
      <c r="HQ332" s="2"/>
      <c r="HR332" s="2"/>
      <c r="HS332" s="2"/>
      <c r="HT332" s="2"/>
      <c r="HU332" s="2"/>
      <c r="HV332" s="2"/>
      <c r="HW332" s="2"/>
      <c r="HX332" s="2"/>
      <c r="HY332" s="2"/>
      <c r="HZ332" s="2"/>
      <c r="IA332" s="2"/>
      <c r="IB332" s="2"/>
      <c r="IC332" s="2"/>
    </row>
    <row r="333" spans="1:237" x14ac:dyDescent="0.2">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c r="AG333" s="2"/>
      <c r="AH333" s="2"/>
      <c r="AI333" s="2"/>
      <c r="AJ333" s="2"/>
      <c r="AK333" s="2"/>
      <c r="AL333" s="2"/>
      <c r="AM333" s="2"/>
      <c r="AN333" s="2"/>
      <c r="AO333" s="2"/>
      <c r="AP333" s="2"/>
      <c r="AQ333" s="2"/>
      <c r="AR333" s="2"/>
      <c r="AS333" s="2"/>
      <c r="AT333" s="2"/>
      <c r="AU333" s="2"/>
      <c r="AV333" s="2"/>
      <c r="AW333" s="2"/>
      <c r="AX333" s="2"/>
      <c r="AY333" s="2"/>
      <c r="AZ333" s="2"/>
      <c r="BA333" s="2"/>
      <c r="BB333" s="2"/>
      <c r="BC333" s="2"/>
      <c r="BD333" s="2"/>
      <c r="BE333" s="2"/>
      <c r="BF333" s="2"/>
      <c r="BG333" s="2"/>
      <c r="BH333" s="2"/>
      <c r="BI333" s="2"/>
      <c r="BJ333" s="2"/>
      <c r="BK333" s="2"/>
      <c r="BL333" s="2"/>
      <c r="BM333" s="2"/>
      <c r="BN333" s="2"/>
      <c r="BO333" s="2"/>
      <c r="BP333" s="2"/>
      <c r="BQ333" s="2"/>
      <c r="BR333" s="2"/>
      <c r="BS333" s="2"/>
      <c r="BT333" s="2"/>
      <c r="BU333" s="2"/>
      <c r="BV333" s="2"/>
      <c r="BW333" s="2"/>
      <c r="BX333" s="2"/>
      <c r="BY333" s="2"/>
      <c r="BZ333" s="2"/>
      <c r="CA333" s="2"/>
      <c r="CB333" s="2"/>
      <c r="CC333" s="2"/>
      <c r="CD333" s="2"/>
      <c r="CE333" s="2"/>
      <c r="CF333" s="2"/>
      <c r="CG333" s="2"/>
      <c r="CH333" s="2"/>
      <c r="CI333" s="2"/>
      <c r="CJ333" s="2"/>
      <c r="CK333" s="2"/>
      <c r="CL333" s="2"/>
      <c r="CM333" s="2"/>
      <c r="CN333" s="2"/>
      <c r="CO333" s="2"/>
      <c r="CP333" s="2"/>
      <c r="CQ333" s="2"/>
      <c r="CR333" s="2"/>
      <c r="CS333" s="2"/>
      <c r="CT333" s="2"/>
      <c r="CU333" s="2"/>
      <c r="CV333" s="2"/>
      <c r="CW333" s="2"/>
      <c r="CX333" s="2"/>
      <c r="CY333" s="2"/>
      <c r="CZ333" s="2"/>
      <c r="DA333" s="2"/>
      <c r="DB333" s="2"/>
      <c r="DC333" s="2"/>
      <c r="DD333" s="2"/>
      <c r="DE333" s="2"/>
      <c r="DF333" s="2"/>
      <c r="DG333" s="2"/>
      <c r="DH333" s="2"/>
      <c r="DI333" s="2"/>
      <c r="DJ333" s="2"/>
      <c r="DK333" s="2"/>
      <c r="DL333" s="2"/>
      <c r="DM333" s="2"/>
      <c r="DN333" s="2"/>
      <c r="DO333" s="2"/>
      <c r="DP333" s="2"/>
      <c r="DQ333" s="2"/>
      <c r="DR333" s="2"/>
      <c r="DS333" s="2"/>
      <c r="DT333" s="2"/>
      <c r="DU333" s="2"/>
      <c r="DV333" s="2"/>
      <c r="DW333" s="2"/>
      <c r="DX333" s="2"/>
      <c r="DY333" s="2"/>
      <c r="DZ333" s="2"/>
      <c r="EA333" s="2"/>
      <c r="EB333" s="2"/>
      <c r="EC333" s="2"/>
      <c r="ED333" s="2"/>
      <c r="EE333" s="2"/>
      <c r="EF333" s="2"/>
      <c r="EG333" s="2"/>
      <c r="EH333" s="2"/>
      <c r="EI333" s="2"/>
      <c r="EJ333" s="2"/>
      <c r="EK333" s="2"/>
      <c r="EL333" s="2"/>
      <c r="EM333" s="2"/>
      <c r="EN333" s="2"/>
      <c r="EO333" s="2"/>
      <c r="EP333" s="2"/>
      <c r="EQ333" s="2"/>
      <c r="ER333" s="2"/>
      <c r="ES333" s="2"/>
      <c r="ET333" s="2"/>
      <c r="EU333" s="2"/>
      <c r="EV333" s="2"/>
      <c r="EW333" s="2"/>
      <c r="EX333" s="2"/>
      <c r="EY333" s="2"/>
      <c r="EZ333" s="2"/>
      <c r="FA333" s="2"/>
      <c r="FB333" s="2"/>
      <c r="FC333" s="2"/>
      <c r="FD333" s="2"/>
      <c r="FE333" s="2"/>
      <c r="FF333" s="2"/>
      <c r="FG333" s="2"/>
      <c r="FH333" s="2"/>
      <c r="FI333" s="2"/>
      <c r="FJ333" s="2"/>
      <c r="FK333" s="2"/>
      <c r="FL333" s="2"/>
      <c r="FM333" s="2"/>
      <c r="FN333" s="2"/>
      <c r="FO333" s="2"/>
      <c r="FP333" s="2"/>
      <c r="FQ333" s="2"/>
      <c r="FR333" s="2"/>
      <c r="FS333" s="2"/>
      <c r="FT333" s="2"/>
      <c r="FU333" s="2"/>
      <c r="FV333" s="2"/>
      <c r="FW333" s="2"/>
      <c r="FX333" s="2"/>
      <c r="FY333" s="2"/>
      <c r="FZ333" s="2"/>
      <c r="GA333" s="2"/>
      <c r="GB333" s="2"/>
      <c r="GC333" s="2"/>
      <c r="GD333" s="2"/>
      <c r="GE333" s="2"/>
      <c r="GF333" s="2"/>
      <c r="GG333" s="2"/>
      <c r="GH333" s="2"/>
      <c r="GI333" s="2"/>
      <c r="GJ333" s="2"/>
      <c r="GK333" s="2"/>
      <c r="GL333" s="2"/>
      <c r="GM333" s="2"/>
      <c r="GN333" s="2"/>
      <c r="GO333" s="2"/>
      <c r="GP333" s="2"/>
      <c r="GQ333" s="2"/>
      <c r="GR333" s="2"/>
      <c r="GS333" s="2"/>
      <c r="GT333" s="2"/>
      <c r="GU333" s="2"/>
      <c r="GV333" s="2"/>
      <c r="GW333" s="2"/>
      <c r="GX333" s="2"/>
      <c r="GY333" s="2"/>
      <c r="GZ333" s="2"/>
      <c r="HA333" s="2"/>
      <c r="HB333" s="2"/>
      <c r="HC333" s="2"/>
      <c r="HD333" s="2"/>
      <c r="HE333" s="2"/>
      <c r="HF333" s="2"/>
      <c r="HG333" s="2"/>
      <c r="HH333" s="2"/>
      <c r="HI333" s="2"/>
      <c r="HJ333" s="2"/>
      <c r="HK333" s="2"/>
      <c r="HL333" s="2"/>
      <c r="HM333" s="2"/>
      <c r="HN333" s="2"/>
      <c r="HO333" s="2"/>
      <c r="HP333" s="2"/>
      <c r="HQ333" s="2"/>
      <c r="HR333" s="2"/>
      <c r="HS333" s="2"/>
      <c r="HT333" s="2"/>
      <c r="HU333" s="2"/>
      <c r="HV333" s="2"/>
      <c r="HW333" s="2"/>
      <c r="HX333" s="2"/>
      <c r="HY333" s="2"/>
      <c r="HZ333" s="2"/>
      <c r="IA333" s="2"/>
      <c r="IB333" s="2"/>
      <c r="IC333" s="2"/>
    </row>
    <row r="334" spans="1:237" x14ac:dyDescent="0.2">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c r="AG334" s="2"/>
      <c r="AH334" s="2"/>
      <c r="AI334" s="2"/>
      <c r="AJ334" s="2"/>
      <c r="AK334" s="2"/>
      <c r="AL334" s="2"/>
      <c r="AM334" s="2"/>
      <c r="AN334" s="2"/>
      <c r="AO334" s="2"/>
      <c r="AP334" s="2"/>
      <c r="AQ334" s="2"/>
      <c r="AR334" s="2"/>
      <c r="AS334" s="2"/>
      <c r="AT334" s="2"/>
      <c r="AU334" s="2"/>
      <c r="AV334" s="2"/>
      <c r="AW334" s="2"/>
      <c r="AX334" s="2"/>
      <c r="AY334" s="2"/>
      <c r="AZ334" s="2"/>
      <c r="BA334" s="2"/>
      <c r="BB334" s="2"/>
      <c r="BC334" s="2"/>
      <c r="BD334" s="2"/>
      <c r="BE334" s="2"/>
      <c r="BF334" s="2"/>
      <c r="BG334" s="2"/>
      <c r="BH334" s="2"/>
      <c r="BI334" s="2"/>
      <c r="BJ334" s="2"/>
      <c r="BK334" s="2"/>
      <c r="BL334" s="2"/>
      <c r="BM334" s="2"/>
      <c r="BN334" s="2"/>
      <c r="BO334" s="2"/>
      <c r="BP334" s="2"/>
      <c r="BQ334" s="2"/>
      <c r="BR334" s="2"/>
      <c r="BS334" s="2"/>
      <c r="BT334" s="2"/>
      <c r="BU334" s="2"/>
      <c r="BV334" s="2"/>
      <c r="BW334" s="2"/>
      <c r="BX334" s="2"/>
      <c r="BY334" s="2"/>
      <c r="BZ334" s="2"/>
      <c r="CA334" s="2"/>
      <c r="CB334" s="2"/>
      <c r="CC334" s="2"/>
      <c r="CD334" s="2"/>
      <c r="CE334" s="2"/>
      <c r="CF334" s="2"/>
      <c r="CG334" s="2"/>
      <c r="CH334" s="2"/>
      <c r="CI334" s="2"/>
      <c r="CJ334" s="2"/>
      <c r="CK334" s="2"/>
      <c r="CL334" s="2"/>
      <c r="CM334" s="2"/>
      <c r="CN334" s="2"/>
      <c r="CO334" s="2"/>
      <c r="CP334" s="2"/>
      <c r="CQ334" s="2"/>
      <c r="CR334" s="2"/>
      <c r="CS334" s="2"/>
      <c r="CT334" s="2"/>
      <c r="CU334" s="2"/>
      <c r="CV334" s="2"/>
      <c r="CW334" s="2"/>
      <c r="CX334" s="2"/>
      <c r="CY334" s="2"/>
      <c r="CZ334" s="2"/>
      <c r="DA334" s="2"/>
      <c r="DB334" s="2"/>
      <c r="DC334" s="2"/>
      <c r="DD334" s="2"/>
      <c r="DE334" s="2"/>
      <c r="DF334" s="2"/>
      <c r="DG334" s="2"/>
      <c r="DH334" s="2"/>
      <c r="DI334" s="2"/>
      <c r="DJ334" s="2"/>
      <c r="DK334" s="2"/>
      <c r="DL334" s="2"/>
      <c r="DM334" s="2"/>
      <c r="DN334" s="2"/>
      <c r="DO334" s="2"/>
      <c r="DP334" s="2"/>
      <c r="DQ334" s="2"/>
      <c r="DR334" s="2"/>
      <c r="DS334" s="2"/>
      <c r="DT334" s="2"/>
      <c r="DU334" s="2"/>
      <c r="DV334" s="2"/>
      <c r="DW334" s="2"/>
      <c r="DX334" s="2"/>
      <c r="DY334" s="2"/>
      <c r="DZ334" s="2"/>
      <c r="EA334" s="2"/>
      <c r="EB334" s="2"/>
      <c r="EC334" s="2"/>
      <c r="ED334" s="2"/>
      <c r="EE334" s="2"/>
      <c r="EF334" s="2"/>
      <c r="EG334" s="2"/>
      <c r="EH334" s="2"/>
      <c r="EI334" s="2"/>
      <c r="EJ334" s="2"/>
      <c r="EK334" s="2"/>
      <c r="EL334" s="2"/>
      <c r="EM334" s="2"/>
      <c r="EN334" s="2"/>
      <c r="EO334" s="2"/>
      <c r="EP334" s="2"/>
      <c r="EQ334" s="2"/>
      <c r="ER334" s="2"/>
      <c r="ES334" s="2"/>
      <c r="ET334" s="2"/>
      <c r="EU334" s="2"/>
      <c r="EV334" s="2"/>
      <c r="EW334" s="2"/>
      <c r="EX334" s="2"/>
      <c r="EY334" s="2"/>
      <c r="EZ334" s="2"/>
      <c r="FA334" s="2"/>
      <c r="FB334" s="2"/>
      <c r="FC334" s="2"/>
      <c r="FD334" s="2"/>
      <c r="FE334" s="2"/>
      <c r="FF334" s="2"/>
      <c r="FG334" s="2"/>
      <c r="FH334" s="2"/>
      <c r="FI334" s="2"/>
      <c r="FJ334" s="2"/>
      <c r="FK334" s="2"/>
      <c r="FL334" s="2"/>
      <c r="FM334" s="2"/>
      <c r="FN334" s="2"/>
      <c r="FO334" s="2"/>
      <c r="FP334" s="2"/>
      <c r="FQ334" s="2"/>
      <c r="FR334" s="2"/>
      <c r="FS334" s="2"/>
      <c r="FT334" s="2"/>
      <c r="FU334" s="2"/>
      <c r="FV334" s="2"/>
      <c r="FW334" s="2"/>
      <c r="FX334" s="2"/>
      <c r="FY334" s="2"/>
      <c r="FZ334" s="2"/>
      <c r="GA334" s="2"/>
      <c r="GB334" s="2"/>
      <c r="GC334" s="2"/>
      <c r="GD334" s="2"/>
      <c r="GE334" s="2"/>
      <c r="GF334" s="2"/>
      <c r="GG334" s="2"/>
      <c r="GH334" s="2"/>
      <c r="GI334" s="2"/>
      <c r="GJ334" s="2"/>
      <c r="GK334" s="2"/>
      <c r="GL334" s="2"/>
      <c r="GM334" s="2"/>
      <c r="GN334" s="2"/>
      <c r="GO334" s="2"/>
      <c r="GP334" s="2"/>
      <c r="GQ334" s="2"/>
      <c r="GR334" s="2"/>
      <c r="GS334" s="2"/>
      <c r="GT334" s="2"/>
      <c r="GU334" s="2"/>
      <c r="GV334" s="2"/>
      <c r="GW334" s="2"/>
      <c r="GX334" s="2"/>
      <c r="GY334" s="2"/>
      <c r="GZ334" s="2"/>
      <c r="HA334" s="2"/>
      <c r="HB334" s="2"/>
      <c r="HC334" s="2"/>
      <c r="HD334" s="2"/>
      <c r="HE334" s="2"/>
      <c r="HF334" s="2"/>
      <c r="HG334" s="2"/>
      <c r="HH334" s="2"/>
      <c r="HI334" s="2"/>
      <c r="HJ334" s="2"/>
      <c r="HK334" s="2"/>
      <c r="HL334" s="2"/>
      <c r="HM334" s="2"/>
      <c r="HN334" s="2"/>
      <c r="HO334" s="2"/>
      <c r="HP334" s="2"/>
      <c r="HQ334" s="2"/>
      <c r="HR334" s="2"/>
      <c r="HS334" s="2"/>
      <c r="HT334" s="2"/>
      <c r="HU334" s="2"/>
      <c r="HV334" s="2"/>
      <c r="HW334" s="2"/>
      <c r="HX334" s="2"/>
      <c r="HY334" s="2"/>
      <c r="HZ334" s="2"/>
      <c r="IA334" s="2"/>
      <c r="IB334" s="2"/>
      <c r="IC334" s="2"/>
    </row>
    <row r="335" spans="1:237" x14ac:dyDescent="0.2">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c r="AD335" s="2"/>
      <c r="AE335" s="2"/>
      <c r="AF335" s="2"/>
      <c r="AG335" s="2"/>
      <c r="AH335" s="2"/>
      <c r="AI335" s="2"/>
      <c r="AJ335" s="2"/>
      <c r="AK335" s="2"/>
      <c r="AL335" s="2"/>
      <c r="AM335" s="2"/>
      <c r="AN335" s="2"/>
      <c r="AO335" s="2"/>
      <c r="AP335" s="2"/>
      <c r="AQ335" s="2"/>
      <c r="AR335" s="2"/>
      <c r="AS335" s="2"/>
      <c r="AT335" s="2"/>
      <c r="AU335" s="2"/>
      <c r="AV335" s="2"/>
      <c r="AW335" s="2"/>
      <c r="AX335" s="2"/>
      <c r="AY335" s="2"/>
      <c r="AZ335" s="2"/>
      <c r="BA335" s="2"/>
      <c r="BB335" s="2"/>
      <c r="BC335" s="2"/>
      <c r="BD335" s="2"/>
      <c r="BE335" s="2"/>
      <c r="BF335" s="2"/>
      <c r="BG335" s="2"/>
      <c r="BH335" s="2"/>
      <c r="BI335" s="2"/>
      <c r="BJ335" s="2"/>
      <c r="BK335" s="2"/>
      <c r="BL335" s="2"/>
      <c r="BM335" s="2"/>
      <c r="BN335" s="2"/>
      <c r="BO335" s="2"/>
      <c r="BP335" s="2"/>
      <c r="BQ335" s="2"/>
      <c r="BR335" s="2"/>
      <c r="BS335" s="2"/>
      <c r="BT335" s="2"/>
      <c r="BU335" s="2"/>
      <c r="BV335" s="2"/>
      <c r="BW335" s="2"/>
      <c r="BX335" s="2"/>
      <c r="BY335" s="2"/>
      <c r="BZ335" s="2"/>
      <c r="CA335" s="2"/>
      <c r="CB335" s="2"/>
      <c r="CC335" s="2"/>
      <c r="CD335" s="2"/>
      <c r="CE335" s="2"/>
      <c r="CF335" s="2"/>
      <c r="CG335" s="2"/>
      <c r="CH335" s="2"/>
      <c r="CI335" s="2"/>
      <c r="CJ335" s="2"/>
      <c r="CK335" s="2"/>
      <c r="CL335" s="2"/>
      <c r="CM335" s="2"/>
      <c r="CN335" s="2"/>
      <c r="CO335" s="2"/>
      <c r="CP335" s="2"/>
      <c r="CQ335" s="2"/>
      <c r="CR335" s="2"/>
      <c r="CS335" s="2"/>
      <c r="CT335" s="2"/>
      <c r="CU335" s="2"/>
      <c r="CV335" s="2"/>
      <c r="CW335" s="2"/>
      <c r="CX335" s="2"/>
      <c r="CY335" s="2"/>
      <c r="CZ335" s="2"/>
      <c r="DA335" s="2"/>
      <c r="DB335" s="2"/>
      <c r="DC335" s="2"/>
      <c r="DD335" s="2"/>
      <c r="DE335" s="2"/>
      <c r="DF335" s="2"/>
      <c r="DG335" s="2"/>
      <c r="DH335" s="2"/>
      <c r="DI335" s="2"/>
      <c r="DJ335" s="2"/>
      <c r="DK335" s="2"/>
      <c r="DL335" s="2"/>
      <c r="DM335" s="2"/>
      <c r="DN335" s="2"/>
      <c r="DO335" s="2"/>
      <c r="DP335" s="2"/>
      <c r="DQ335" s="2"/>
      <c r="DR335" s="2"/>
      <c r="DS335" s="2"/>
      <c r="DT335" s="2"/>
      <c r="DU335" s="2"/>
      <c r="DV335" s="2"/>
      <c r="DW335" s="2"/>
      <c r="DX335" s="2"/>
      <c r="DY335" s="2"/>
      <c r="DZ335" s="2"/>
      <c r="EA335" s="2"/>
      <c r="EB335" s="2"/>
      <c r="EC335" s="2"/>
      <c r="ED335" s="2"/>
      <c r="EE335" s="2"/>
      <c r="EF335" s="2"/>
      <c r="EG335" s="2"/>
      <c r="EH335" s="2"/>
      <c r="EI335" s="2"/>
      <c r="EJ335" s="2"/>
      <c r="EK335" s="2"/>
      <c r="EL335" s="2"/>
      <c r="EM335" s="2"/>
      <c r="EN335" s="2"/>
      <c r="EO335" s="2"/>
      <c r="EP335" s="2"/>
      <c r="EQ335" s="2"/>
      <c r="ER335" s="2"/>
      <c r="ES335" s="2"/>
      <c r="ET335" s="2"/>
      <c r="EU335" s="2"/>
      <c r="EV335" s="2"/>
      <c r="EW335" s="2"/>
      <c r="EX335" s="2"/>
      <c r="EY335" s="2"/>
      <c r="EZ335" s="2"/>
      <c r="FA335" s="2"/>
      <c r="FB335" s="2"/>
      <c r="FC335" s="2"/>
      <c r="FD335" s="2"/>
      <c r="FE335" s="2"/>
      <c r="FF335" s="2"/>
      <c r="FG335" s="2"/>
      <c r="FH335" s="2"/>
      <c r="FI335" s="2"/>
      <c r="FJ335" s="2"/>
      <c r="FK335" s="2"/>
      <c r="FL335" s="2"/>
      <c r="FM335" s="2"/>
      <c r="FN335" s="2"/>
      <c r="FO335" s="2"/>
      <c r="FP335" s="2"/>
      <c r="FQ335" s="2"/>
      <c r="FR335" s="2"/>
      <c r="FS335" s="2"/>
      <c r="FT335" s="2"/>
      <c r="FU335" s="2"/>
      <c r="FV335" s="2"/>
      <c r="FW335" s="2"/>
      <c r="FX335" s="2"/>
      <c r="FY335" s="2"/>
      <c r="FZ335" s="2"/>
      <c r="GA335" s="2"/>
      <c r="GB335" s="2"/>
      <c r="GC335" s="2"/>
      <c r="GD335" s="2"/>
      <c r="GE335" s="2"/>
      <c r="GF335" s="2"/>
      <c r="GG335" s="2"/>
      <c r="GH335" s="2"/>
      <c r="GI335" s="2"/>
      <c r="GJ335" s="2"/>
      <c r="GK335" s="2"/>
      <c r="GL335" s="2"/>
      <c r="GM335" s="2"/>
      <c r="GN335" s="2"/>
      <c r="GO335" s="2"/>
      <c r="GP335" s="2"/>
      <c r="GQ335" s="2"/>
      <c r="GR335" s="2"/>
      <c r="GS335" s="2"/>
      <c r="GT335" s="2"/>
      <c r="GU335" s="2"/>
      <c r="GV335" s="2"/>
      <c r="GW335" s="2"/>
      <c r="GX335" s="2"/>
      <c r="GY335" s="2"/>
      <c r="GZ335" s="2"/>
      <c r="HA335" s="2"/>
      <c r="HB335" s="2"/>
      <c r="HC335" s="2"/>
      <c r="HD335" s="2"/>
      <c r="HE335" s="2"/>
      <c r="HF335" s="2"/>
      <c r="HG335" s="2"/>
      <c r="HH335" s="2"/>
      <c r="HI335" s="2"/>
      <c r="HJ335" s="2"/>
      <c r="HK335" s="2"/>
      <c r="HL335" s="2"/>
      <c r="HM335" s="2"/>
      <c r="HN335" s="2"/>
      <c r="HO335" s="2"/>
      <c r="HP335" s="2"/>
      <c r="HQ335" s="2"/>
      <c r="HR335" s="2"/>
      <c r="HS335" s="2"/>
      <c r="HT335" s="2"/>
      <c r="HU335" s="2"/>
      <c r="HV335" s="2"/>
      <c r="HW335" s="2"/>
      <c r="HX335" s="2"/>
      <c r="HY335" s="2"/>
      <c r="HZ335" s="2"/>
      <c r="IA335" s="2"/>
      <c r="IB335" s="2"/>
      <c r="IC335" s="2"/>
    </row>
    <row r="336" spans="1:237" x14ac:dyDescent="0.2">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c r="AD336" s="2"/>
      <c r="AE336" s="2"/>
      <c r="AF336" s="2"/>
      <c r="AG336" s="2"/>
      <c r="AH336" s="2"/>
      <c r="AI336" s="2"/>
      <c r="AJ336" s="2"/>
      <c r="AK336" s="2"/>
      <c r="AL336" s="2"/>
      <c r="AM336" s="2"/>
      <c r="AN336" s="2"/>
      <c r="AO336" s="2"/>
      <c r="AP336" s="2"/>
      <c r="AQ336" s="2"/>
      <c r="AR336" s="2"/>
      <c r="AS336" s="2"/>
      <c r="AT336" s="2"/>
      <c r="AU336" s="2"/>
      <c r="AV336" s="2"/>
      <c r="AW336" s="2"/>
      <c r="AX336" s="2"/>
      <c r="AY336" s="2"/>
      <c r="AZ336" s="2"/>
      <c r="BA336" s="2"/>
      <c r="BB336" s="2"/>
      <c r="BC336" s="2"/>
      <c r="BD336" s="2"/>
      <c r="BE336" s="2"/>
      <c r="BF336" s="2"/>
      <c r="BG336" s="2"/>
      <c r="BH336" s="2"/>
      <c r="BI336" s="2"/>
      <c r="BJ336" s="2"/>
      <c r="BK336" s="2"/>
      <c r="BL336" s="2"/>
      <c r="BM336" s="2"/>
      <c r="BN336" s="2"/>
      <c r="BO336" s="2"/>
      <c r="BP336" s="2"/>
      <c r="BQ336" s="2"/>
      <c r="BR336" s="2"/>
      <c r="BS336" s="2"/>
      <c r="BT336" s="2"/>
      <c r="BU336" s="2"/>
      <c r="BV336" s="2"/>
      <c r="BW336" s="2"/>
      <c r="BX336" s="2"/>
      <c r="BY336" s="2"/>
      <c r="BZ336" s="2"/>
      <c r="CA336" s="2"/>
      <c r="CB336" s="2"/>
      <c r="CC336" s="2"/>
      <c r="CD336" s="2"/>
      <c r="CE336" s="2"/>
      <c r="CF336" s="2"/>
      <c r="CG336" s="2"/>
      <c r="CH336" s="2"/>
      <c r="CI336" s="2"/>
      <c r="CJ336" s="2"/>
      <c r="CK336" s="2"/>
      <c r="CL336" s="2"/>
      <c r="CM336" s="2"/>
      <c r="CN336" s="2"/>
      <c r="CO336" s="2"/>
      <c r="CP336" s="2"/>
      <c r="CQ336" s="2"/>
      <c r="CR336" s="2"/>
      <c r="CS336" s="2"/>
      <c r="CT336" s="2"/>
      <c r="CU336" s="2"/>
      <c r="CV336" s="2"/>
      <c r="CW336" s="2"/>
      <c r="CX336" s="2"/>
      <c r="CY336" s="2"/>
      <c r="CZ336" s="2"/>
      <c r="DA336" s="2"/>
      <c r="DB336" s="2"/>
      <c r="DC336" s="2"/>
      <c r="DD336" s="2"/>
      <c r="DE336" s="2"/>
      <c r="DF336" s="2"/>
      <c r="DG336" s="2"/>
      <c r="DH336" s="2"/>
      <c r="DI336" s="2"/>
      <c r="DJ336" s="2"/>
      <c r="DK336" s="2"/>
      <c r="DL336" s="2"/>
      <c r="DM336" s="2"/>
      <c r="DN336" s="2"/>
      <c r="DO336" s="2"/>
      <c r="DP336" s="2"/>
      <c r="DQ336" s="2"/>
      <c r="DR336" s="2"/>
      <c r="DS336" s="2"/>
      <c r="DT336" s="2"/>
      <c r="DU336" s="2"/>
      <c r="DV336" s="2"/>
      <c r="DW336" s="2"/>
      <c r="DX336" s="2"/>
      <c r="DY336" s="2"/>
      <c r="DZ336" s="2"/>
      <c r="EA336" s="2"/>
      <c r="EB336" s="2"/>
      <c r="EC336" s="2"/>
      <c r="ED336" s="2"/>
      <c r="EE336" s="2"/>
      <c r="EF336" s="2"/>
      <c r="EG336" s="2"/>
      <c r="EH336" s="2"/>
      <c r="EI336" s="2"/>
      <c r="EJ336" s="2"/>
      <c r="EK336" s="2"/>
      <c r="EL336" s="2"/>
      <c r="EM336" s="2"/>
      <c r="EN336" s="2"/>
      <c r="EO336" s="2"/>
      <c r="EP336" s="2"/>
      <c r="EQ336" s="2"/>
      <c r="ER336" s="2"/>
      <c r="ES336" s="2"/>
      <c r="ET336" s="2"/>
      <c r="EU336" s="2"/>
      <c r="EV336" s="2"/>
      <c r="EW336" s="2"/>
      <c r="EX336" s="2"/>
      <c r="EY336" s="2"/>
      <c r="EZ336" s="2"/>
      <c r="FA336" s="2"/>
      <c r="FB336" s="2"/>
      <c r="FC336" s="2"/>
      <c r="FD336" s="2"/>
      <c r="FE336" s="2"/>
      <c r="FF336" s="2"/>
      <c r="FG336" s="2"/>
      <c r="FH336" s="2"/>
      <c r="FI336" s="2"/>
      <c r="FJ336" s="2"/>
      <c r="FK336" s="2"/>
      <c r="FL336" s="2"/>
      <c r="FM336" s="2"/>
      <c r="FN336" s="2"/>
      <c r="FO336" s="2"/>
      <c r="FP336" s="2"/>
      <c r="FQ336" s="2"/>
      <c r="FR336" s="2"/>
      <c r="FS336" s="2"/>
      <c r="FT336" s="2"/>
      <c r="FU336" s="2"/>
      <c r="FV336" s="2"/>
      <c r="FW336" s="2"/>
      <c r="FX336" s="2"/>
      <c r="FY336" s="2"/>
      <c r="FZ336" s="2"/>
      <c r="GA336" s="2"/>
      <c r="GB336" s="2"/>
      <c r="GC336" s="2"/>
      <c r="GD336" s="2"/>
      <c r="GE336" s="2"/>
      <c r="GF336" s="2"/>
      <c r="GG336" s="2"/>
      <c r="GH336" s="2"/>
      <c r="GI336" s="2"/>
      <c r="GJ336" s="2"/>
      <c r="GK336" s="2"/>
      <c r="GL336" s="2"/>
      <c r="GM336" s="2"/>
      <c r="GN336" s="2"/>
      <c r="GO336" s="2"/>
      <c r="GP336" s="2"/>
      <c r="GQ336" s="2"/>
      <c r="GR336" s="2"/>
      <c r="GS336" s="2"/>
      <c r="GT336" s="2"/>
      <c r="GU336" s="2"/>
      <c r="GV336" s="2"/>
      <c r="GW336" s="2"/>
      <c r="GX336" s="2"/>
      <c r="GY336" s="2"/>
      <c r="GZ336" s="2"/>
      <c r="HA336" s="2"/>
      <c r="HB336" s="2"/>
      <c r="HC336" s="2"/>
      <c r="HD336" s="2"/>
      <c r="HE336" s="2"/>
      <c r="HF336" s="2"/>
      <c r="HG336" s="2"/>
      <c r="HH336" s="2"/>
      <c r="HI336" s="2"/>
      <c r="HJ336" s="2"/>
      <c r="HK336" s="2"/>
      <c r="HL336" s="2"/>
      <c r="HM336" s="2"/>
      <c r="HN336" s="2"/>
      <c r="HO336" s="2"/>
      <c r="HP336" s="2"/>
      <c r="HQ336" s="2"/>
      <c r="HR336" s="2"/>
      <c r="HS336" s="2"/>
      <c r="HT336" s="2"/>
      <c r="HU336" s="2"/>
      <c r="HV336" s="2"/>
      <c r="HW336" s="2"/>
      <c r="HX336" s="2"/>
      <c r="HY336" s="2"/>
      <c r="HZ336" s="2"/>
      <c r="IA336" s="2"/>
      <c r="IB336" s="2"/>
      <c r="IC336" s="2"/>
    </row>
    <row r="337" spans="1:237" x14ac:dyDescent="0.2">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c r="AD337" s="2"/>
      <c r="AE337" s="2"/>
      <c r="AF337" s="2"/>
      <c r="AG337" s="2"/>
      <c r="AH337" s="2"/>
      <c r="AI337" s="2"/>
      <c r="AJ337" s="2"/>
      <c r="AK337" s="2"/>
      <c r="AL337" s="2"/>
      <c r="AM337" s="2"/>
      <c r="AN337" s="2"/>
      <c r="AO337" s="2"/>
      <c r="AP337" s="2"/>
      <c r="AQ337" s="2"/>
      <c r="AR337" s="2"/>
      <c r="AS337" s="2"/>
      <c r="AT337" s="2"/>
      <c r="AU337" s="2"/>
      <c r="AV337" s="2"/>
      <c r="AW337" s="2"/>
      <c r="AX337" s="2"/>
      <c r="AY337" s="2"/>
      <c r="AZ337" s="2"/>
      <c r="BA337" s="2"/>
      <c r="BB337" s="2"/>
      <c r="BC337" s="2"/>
      <c r="BD337" s="2"/>
      <c r="BE337" s="2"/>
      <c r="BF337" s="2"/>
      <c r="BG337" s="2"/>
      <c r="BH337" s="2"/>
      <c r="BI337" s="2"/>
      <c r="BJ337" s="2"/>
      <c r="BK337" s="2"/>
      <c r="BL337" s="2"/>
      <c r="BM337" s="2"/>
      <c r="BN337" s="2"/>
      <c r="BO337" s="2"/>
      <c r="BP337" s="2"/>
      <c r="BQ337" s="2"/>
      <c r="BR337" s="2"/>
      <c r="BS337" s="2"/>
      <c r="BT337" s="2"/>
      <c r="BU337" s="2"/>
      <c r="BV337" s="2"/>
      <c r="BW337" s="2"/>
      <c r="BX337" s="2"/>
      <c r="BY337" s="2"/>
      <c r="BZ337" s="2"/>
      <c r="CA337" s="2"/>
      <c r="CB337" s="2"/>
      <c r="CC337" s="2"/>
      <c r="CD337" s="2"/>
      <c r="CE337" s="2"/>
      <c r="CF337" s="2"/>
      <c r="CG337" s="2"/>
      <c r="CH337" s="2"/>
      <c r="CI337" s="2"/>
      <c r="CJ337" s="2"/>
      <c r="CK337" s="2"/>
      <c r="CL337" s="2"/>
      <c r="CM337" s="2"/>
      <c r="CN337" s="2"/>
      <c r="CO337" s="2"/>
      <c r="CP337" s="2"/>
      <c r="CQ337" s="2"/>
      <c r="CR337" s="2"/>
      <c r="CS337" s="2"/>
      <c r="CT337" s="2"/>
      <c r="CU337" s="2"/>
      <c r="CV337" s="2"/>
      <c r="CW337" s="2"/>
      <c r="CX337" s="2"/>
      <c r="CY337" s="2"/>
      <c r="CZ337" s="2"/>
      <c r="DA337" s="2"/>
      <c r="DB337" s="2"/>
      <c r="DC337" s="2"/>
      <c r="DD337" s="2"/>
      <c r="DE337" s="2"/>
      <c r="DF337" s="2"/>
      <c r="DG337" s="2"/>
      <c r="DH337" s="2"/>
      <c r="DI337" s="2"/>
      <c r="DJ337" s="2"/>
      <c r="DK337" s="2"/>
      <c r="DL337" s="2"/>
      <c r="DM337" s="2"/>
      <c r="DN337" s="2"/>
      <c r="DO337" s="2"/>
      <c r="DP337" s="2"/>
      <c r="DQ337" s="2"/>
      <c r="DR337" s="2"/>
      <c r="DS337" s="2"/>
      <c r="DT337" s="2"/>
      <c r="DU337" s="2"/>
      <c r="DV337" s="2"/>
      <c r="DW337" s="2"/>
      <c r="DX337" s="2"/>
      <c r="DY337" s="2"/>
      <c r="DZ337" s="2"/>
      <c r="EA337" s="2"/>
      <c r="EB337" s="2"/>
      <c r="EC337" s="2"/>
      <c r="ED337" s="2"/>
      <c r="EE337" s="2"/>
      <c r="EF337" s="2"/>
      <c r="EG337" s="2"/>
      <c r="EH337" s="2"/>
      <c r="EI337" s="2"/>
      <c r="EJ337" s="2"/>
      <c r="EK337" s="2"/>
      <c r="EL337" s="2"/>
      <c r="EM337" s="2"/>
      <c r="EN337" s="2"/>
      <c r="EO337" s="2"/>
      <c r="EP337" s="2"/>
      <c r="EQ337" s="2"/>
      <c r="ER337" s="2"/>
      <c r="ES337" s="2"/>
      <c r="ET337" s="2"/>
      <c r="EU337" s="2"/>
      <c r="EV337" s="2"/>
      <c r="EW337" s="2"/>
      <c r="EX337" s="2"/>
      <c r="EY337" s="2"/>
      <c r="EZ337" s="2"/>
      <c r="FA337" s="2"/>
      <c r="FB337" s="2"/>
      <c r="FC337" s="2"/>
      <c r="FD337" s="2"/>
      <c r="FE337" s="2"/>
      <c r="FF337" s="2"/>
      <c r="FG337" s="2"/>
      <c r="FH337" s="2"/>
      <c r="FI337" s="2"/>
      <c r="FJ337" s="2"/>
      <c r="FK337" s="2"/>
      <c r="FL337" s="2"/>
      <c r="FM337" s="2"/>
      <c r="FN337" s="2"/>
      <c r="FO337" s="2"/>
      <c r="FP337" s="2"/>
      <c r="FQ337" s="2"/>
      <c r="FR337" s="2"/>
      <c r="FS337" s="2"/>
      <c r="FT337" s="2"/>
      <c r="FU337" s="2"/>
      <c r="FV337" s="2"/>
      <c r="FW337" s="2"/>
      <c r="FX337" s="2"/>
      <c r="FY337" s="2"/>
      <c r="FZ337" s="2"/>
      <c r="GA337" s="2"/>
      <c r="GB337" s="2"/>
      <c r="GC337" s="2"/>
      <c r="GD337" s="2"/>
      <c r="GE337" s="2"/>
      <c r="GF337" s="2"/>
      <c r="GG337" s="2"/>
      <c r="GH337" s="2"/>
      <c r="GI337" s="2"/>
      <c r="GJ337" s="2"/>
      <c r="GK337" s="2"/>
      <c r="GL337" s="2"/>
      <c r="GM337" s="2"/>
      <c r="GN337" s="2"/>
      <c r="GO337" s="2"/>
      <c r="GP337" s="2"/>
      <c r="GQ337" s="2"/>
      <c r="GR337" s="2"/>
      <c r="GS337" s="2"/>
      <c r="GT337" s="2"/>
      <c r="GU337" s="2"/>
      <c r="GV337" s="2"/>
      <c r="GW337" s="2"/>
      <c r="GX337" s="2"/>
      <c r="GY337" s="2"/>
      <c r="GZ337" s="2"/>
      <c r="HA337" s="2"/>
      <c r="HB337" s="2"/>
      <c r="HC337" s="2"/>
      <c r="HD337" s="2"/>
      <c r="HE337" s="2"/>
      <c r="HF337" s="2"/>
      <c r="HG337" s="2"/>
      <c r="HH337" s="2"/>
      <c r="HI337" s="2"/>
      <c r="HJ337" s="2"/>
      <c r="HK337" s="2"/>
      <c r="HL337" s="2"/>
      <c r="HM337" s="2"/>
      <c r="HN337" s="2"/>
      <c r="HO337" s="2"/>
      <c r="HP337" s="2"/>
      <c r="HQ337" s="2"/>
      <c r="HR337" s="2"/>
      <c r="HS337" s="2"/>
      <c r="HT337" s="2"/>
      <c r="HU337" s="2"/>
      <c r="HV337" s="2"/>
      <c r="HW337" s="2"/>
      <c r="HX337" s="2"/>
      <c r="HY337" s="2"/>
      <c r="HZ337" s="2"/>
      <c r="IA337" s="2"/>
      <c r="IB337" s="2"/>
      <c r="IC337" s="2"/>
    </row>
    <row r="338" spans="1:237" x14ac:dyDescent="0.2">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c r="AD338" s="2"/>
      <c r="AE338" s="2"/>
      <c r="AF338" s="2"/>
      <c r="AG338" s="2"/>
      <c r="AH338" s="2"/>
      <c r="AI338" s="2"/>
      <c r="AJ338" s="2"/>
      <c r="AK338" s="2"/>
      <c r="AL338" s="2"/>
      <c r="AM338" s="2"/>
      <c r="AN338" s="2"/>
      <c r="AO338" s="2"/>
      <c r="AP338" s="2"/>
      <c r="AQ338" s="2"/>
      <c r="AR338" s="2"/>
      <c r="AS338" s="2"/>
      <c r="AT338" s="2"/>
      <c r="AU338" s="2"/>
      <c r="AV338" s="2"/>
      <c r="AW338" s="2"/>
      <c r="AX338" s="2"/>
      <c r="AY338" s="2"/>
      <c r="AZ338" s="2"/>
      <c r="BA338" s="2"/>
      <c r="BB338" s="2"/>
      <c r="BC338" s="2"/>
      <c r="BD338" s="2"/>
      <c r="BE338" s="2"/>
      <c r="BF338" s="2"/>
      <c r="BG338" s="2"/>
      <c r="BH338" s="2"/>
      <c r="BI338" s="2"/>
      <c r="BJ338" s="2"/>
      <c r="BK338" s="2"/>
      <c r="BL338" s="2"/>
      <c r="BM338" s="2"/>
      <c r="BN338" s="2"/>
      <c r="BO338" s="2"/>
      <c r="BP338" s="2"/>
      <c r="BQ338" s="2"/>
      <c r="BR338" s="2"/>
      <c r="BS338" s="2"/>
      <c r="BT338" s="2"/>
      <c r="BU338" s="2"/>
      <c r="BV338" s="2"/>
      <c r="BW338" s="2"/>
      <c r="BX338" s="2"/>
      <c r="BY338" s="2"/>
      <c r="BZ338" s="2"/>
      <c r="CA338" s="2"/>
      <c r="CB338" s="2"/>
      <c r="CC338" s="2"/>
      <c r="CD338" s="2"/>
      <c r="CE338" s="2"/>
      <c r="CF338" s="2"/>
      <c r="CG338" s="2"/>
      <c r="CH338" s="2"/>
      <c r="CI338" s="2"/>
      <c r="CJ338" s="2"/>
      <c r="CK338" s="2"/>
      <c r="CL338" s="2"/>
      <c r="CM338" s="2"/>
      <c r="CN338" s="2"/>
      <c r="CO338" s="2"/>
      <c r="CP338" s="2"/>
      <c r="CQ338" s="2"/>
      <c r="CR338" s="2"/>
      <c r="CS338" s="2"/>
      <c r="CT338" s="2"/>
      <c r="CU338" s="2"/>
      <c r="CV338" s="2"/>
      <c r="CW338" s="2"/>
      <c r="CX338" s="2"/>
      <c r="CY338" s="2"/>
      <c r="CZ338" s="2"/>
      <c r="DA338" s="2"/>
      <c r="DB338" s="2"/>
      <c r="DC338" s="2"/>
      <c r="DD338" s="2"/>
      <c r="DE338" s="2"/>
      <c r="DF338" s="2"/>
      <c r="DG338" s="2"/>
      <c r="DH338" s="2"/>
      <c r="DI338" s="2"/>
      <c r="DJ338" s="2"/>
      <c r="DK338" s="2"/>
      <c r="DL338" s="2"/>
      <c r="DM338" s="2"/>
      <c r="DN338" s="2"/>
      <c r="DO338" s="2"/>
      <c r="DP338" s="2"/>
      <c r="DQ338" s="2"/>
      <c r="DR338" s="2"/>
      <c r="DS338" s="2"/>
      <c r="DT338" s="2"/>
      <c r="DU338" s="2"/>
      <c r="DV338" s="2"/>
      <c r="DW338" s="2"/>
      <c r="DX338" s="2"/>
      <c r="DY338" s="2"/>
      <c r="DZ338" s="2"/>
      <c r="EA338" s="2"/>
      <c r="EB338" s="2"/>
      <c r="EC338" s="2"/>
      <c r="ED338" s="2"/>
      <c r="EE338" s="2"/>
      <c r="EF338" s="2"/>
      <c r="EG338" s="2"/>
      <c r="EH338" s="2"/>
      <c r="EI338" s="2"/>
      <c r="EJ338" s="2"/>
      <c r="EK338" s="2"/>
      <c r="EL338" s="2"/>
      <c r="EM338" s="2"/>
      <c r="EN338" s="2"/>
      <c r="EO338" s="2"/>
      <c r="EP338" s="2"/>
      <c r="EQ338" s="2"/>
      <c r="ER338" s="2"/>
      <c r="ES338" s="2"/>
      <c r="ET338" s="2"/>
      <c r="EU338" s="2"/>
      <c r="EV338" s="2"/>
      <c r="EW338" s="2"/>
      <c r="EX338" s="2"/>
      <c r="EY338" s="2"/>
      <c r="EZ338" s="2"/>
      <c r="FA338" s="2"/>
      <c r="FB338" s="2"/>
      <c r="FC338" s="2"/>
      <c r="FD338" s="2"/>
      <c r="FE338" s="2"/>
      <c r="FF338" s="2"/>
      <c r="FG338" s="2"/>
      <c r="FH338" s="2"/>
      <c r="FI338" s="2"/>
      <c r="FJ338" s="2"/>
      <c r="FK338" s="2"/>
      <c r="FL338" s="2"/>
      <c r="FM338" s="2"/>
      <c r="FN338" s="2"/>
      <c r="FO338" s="2"/>
      <c r="FP338" s="2"/>
      <c r="FQ338" s="2"/>
      <c r="FR338" s="2"/>
      <c r="FS338" s="2"/>
      <c r="FT338" s="2"/>
      <c r="FU338" s="2"/>
      <c r="FV338" s="2"/>
      <c r="FW338" s="2"/>
      <c r="FX338" s="2"/>
      <c r="FY338" s="2"/>
      <c r="FZ338" s="2"/>
      <c r="GA338" s="2"/>
      <c r="GB338" s="2"/>
      <c r="GC338" s="2"/>
      <c r="GD338" s="2"/>
      <c r="GE338" s="2"/>
      <c r="GF338" s="2"/>
      <c r="GG338" s="2"/>
      <c r="GH338" s="2"/>
      <c r="GI338" s="2"/>
      <c r="GJ338" s="2"/>
      <c r="GK338" s="2"/>
      <c r="GL338" s="2"/>
      <c r="GM338" s="2"/>
      <c r="GN338" s="2"/>
      <c r="GO338" s="2"/>
      <c r="GP338" s="2"/>
      <c r="GQ338" s="2"/>
      <c r="GR338" s="2"/>
      <c r="GS338" s="2"/>
      <c r="GT338" s="2"/>
      <c r="GU338" s="2"/>
      <c r="GV338" s="2"/>
      <c r="GW338" s="2"/>
      <c r="GX338" s="2"/>
      <c r="GY338" s="2"/>
      <c r="GZ338" s="2"/>
      <c r="HA338" s="2"/>
      <c r="HB338" s="2"/>
      <c r="HC338" s="2"/>
      <c r="HD338" s="2"/>
      <c r="HE338" s="2"/>
      <c r="HF338" s="2"/>
      <c r="HG338" s="2"/>
      <c r="HH338" s="2"/>
      <c r="HI338" s="2"/>
      <c r="HJ338" s="2"/>
      <c r="HK338" s="2"/>
      <c r="HL338" s="2"/>
      <c r="HM338" s="2"/>
      <c r="HN338" s="2"/>
      <c r="HO338" s="2"/>
      <c r="HP338" s="2"/>
      <c r="HQ338" s="2"/>
      <c r="HR338" s="2"/>
      <c r="HS338" s="2"/>
      <c r="HT338" s="2"/>
      <c r="HU338" s="2"/>
      <c r="HV338" s="2"/>
      <c r="HW338" s="2"/>
      <c r="HX338" s="2"/>
      <c r="HY338" s="2"/>
      <c r="HZ338" s="2"/>
      <c r="IA338" s="2"/>
      <c r="IB338" s="2"/>
      <c r="IC338" s="2"/>
    </row>
    <row r="339" spans="1:237" x14ac:dyDescent="0.2">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c r="AD339" s="2"/>
      <c r="AE339" s="2"/>
      <c r="AF339" s="2"/>
      <c r="AG339" s="2"/>
      <c r="AH339" s="2"/>
      <c r="AI339" s="2"/>
      <c r="AJ339" s="2"/>
      <c r="AK339" s="2"/>
      <c r="AL339" s="2"/>
      <c r="AM339" s="2"/>
      <c r="AN339" s="2"/>
      <c r="AO339" s="2"/>
      <c r="AP339" s="2"/>
      <c r="AQ339" s="2"/>
      <c r="AR339" s="2"/>
      <c r="AS339" s="2"/>
      <c r="AT339" s="2"/>
      <c r="AU339" s="2"/>
      <c r="AV339" s="2"/>
      <c r="AW339" s="2"/>
      <c r="AX339" s="2"/>
      <c r="AY339" s="2"/>
      <c r="AZ339" s="2"/>
      <c r="BA339" s="2"/>
      <c r="BB339" s="2"/>
      <c r="BC339" s="2"/>
      <c r="BD339" s="2"/>
      <c r="BE339" s="2"/>
      <c r="BF339" s="2"/>
      <c r="BG339" s="2"/>
      <c r="BH339" s="2"/>
      <c r="BI339" s="2"/>
      <c r="BJ339" s="2"/>
      <c r="BK339" s="2"/>
      <c r="BL339" s="2"/>
      <c r="BM339" s="2"/>
      <c r="BN339" s="2"/>
      <c r="BO339" s="2"/>
      <c r="BP339" s="2"/>
      <c r="BQ339" s="2"/>
      <c r="BR339" s="2"/>
      <c r="BS339" s="2"/>
      <c r="BT339" s="2"/>
      <c r="BU339" s="2"/>
      <c r="BV339" s="2"/>
      <c r="BW339" s="2"/>
      <c r="BX339" s="2"/>
      <c r="BY339" s="2"/>
      <c r="BZ339" s="2"/>
      <c r="CA339" s="2"/>
      <c r="CB339" s="2"/>
      <c r="CC339" s="2"/>
      <c r="CD339" s="2"/>
      <c r="CE339" s="2"/>
      <c r="CF339" s="2"/>
      <c r="CG339" s="2"/>
      <c r="CH339" s="2"/>
      <c r="CI339" s="2"/>
      <c r="CJ339" s="2"/>
      <c r="CK339" s="2"/>
      <c r="CL339" s="2"/>
      <c r="CM339" s="2"/>
      <c r="CN339" s="2"/>
      <c r="CO339" s="2"/>
      <c r="CP339" s="2"/>
      <c r="CQ339" s="2"/>
      <c r="CR339" s="2"/>
      <c r="CS339" s="2"/>
      <c r="CT339" s="2"/>
      <c r="CU339" s="2"/>
      <c r="CV339" s="2"/>
      <c r="CW339" s="2"/>
      <c r="CX339" s="2"/>
      <c r="CY339" s="2"/>
      <c r="CZ339" s="2"/>
      <c r="DA339" s="2"/>
      <c r="DB339" s="2"/>
      <c r="DC339" s="2"/>
      <c r="DD339" s="2"/>
      <c r="DE339" s="2"/>
      <c r="DF339" s="2"/>
      <c r="DG339" s="2"/>
      <c r="DH339" s="2"/>
      <c r="DI339" s="2"/>
      <c r="DJ339" s="2"/>
      <c r="DK339" s="2"/>
      <c r="DL339" s="2"/>
      <c r="DM339" s="2"/>
      <c r="DN339" s="2"/>
      <c r="DO339" s="2"/>
      <c r="DP339" s="2"/>
      <c r="DQ339" s="2"/>
      <c r="DR339" s="2"/>
      <c r="DS339" s="2"/>
      <c r="DT339" s="2"/>
      <c r="DU339" s="2"/>
      <c r="DV339" s="2"/>
      <c r="DW339" s="2"/>
      <c r="DX339" s="2"/>
      <c r="DY339" s="2"/>
      <c r="DZ339" s="2"/>
      <c r="EA339" s="2"/>
      <c r="EB339" s="2"/>
      <c r="EC339" s="2"/>
      <c r="ED339" s="2"/>
      <c r="EE339" s="2"/>
      <c r="EF339" s="2"/>
      <c r="EG339" s="2"/>
      <c r="EH339" s="2"/>
      <c r="EI339" s="2"/>
      <c r="EJ339" s="2"/>
      <c r="EK339" s="2"/>
      <c r="EL339" s="2"/>
      <c r="EM339" s="2"/>
      <c r="EN339" s="2"/>
      <c r="EO339" s="2"/>
      <c r="EP339" s="2"/>
      <c r="EQ339" s="2"/>
      <c r="ER339" s="2"/>
      <c r="ES339" s="2"/>
      <c r="ET339" s="2"/>
      <c r="EU339" s="2"/>
      <c r="EV339" s="2"/>
      <c r="EW339" s="2"/>
      <c r="EX339" s="2"/>
      <c r="EY339" s="2"/>
      <c r="EZ339" s="2"/>
      <c r="FA339" s="2"/>
      <c r="FB339" s="2"/>
      <c r="FC339" s="2"/>
      <c r="FD339" s="2"/>
      <c r="FE339" s="2"/>
      <c r="FF339" s="2"/>
      <c r="FG339" s="2"/>
      <c r="FH339" s="2"/>
      <c r="FI339" s="2"/>
      <c r="FJ339" s="2"/>
      <c r="FK339" s="2"/>
      <c r="FL339" s="2"/>
      <c r="FM339" s="2"/>
      <c r="FN339" s="2"/>
      <c r="FO339" s="2"/>
      <c r="FP339" s="2"/>
      <c r="FQ339" s="2"/>
      <c r="FR339" s="2"/>
      <c r="FS339" s="2"/>
      <c r="FT339" s="2"/>
      <c r="FU339" s="2"/>
      <c r="FV339" s="2"/>
      <c r="FW339" s="2"/>
      <c r="FX339" s="2"/>
      <c r="FY339" s="2"/>
      <c r="FZ339" s="2"/>
      <c r="GA339" s="2"/>
      <c r="GB339" s="2"/>
      <c r="GC339" s="2"/>
      <c r="GD339" s="2"/>
      <c r="GE339" s="2"/>
      <c r="GF339" s="2"/>
      <c r="GG339" s="2"/>
      <c r="GH339" s="2"/>
      <c r="GI339" s="2"/>
      <c r="GJ339" s="2"/>
      <c r="GK339" s="2"/>
      <c r="GL339" s="2"/>
      <c r="GM339" s="2"/>
      <c r="GN339" s="2"/>
      <c r="GO339" s="2"/>
      <c r="GP339" s="2"/>
      <c r="GQ339" s="2"/>
      <c r="GR339" s="2"/>
      <c r="GS339" s="2"/>
      <c r="GT339" s="2"/>
      <c r="GU339" s="2"/>
      <c r="GV339" s="2"/>
      <c r="GW339" s="2"/>
      <c r="GX339" s="2"/>
      <c r="GY339" s="2"/>
      <c r="GZ339" s="2"/>
      <c r="HA339" s="2"/>
      <c r="HB339" s="2"/>
      <c r="HC339" s="2"/>
      <c r="HD339" s="2"/>
      <c r="HE339" s="2"/>
      <c r="HF339" s="2"/>
      <c r="HG339" s="2"/>
      <c r="HH339" s="2"/>
      <c r="HI339" s="2"/>
      <c r="HJ339" s="2"/>
      <c r="HK339" s="2"/>
      <c r="HL339" s="2"/>
      <c r="HM339" s="2"/>
      <c r="HN339" s="2"/>
      <c r="HO339" s="2"/>
      <c r="HP339" s="2"/>
      <c r="HQ339" s="2"/>
      <c r="HR339" s="2"/>
      <c r="HS339" s="2"/>
      <c r="HT339" s="2"/>
      <c r="HU339" s="2"/>
      <c r="HV339" s="2"/>
      <c r="HW339" s="2"/>
      <c r="HX339" s="2"/>
      <c r="HY339" s="2"/>
      <c r="HZ339" s="2"/>
      <c r="IA339" s="2"/>
      <c r="IB339" s="2"/>
      <c r="IC339" s="2"/>
    </row>
    <row r="340" spans="1:237" x14ac:dyDescent="0.2">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c r="AA340" s="2"/>
      <c r="AB340" s="2"/>
      <c r="AC340" s="2"/>
      <c r="AD340" s="2"/>
      <c r="AE340" s="2"/>
      <c r="AF340" s="2"/>
      <c r="AG340" s="2"/>
      <c r="AH340" s="2"/>
      <c r="AI340" s="2"/>
      <c r="AJ340" s="2"/>
      <c r="AK340" s="2"/>
      <c r="AL340" s="2"/>
      <c r="AM340" s="2"/>
      <c r="AN340" s="2"/>
      <c r="AO340" s="2"/>
      <c r="AP340" s="2"/>
      <c r="AQ340" s="2"/>
      <c r="AR340" s="2"/>
      <c r="AS340" s="2"/>
      <c r="AT340" s="2"/>
      <c r="AU340" s="2"/>
      <c r="AV340" s="2"/>
      <c r="AW340" s="2"/>
      <c r="AX340" s="2"/>
      <c r="AY340" s="2"/>
      <c r="AZ340" s="2"/>
      <c r="BA340" s="2"/>
      <c r="BB340" s="2"/>
      <c r="BC340" s="2"/>
      <c r="BD340" s="2"/>
      <c r="BE340" s="2"/>
      <c r="BF340" s="2"/>
      <c r="BG340" s="2"/>
      <c r="BH340" s="2"/>
      <c r="BI340" s="2"/>
      <c r="BJ340" s="2"/>
      <c r="BK340" s="2"/>
      <c r="BL340" s="2"/>
      <c r="BM340" s="2"/>
      <c r="BN340" s="2"/>
      <c r="BO340" s="2"/>
      <c r="BP340" s="2"/>
      <c r="BQ340" s="2"/>
      <c r="BR340" s="2"/>
      <c r="BS340" s="2"/>
      <c r="BT340" s="2"/>
      <c r="BU340" s="2"/>
      <c r="BV340" s="2"/>
      <c r="BW340" s="2"/>
      <c r="BX340" s="2"/>
      <c r="BY340" s="2"/>
      <c r="BZ340" s="2"/>
      <c r="CA340" s="2"/>
      <c r="CB340" s="2"/>
      <c r="CC340" s="2"/>
      <c r="CD340" s="2"/>
      <c r="CE340" s="2"/>
      <c r="CF340" s="2"/>
      <c r="CG340" s="2"/>
      <c r="CH340" s="2"/>
      <c r="CI340" s="2"/>
      <c r="CJ340" s="2"/>
      <c r="CK340" s="2"/>
      <c r="CL340" s="2"/>
      <c r="CM340" s="2"/>
      <c r="CN340" s="2"/>
      <c r="CO340" s="2"/>
      <c r="CP340" s="2"/>
      <c r="CQ340" s="2"/>
      <c r="CR340" s="2"/>
      <c r="CS340" s="2"/>
      <c r="CT340" s="2"/>
      <c r="CU340" s="2"/>
      <c r="CV340" s="2"/>
      <c r="CW340" s="2"/>
      <c r="CX340" s="2"/>
      <c r="CY340" s="2"/>
      <c r="CZ340" s="2"/>
      <c r="DA340" s="2"/>
      <c r="DB340" s="2"/>
      <c r="DC340" s="2"/>
      <c r="DD340" s="2"/>
      <c r="DE340" s="2"/>
      <c r="DF340" s="2"/>
      <c r="DG340" s="2"/>
      <c r="DH340" s="2"/>
      <c r="DI340" s="2"/>
      <c r="DJ340" s="2"/>
      <c r="DK340" s="2"/>
      <c r="DL340" s="2"/>
      <c r="DM340" s="2"/>
      <c r="DN340" s="2"/>
      <c r="DO340" s="2"/>
      <c r="DP340" s="2"/>
      <c r="DQ340" s="2"/>
      <c r="DR340" s="2"/>
      <c r="DS340" s="2"/>
      <c r="DT340" s="2"/>
      <c r="DU340" s="2"/>
      <c r="DV340" s="2"/>
      <c r="DW340" s="2"/>
      <c r="DX340" s="2"/>
      <c r="DY340" s="2"/>
      <c r="DZ340" s="2"/>
      <c r="EA340" s="2"/>
      <c r="EB340" s="2"/>
      <c r="EC340" s="2"/>
      <c r="ED340" s="2"/>
      <c r="EE340" s="2"/>
      <c r="EF340" s="2"/>
      <c r="EG340" s="2"/>
      <c r="EH340" s="2"/>
      <c r="EI340" s="2"/>
      <c r="EJ340" s="2"/>
      <c r="EK340" s="2"/>
      <c r="EL340" s="2"/>
      <c r="EM340" s="2"/>
      <c r="EN340" s="2"/>
      <c r="EO340" s="2"/>
      <c r="EP340" s="2"/>
      <c r="EQ340" s="2"/>
      <c r="ER340" s="2"/>
      <c r="ES340" s="2"/>
      <c r="ET340" s="2"/>
      <c r="EU340" s="2"/>
      <c r="EV340" s="2"/>
      <c r="EW340" s="2"/>
      <c r="EX340" s="2"/>
      <c r="EY340" s="2"/>
      <c r="EZ340" s="2"/>
      <c r="FA340" s="2"/>
      <c r="FB340" s="2"/>
      <c r="FC340" s="2"/>
      <c r="FD340" s="2"/>
      <c r="FE340" s="2"/>
      <c r="FF340" s="2"/>
      <c r="FG340" s="2"/>
      <c r="FH340" s="2"/>
      <c r="FI340" s="2"/>
      <c r="FJ340" s="2"/>
      <c r="FK340" s="2"/>
      <c r="FL340" s="2"/>
      <c r="FM340" s="2"/>
      <c r="FN340" s="2"/>
      <c r="FO340" s="2"/>
      <c r="FP340" s="2"/>
      <c r="FQ340" s="2"/>
      <c r="FR340" s="2"/>
      <c r="FS340" s="2"/>
      <c r="FT340" s="2"/>
      <c r="FU340" s="2"/>
      <c r="FV340" s="2"/>
      <c r="FW340" s="2"/>
      <c r="FX340" s="2"/>
      <c r="FY340" s="2"/>
      <c r="FZ340" s="2"/>
      <c r="GA340" s="2"/>
      <c r="GB340" s="2"/>
      <c r="GC340" s="2"/>
      <c r="GD340" s="2"/>
      <c r="GE340" s="2"/>
      <c r="GF340" s="2"/>
      <c r="GG340" s="2"/>
      <c r="GH340" s="2"/>
      <c r="GI340" s="2"/>
      <c r="GJ340" s="2"/>
      <c r="GK340" s="2"/>
      <c r="GL340" s="2"/>
      <c r="GM340" s="2"/>
      <c r="GN340" s="2"/>
      <c r="GO340" s="2"/>
      <c r="GP340" s="2"/>
      <c r="GQ340" s="2"/>
      <c r="GR340" s="2"/>
      <c r="GS340" s="2"/>
      <c r="GT340" s="2"/>
      <c r="GU340" s="2"/>
      <c r="GV340" s="2"/>
      <c r="GW340" s="2"/>
      <c r="GX340" s="2"/>
      <c r="GY340" s="2"/>
      <c r="GZ340" s="2"/>
      <c r="HA340" s="2"/>
      <c r="HB340" s="2"/>
      <c r="HC340" s="2"/>
      <c r="HD340" s="2"/>
      <c r="HE340" s="2"/>
      <c r="HF340" s="2"/>
      <c r="HG340" s="2"/>
      <c r="HH340" s="2"/>
      <c r="HI340" s="2"/>
      <c r="HJ340" s="2"/>
      <c r="HK340" s="2"/>
      <c r="HL340" s="2"/>
      <c r="HM340" s="2"/>
      <c r="HN340" s="2"/>
      <c r="HO340" s="2"/>
      <c r="HP340" s="2"/>
      <c r="HQ340" s="2"/>
      <c r="HR340" s="2"/>
      <c r="HS340" s="2"/>
      <c r="HT340" s="2"/>
      <c r="HU340" s="2"/>
      <c r="HV340" s="2"/>
      <c r="HW340" s="2"/>
      <c r="HX340" s="2"/>
      <c r="HY340" s="2"/>
      <c r="HZ340" s="2"/>
      <c r="IA340" s="2"/>
      <c r="IB340" s="2"/>
      <c r="IC340" s="2"/>
    </row>
    <row r="341" spans="1:237" x14ac:dyDescent="0.2">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c r="AA341" s="2"/>
      <c r="AB341" s="2"/>
      <c r="AC341" s="2"/>
      <c r="AD341" s="2"/>
      <c r="AE341" s="2"/>
      <c r="AF341" s="2"/>
      <c r="AG341" s="2"/>
      <c r="AH341" s="2"/>
      <c r="AI341" s="2"/>
      <c r="AJ341" s="2"/>
      <c r="AK341" s="2"/>
      <c r="AL341" s="2"/>
      <c r="AM341" s="2"/>
      <c r="AN341" s="2"/>
      <c r="AO341" s="2"/>
      <c r="AP341" s="2"/>
      <c r="AQ341" s="2"/>
      <c r="AR341" s="2"/>
      <c r="AS341" s="2"/>
      <c r="AT341" s="2"/>
      <c r="AU341" s="2"/>
      <c r="AV341" s="2"/>
      <c r="AW341" s="2"/>
      <c r="AX341" s="2"/>
      <c r="AY341" s="2"/>
      <c r="AZ341" s="2"/>
      <c r="BA341" s="2"/>
      <c r="BB341" s="2"/>
      <c r="BC341" s="2"/>
      <c r="BD341" s="2"/>
      <c r="BE341" s="2"/>
      <c r="BF341" s="2"/>
      <c r="BG341" s="2"/>
      <c r="BH341" s="2"/>
      <c r="BI341" s="2"/>
      <c r="BJ341" s="2"/>
      <c r="BK341" s="2"/>
      <c r="BL341" s="2"/>
      <c r="BM341" s="2"/>
      <c r="BN341" s="2"/>
      <c r="BO341" s="2"/>
      <c r="BP341" s="2"/>
      <c r="BQ341" s="2"/>
      <c r="BR341" s="2"/>
      <c r="BS341" s="2"/>
      <c r="BT341" s="2"/>
      <c r="BU341" s="2"/>
      <c r="BV341" s="2"/>
      <c r="BW341" s="2"/>
      <c r="BX341" s="2"/>
      <c r="BY341" s="2"/>
      <c r="BZ341" s="2"/>
      <c r="CA341" s="2"/>
      <c r="CB341" s="2"/>
      <c r="CC341" s="2"/>
      <c r="CD341" s="2"/>
      <c r="CE341" s="2"/>
      <c r="CF341" s="2"/>
      <c r="CG341" s="2"/>
      <c r="CH341" s="2"/>
      <c r="CI341" s="2"/>
      <c r="CJ341" s="2"/>
      <c r="CK341" s="2"/>
      <c r="CL341" s="2"/>
      <c r="CM341" s="2"/>
      <c r="CN341" s="2"/>
      <c r="CO341" s="2"/>
      <c r="CP341" s="2"/>
      <c r="CQ341" s="2"/>
      <c r="CR341" s="2"/>
      <c r="CS341" s="2"/>
      <c r="CT341" s="2"/>
      <c r="CU341" s="2"/>
      <c r="CV341" s="2"/>
      <c r="CW341" s="2"/>
      <c r="CX341" s="2"/>
      <c r="CY341" s="2"/>
      <c r="CZ341" s="2"/>
      <c r="DA341" s="2"/>
      <c r="DB341" s="2"/>
      <c r="DC341" s="2"/>
      <c r="DD341" s="2"/>
      <c r="DE341" s="2"/>
      <c r="DF341" s="2"/>
      <c r="DG341" s="2"/>
      <c r="DH341" s="2"/>
      <c r="DI341" s="2"/>
      <c r="DJ341" s="2"/>
      <c r="DK341" s="2"/>
      <c r="DL341" s="2"/>
      <c r="DM341" s="2"/>
      <c r="DN341" s="2"/>
      <c r="DO341" s="2"/>
      <c r="DP341" s="2"/>
      <c r="DQ341" s="2"/>
      <c r="DR341" s="2"/>
      <c r="DS341" s="2"/>
      <c r="DT341" s="2"/>
      <c r="DU341" s="2"/>
      <c r="DV341" s="2"/>
      <c r="DW341" s="2"/>
      <c r="DX341" s="2"/>
      <c r="DY341" s="2"/>
      <c r="DZ341" s="2"/>
      <c r="EA341" s="2"/>
      <c r="EB341" s="2"/>
      <c r="EC341" s="2"/>
      <c r="ED341" s="2"/>
      <c r="EE341" s="2"/>
      <c r="EF341" s="2"/>
      <c r="EG341" s="2"/>
      <c r="EH341" s="2"/>
      <c r="EI341" s="2"/>
      <c r="EJ341" s="2"/>
      <c r="EK341" s="2"/>
      <c r="EL341" s="2"/>
      <c r="EM341" s="2"/>
      <c r="EN341" s="2"/>
      <c r="EO341" s="2"/>
      <c r="EP341" s="2"/>
      <c r="EQ341" s="2"/>
      <c r="ER341" s="2"/>
      <c r="ES341" s="2"/>
      <c r="ET341" s="2"/>
      <c r="EU341" s="2"/>
      <c r="EV341" s="2"/>
      <c r="EW341" s="2"/>
      <c r="EX341" s="2"/>
      <c r="EY341" s="2"/>
      <c r="EZ341" s="2"/>
      <c r="FA341" s="2"/>
      <c r="FB341" s="2"/>
      <c r="FC341" s="2"/>
      <c r="FD341" s="2"/>
      <c r="FE341" s="2"/>
      <c r="FF341" s="2"/>
      <c r="FG341" s="2"/>
      <c r="FH341" s="2"/>
      <c r="FI341" s="2"/>
      <c r="FJ341" s="2"/>
      <c r="FK341" s="2"/>
      <c r="FL341" s="2"/>
      <c r="FM341" s="2"/>
      <c r="FN341" s="2"/>
      <c r="FO341" s="2"/>
      <c r="FP341" s="2"/>
      <c r="FQ341" s="2"/>
      <c r="FR341" s="2"/>
      <c r="FS341" s="2"/>
      <c r="FT341" s="2"/>
      <c r="FU341" s="2"/>
      <c r="FV341" s="2"/>
      <c r="FW341" s="2"/>
      <c r="FX341" s="2"/>
      <c r="FY341" s="2"/>
      <c r="FZ341" s="2"/>
      <c r="GA341" s="2"/>
      <c r="GB341" s="2"/>
      <c r="GC341" s="2"/>
      <c r="GD341" s="2"/>
      <c r="GE341" s="2"/>
      <c r="GF341" s="2"/>
      <c r="GG341" s="2"/>
      <c r="GH341" s="2"/>
      <c r="GI341" s="2"/>
      <c r="GJ341" s="2"/>
      <c r="GK341" s="2"/>
      <c r="GL341" s="2"/>
      <c r="GM341" s="2"/>
      <c r="GN341" s="2"/>
      <c r="GO341" s="2"/>
      <c r="GP341" s="2"/>
      <c r="GQ341" s="2"/>
      <c r="GR341" s="2"/>
      <c r="GS341" s="2"/>
      <c r="GT341" s="2"/>
      <c r="GU341" s="2"/>
      <c r="GV341" s="2"/>
      <c r="GW341" s="2"/>
      <c r="GX341" s="2"/>
      <c r="GY341" s="2"/>
      <c r="GZ341" s="2"/>
      <c r="HA341" s="2"/>
      <c r="HB341" s="2"/>
      <c r="HC341" s="2"/>
      <c r="HD341" s="2"/>
      <c r="HE341" s="2"/>
      <c r="HF341" s="2"/>
      <c r="HG341" s="2"/>
      <c r="HH341" s="2"/>
      <c r="HI341" s="2"/>
      <c r="HJ341" s="2"/>
      <c r="HK341" s="2"/>
      <c r="HL341" s="2"/>
      <c r="HM341" s="2"/>
      <c r="HN341" s="2"/>
      <c r="HO341" s="2"/>
      <c r="HP341" s="2"/>
      <c r="HQ341" s="2"/>
      <c r="HR341" s="2"/>
      <c r="HS341" s="2"/>
      <c r="HT341" s="2"/>
      <c r="HU341" s="2"/>
      <c r="HV341" s="2"/>
      <c r="HW341" s="2"/>
      <c r="HX341" s="2"/>
      <c r="HY341" s="2"/>
      <c r="HZ341" s="2"/>
      <c r="IA341" s="2"/>
      <c r="IB341" s="2"/>
      <c r="IC341" s="2"/>
    </row>
    <row r="342" spans="1:237" x14ac:dyDescent="0.2">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c r="AA342" s="2"/>
      <c r="AB342" s="2"/>
      <c r="AC342" s="2"/>
      <c r="AD342" s="2"/>
      <c r="AE342" s="2"/>
      <c r="AF342" s="2"/>
      <c r="AG342" s="2"/>
      <c r="AH342" s="2"/>
      <c r="AI342" s="2"/>
      <c r="AJ342" s="2"/>
      <c r="AK342" s="2"/>
      <c r="AL342" s="2"/>
      <c r="AM342" s="2"/>
      <c r="AN342" s="2"/>
      <c r="AO342" s="2"/>
      <c r="AP342" s="2"/>
      <c r="AQ342" s="2"/>
      <c r="AR342" s="2"/>
      <c r="AS342" s="2"/>
      <c r="AT342" s="2"/>
      <c r="AU342" s="2"/>
      <c r="AV342" s="2"/>
      <c r="AW342" s="2"/>
      <c r="AX342" s="2"/>
      <c r="AY342" s="2"/>
      <c r="AZ342" s="2"/>
      <c r="BA342" s="2"/>
      <c r="BB342" s="2"/>
      <c r="BC342" s="2"/>
      <c r="BD342" s="2"/>
      <c r="BE342" s="2"/>
      <c r="BF342" s="2"/>
      <c r="BG342" s="2"/>
      <c r="BH342" s="2"/>
      <c r="BI342" s="2"/>
      <c r="BJ342" s="2"/>
      <c r="BK342" s="2"/>
      <c r="BL342" s="2"/>
      <c r="BM342" s="2"/>
      <c r="BN342" s="2"/>
      <c r="BO342" s="2"/>
      <c r="BP342" s="2"/>
      <c r="BQ342" s="2"/>
      <c r="BR342" s="2"/>
      <c r="BS342" s="2"/>
      <c r="BT342" s="2"/>
      <c r="BU342" s="2"/>
      <c r="BV342" s="2"/>
      <c r="BW342" s="2"/>
      <c r="BX342" s="2"/>
      <c r="BY342" s="2"/>
      <c r="BZ342" s="2"/>
      <c r="CA342" s="2"/>
      <c r="CB342" s="2"/>
      <c r="CC342" s="2"/>
      <c r="CD342" s="2"/>
      <c r="CE342" s="2"/>
      <c r="CF342" s="2"/>
      <c r="CG342" s="2"/>
      <c r="CH342" s="2"/>
      <c r="CI342" s="2"/>
      <c r="CJ342" s="2"/>
      <c r="CK342" s="2"/>
      <c r="CL342" s="2"/>
      <c r="CM342" s="2"/>
      <c r="CN342" s="2"/>
      <c r="CO342" s="2"/>
      <c r="CP342" s="2"/>
      <c r="CQ342" s="2"/>
      <c r="CR342" s="2"/>
      <c r="CS342" s="2"/>
      <c r="CT342" s="2"/>
      <c r="CU342" s="2"/>
      <c r="CV342" s="2"/>
      <c r="CW342" s="2"/>
      <c r="CX342" s="2"/>
      <c r="CY342" s="2"/>
      <c r="CZ342" s="2"/>
      <c r="DA342" s="2"/>
      <c r="DB342" s="2"/>
      <c r="DC342" s="2"/>
      <c r="DD342" s="2"/>
      <c r="DE342" s="2"/>
      <c r="DF342" s="2"/>
      <c r="DG342" s="2"/>
      <c r="DH342" s="2"/>
      <c r="DI342" s="2"/>
      <c r="DJ342" s="2"/>
      <c r="DK342" s="2"/>
      <c r="DL342" s="2"/>
      <c r="DM342" s="2"/>
      <c r="DN342" s="2"/>
      <c r="DO342" s="2"/>
      <c r="DP342" s="2"/>
      <c r="DQ342" s="2"/>
      <c r="DR342" s="2"/>
      <c r="DS342" s="2"/>
      <c r="DT342" s="2"/>
      <c r="DU342" s="2"/>
      <c r="DV342" s="2"/>
      <c r="DW342" s="2"/>
      <c r="DX342" s="2"/>
      <c r="DY342" s="2"/>
      <c r="DZ342" s="2"/>
      <c r="EA342" s="2"/>
      <c r="EB342" s="2"/>
      <c r="EC342" s="2"/>
      <c r="ED342" s="2"/>
      <c r="EE342" s="2"/>
      <c r="EF342" s="2"/>
      <c r="EG342" s="2"/>
      <c r="EH342" s="2"/>
      <c r="EI342" s="2"/>
      <c r="EJ342" s="2"/>
      <c r="EK342" s="2"/>
      <c r="EL342" s="2"/>
      <c r="EM342" s="2"/>
      <c r="EN342" s="2"/>
      <c r="EO342" s="2"/>
      <c r="EP342" s="2"/>
      <c r="EQ342" s="2"/>
      <c r="ER342" s="2"/>
      <c r="ES342" s="2"/>
      <c r="ET342" s="2"/>
      <c r="EU342" s="2"/>
      <c r="EV342" s="2"/>
      <c r="EW342" s="2"/>
      <c r="EX342" s="2"/>
      <c r="EY342" s="2"/>
      <c r="EZ342" s="2"/>
      <c r="FA342" s="2"/>
      <c r="FB342" s="2"/>
      <c r="FC342" s="2"/>
      <c r="FD342" s="2"/>
      <c r="FE342" s="2"/>
      <c r="FF342" s="2"/>
      <c r="FG342" s="2"/>
      <c r="FH342" s="2"/>
      <c r="FI342" s="2"/>
      <c r="FJ342" s="2"/>
      <c r="FK342" s="2"/>
      <c r="FL342" s="2"/>
      <c r="FM342" s="2"/>
      <c r="FN342" s="2"/>
      <c r="FO342" s="2"/>
      <c r="FP342" s="2"/>
      <c r="FQ342" s="2"/>
      <c r="FR342" s="2"/>
      <c r="FS342" s="2"/>
      <c r="FT342" s="2"/>
      <c r="FU342" s="2"/>
      <c r="FV342" s="2"/>
      <c r="FW342" s="2"/>
      <c r="FX342" s="2"/>
      <c r="FY342" s="2"/>
      <c r="FZ342" s="2"/>
      <c r="GA342" s="2"/>
      <c r="GB342" s="2"/>
      <c r="GC342" s="2"/>
      <c r="GD342" s="2"/>
      <c r="GE342" s="2"/>
      <c r="GF342" s="2"/>
      <c r="GG342" s="2"/>
      <c r="GH342" s="2"/>
      <c r="GI342" s="2"/>
      <c r="GJ342" s="2"/>
      <c r="GK342" s="2"/>
      <c r="GL342" s="2"/>
      <c r="GM342" s="2"/>
      <c r="GN342" s="2"/>
      <c r="GO342" s="2"/>
      <c r="GP342" s="2"/>
      <c r="GQ342" s="2"/>
      <c r="GR342" s="2"/>
      <c r="GS342" s="2"/>
      <c r="GT342" s="2"/>
      <c r="GU342" s="2"/>
      <c r="GV342" s="2"/>
      <c r="GW342" s="2"/>
      <c r="GX342" s="2"/>
      <c r="GY342" s="2"/>
      <c r="GZ342" s="2"/>
      <c r="HA342" s="2"/>
      <c r="HB342" s="2"/>
      <c r="HC342" s="2"/>
      <c r="HD342" s="2"/>
      <c r="HE342" s="2"/>
      <c r="HF342" s="2"/>
      <c r="HG342" s="2"/>
      <c r="HH342" s="2"/>
      <c r="HI342" s="2"/>
      <c r="HJ342" s="2"/>
      <c r="HK342" s="2"/>
      <c r="HL342" s="2"/>
      <c r="HM342" s="2"/>
      <c r="HN342" s="2"/>
      <c r="HO342" s="2"/>
      <c r="HP342" s="2"/>
      <c r="HQ342" s="2"/>
      <c r="HR342" s="2"/>
      <c r="HS342" s="2"/>
      <c r="HT342" s="2"/>
      <c r="HU342" s="2"/>
      <c r="HV342" s="2"/>
      <c r="HW342" s="2"/>
      <c r="HX342" s="2"/>
      <c r="HY342" s="2"/>
      <c r="HZ342" s="2"/>
      <c r="IA342" s="2"/>
      <c r="IB342" s="2"/>
      <c r="IC342" s="2"/>
    </row>
    <row r="343" spans="1:237" x14ac:dyDescent="0.2">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c r="AA343" s="2"/>
      <c r="AB343" s="2"/>
      <c r="AC343" s="2"/>
      <c r="AD343" s="2"/>
      <c r="AE343" s="2"/>
      <c r="AF343" s="2"/>
      <c r="AG343" s="2"/>
      <c r="AH343" s="2"/>
      <c r="AI343" s="2"/>
      <c r="AJ343" s="2"/>
      <c r="AK343" s="2"/>
      <c r="AL343" s="2"/>
      <c r="AM343" s="2"/>
      <c r="AN343" s="2"/>
      <c r="AO343" s="2"/>
      <c r="AP343" s="2"/>
      <c r="AQ343" s="2"/>
      <c r="AR343" s="2"/>
      <c r="AS343" s="2"/>
      <c r="AT343" s="2"/>
      <c r="AU343" s="2"/>
      <c r="AV343" s="2"/>
      <c r="AW343" s="2"/>
      <c r="AX343" s="2"/>
      <c r="AY343" s="2"/>
      <c r="AZ343" s="2"/>
      <c r="BA343" s="2"/>
      <c r="BB343" s="2"/>
      <c r="BC343" s="2"/>
      <c r="BD343" s="2"/>
      <c r="BE343" s="2"/>
      <c r="BF343" s="2"/>
      <c r="BG343" s="2"/>
      <c r="BH343" s="2"/>
      <c r="BI343" s="2"/>
      <c r="BJ343" s="2"/>
      <c r="BK343" s="2"/>
      <c r="BL343" s="2"/>
      <c r="BM343" s="2"/>
      <c r="BN343" s="2"/>
      <c r="BO343" s="2"/>
      <c r="BP343" s="2"/>
      <c r="BQ343" s="2"/>
      <c r="BR343" s="2"/>
      <c r="BS343" s="2"/>
      <c r="BT343" s="2"/>
      <c r="BU343" s="2"/>
      <c r="BV343" s="2"/>
      <c r="BW343" s="2"/>
      <c r="BX343" s="2"/>
      <c r="BY343" s="2"/>
      <c r="BZ343" s="2"/>
      <c r="CA343" s="2"/>
      <c r="CB343" s="2"/>
      <c r="CC343" s="2"/>
      <c r="CD343" s="2"/>
      <c r="CE343" s="2"/>
      <c r="CF343" s="2"/>
      <c r="CG343" s="2"/>
      <c r="CH343" s="2"/>
      <c r="CI343" s="2"/>
      <c r="CJ343" s="2"/>
      <c r="CK343" s="2"/>
      <c r="CL343" s="2"/>
      <c r="CM343" s="2"/>
      <c r="CN343" s="2"/>
      <c r="CO343" s="2"/>
      <c r="CP343" s="2"/>
      <c r="CQ343" s="2"/>
      <c r="CR343" s="2"/>
      <c r="CS343" s="2"/>
      <c r="CT343" s="2"/>
      <c r="CU343" s="2"/>
      <c r="CV343" s="2"/>
      <c r="CW343" s="2"/>
      <c r="CX343" s="2"/>
      <c r="CY343" s="2"/>
      <c r="CZ343" s="2"/>
      <c r="DA343" s="2"/>
      <c r="DB343" s="2"/>
      <c r="DC343" s="2"/>
      <c r="DD343" s="2"/>
      <c r="DE343" s="2"/>
      <c r="DF343" s="2"/>
      <c r="DG343" s="2"/>
      <c r="DH343" s="2"/>
      <c r="DI343" s="2"/>
      <c r="DJ343" s="2"/>
      <c r="DK343" s="2"/>
      <c r="DL343" s="2"/>
      <c r="DM343" s="2"/>
      <c r="DN343" s="2"/>
      <c r="DO343" s="2"/>
      <c r="DP343" s="2"/>
      <c r="DQ343" s="2"/>
      <c r="DR343" s="2"/>
      <c r="DS343" s="2"/>
      <c r="DT343" s="2"/>
      <c r="DU343" s="2"/>
      <c r="DV343" s="2"/>
      <c r="DW343" s="2"/>
      <c r="DX343" s="2"/>
      <c r="DY343" s="2"/>
      <c r="DZ343" s="2"/>
      <c r="EA343" s="2"/>
      <c r="EB343" s="2"/>
      <c r="EC343" s="2"/>
      <c r="ED343" s="2"/>
      <c r="EE343" s="2"/>
      <c r="EF343" s="2"/>
      <c r="EG343" s="2"/>
      <c r="EH343" s="2"/>
      <c r="EI343" s="2"/>
      <c r="EJ343" s="2"/>
      <c r="EK343" s="2"/>
      <c r="EL343" s="2"/>
      <c r="EM343" s="2"/>
      <c r="EN343" s="2"/>
      <c r="EO343" s="2"/>
      <c r="EP343" s="2"/>
      <c r="EQ343" s="2"/>
      <c r="ER343" s="2"/>
      <c r="ES343" s="2"/>
      <c r="ET343" s="2"/>
      <c r="EU343" s="2"/>
      <c r="EV343" s="2"/>
      <c r="EW343" s="2"/>
      <c r="EX343" s="2"/>
      <c r="EY343" s="2"/>
      <c r="EZ343" s="2"/>
      <c r="FA343" s="2"/>
      <c r="FB343" s="2"/>
      <c r="FC343" s="2"/>
      <c r="FD343" s="2"/>
      <c r="FE343" s="2"/>
      <c r="FF343" s="2"/>
      <c r="FG343" s="2"/>
      <c r="FH343" s="2"/>
      <c r="FI343" s="2"/>
      <c r="FJ343" s="2"/>
      <c r="FK343" s="2"/>
      <c r="FL343" s="2"/>
      <c r="FM343" s="2"/>
      <c r="FN343" s="2"/>
      <c r="FO343" s="2"/>
      <c r="FP343" s="2"/>
      <c r="FQ343" s="2"/>
      <c r="FR343" s="2"/>
      <c r="FS343" s="2"/>
      <c r="FT343" s="2"/>
      <c r="FU343" s="2"/>
      <c r="FV343" s="2"/>
      <c r="FW343" s="2"/>
      <c r="FX343" s="2"/>
      <c r="FY343" s="2"/>
      <c r="FZ343" s="2"/>
      <c r="GA343" s="2"/>
      <c r="GB343" s="2"/>
      <c r="GC343" s="2"/>
      <c r="GD343" s="2"/>
      <c r="GE343" s="2"/>
      <c r="GF343" s="2"/>
      <c r="GG343" s="2"/>
      <c r="GH343" s="2"/>
      <c r="GI343" s="2"/>
      <c r="GJ343" s="2"/>
      <c r="GK343" s="2"/>
      <c r="GL343" s="2"/>
      <c r="GM343" s="2"/>
      <c r="GN343" s="2"/>
      <c r="GO343" s="2"/>
      <c r="GP343" s="2"/>
      <c r="GQ343" s="2"/>
      <c r="GR343" s="2"/>
      <c r="GS343" s="2"/>
      <c r="GT343" s="2"/>
      <c r="GU343" s="2"/>
      <c r="GV343" s="2"/>
      <c r="GW343" s="2"/>
      <c r="GX343" s="2"/>
      <c r="GY343" s="2"/>
      <c r="GZ343" s="2"/>
      <c r="HA343" s="2"/>
      <c r="HB343" s="2"/>
      <c r="HC343" s="2"/>
      <c r="HD343" s="2"/>
      <c r="HE343" s="2"/>
      <c r="HF343" s="2"/>
      <c r="HG343" s="2"/>
      <c r="HH343" s="2"/>
      <c r="HI343" s="2"/>
      <c r="HJ343" s="2"/>
      <c r="HK343" s="2"/>
      <c r="HL343" s="2"/>
      <c r="HM343" s="2"/>
      <c r="HN343" s="2"/>
      <c r="HO343" s="2"/>
      <c r="HP343" s="2"/>
      <c r="HQ343" s="2"/>
      <c r="HR343" s="2"/>
      <c r="HS343" s="2"/>
      <c r="HT343" s="2"/>
      <c r="HU343" s="2"/>
      <c r="HV343" s="2"/>
      <c r="HW343" s="2"/>
      <c r="HX343" s="2"/>
      <c r="HY343" s="2"/>
      <c r="HZ343" s="2"/>
      <c r="IA343" s="2"/>
      <c r="IB343" s="2"/>
      <c r="IC343" s="2"/>
    </row>
    <row r="344" spans="1:237" x14ac:dyDescent="0.2">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c r="AA344" s="2"/>
      <c r="AB344" s="2"/>
      <c r="AC344" s="2"/>
      <c r="AD344" s="2"/>
      <c r="AE344" s="2"/>
      <c r="AF344" s="2"/>
      <c r="AG344" s="2"/>
      <c r="AH344" s="2"/>
      <c r="AI344" s="2"/>
      <c r="AJ344" s="2"/>
      <c r="AK344" s="2"/>
      <c r="AL344" s="2"/>
      <c r="AM344" s="2"/>
      <c r="AN344" s="2"/>
      <c r="AO344" s="2"/>
      <c r="AP344" s="2"/>
      <c r="AQ344" s="2"/>
      <c r="AR344" s="2"/>
      <c r="AS344" s="2"/>
      <c r="AT344" s="2"/>
      <c r="AU344" s="2"/>
      <c r="AV344" s="2"/>
      <c r="AW344" s="2"/>
      <c r="AX344" s="2"/>
      <c r="AY344" s="2"/>
      <c r="AZ344" s="2"/>
      <c r="BA344" s="2"/>
      <c r="BB344" s="2"/>
      <c r="BC344" s="2"/>
      <c r="BD344" s="2"/>
      <c r="BE344" s="2"/>
      <c r="BF344" s="2"/>
      <c r="BG344" s="2"/>
      <c r="BH344" s="2"/>
      <c r="BI344" s="2"/>
      <c r="BJ344" s="2"/>
      <c r="BK344" s="2"/>
      <c r="BL344" s="2"/>
      <c r="BM344" s="2"/>
      <c r="BN344" s="2"/>
      <c r="BO344" s="2"/>
      <c r="BP344" s="2"/>
      <c r="BQ344" s="2"/>
      <c r="BR344" s="2"/>
      <c r="BS344" s="2"/>
      <c r="BT344" s="2"/>
      <c r="BU344" s="2"/>
      <c r="BV344" s="2"/>
      <c r="BW344" s="2"/>
      <c r="BX344" s="2"/>
      <c r="BY344" s="2"/>
      <c r="BZ344" s="2"/>
      <c r="CA344" s="2"/>
      <c r="CB344" s="2"/>
      <c r="CC344" s="2"/>
      <c r="CD344" s="2"/>
      <c r="CE344" s="2"/>
      <c r="CF344" s="2"/>
      <c r="CG344" s="2"/>
      <c r="CH344" s="2"/>
      <c r="CI344" s="2"/>
      <c r="CJ344" s="2"/>
      <c r="CK344" s="2"/>
      <c r="CL344" s="2"/>
      <c r="CM344" s="2"/>
      <c r="CN344" s="2"/>
      <c r="CO344" s="2"/>
      <c r="CP344" s="2"/>
      <c r="CQ344" s="2"/>
      <c r="CR344" s="2"/>
      <c r="CS344" s="2"/>
      <c r="CT344" s="2"/>
      <c r="CU344" s="2"/>
      <c r="CV344" s="2"/>
      <c r="CW344" s="2"/>
      <c r="CX344" s="2"/>
      <c r="CY344" s="2"/>
      <c r="CZ344" s="2"/>
      <c r="DA344" s="2"/>
      <c r="DB344" s="2"/>
      <c r="DC344" s="2"/>
      <c r="DD344" s="2"/>
      <c r="DE344" s="2"/>
      <c r="DF344" s="2"/>
      <c r="DG344" s="2"/>
      <c r="DH344" s="2"/>
      <c r="DI344" s="2"/>
      <c r="DJ344" s="2"/>
      <c r="DK344" s="2"/>
      <c r="DL344" s="2"/>
      <c r="DM344" s="2"/>
      <c r="DN344" s="2"/>
      <c r="DO344" s="2"/>
      <c r="DP344" s="2"/>
      <c r="DQ344" s="2"/>
      <c r="DR344" s="2"/>
      <c r="DS344" s="2"/>
      <c r="DT344" s="2"/>
      <c r="DU344" s="2"/>
      <c r="DV344" s="2"/>
      <c r="DW344" s="2"/>
      <c r="DX344" s="2"/>
      <c r="DY344" s="2"/>
      <c r="DZ344" s="2"/>
      <c r="EA344" s="2"/>
      <c r="EB344" s="2"/>
      <c r="EC344" s="2"/>
      <c r="ED344" s="2"/>
      <c r="EE344" s="2"/>
      <c r="EF344" s="2"/>
      <c r="EG344" s="2"/>
      <c r="EH344" s="2"/>
      <c r="EI344" s="2"/>
      <c r="EJ344" s="2"/>
      <c r="EK344" s="2"/>
      <c r="EL344" s="2"/>
      <c r="EM344" s="2"/>
      <c r="EN344" s="2"/>
      <c r="EO344" s="2"/>
      <c r="EP344" s="2"/>
      <c r="EQ344" s="2"/>
      <c r="ER344" s="2"/>
      <c r="ES344" s="2"/>
      <c r="ET344" s="2"/>
      <c r="EU344" s="2"/>
      <c r="EV344" s="2"/>
      <c r="EW344" s="2"/>
      <c r="EX344" s="2"/>
      <c r="EY344" s="2"/>
      <c r="EZ344" s="2"/>
      <c r="FA344" s="2"/>
      <c r="FB344" s="2"/>
      <c r="FC344" s="2"/>
      <c r="FD344" s="2"/>
      <c r="FE344" s="2"/>
      <c r="FF344" s="2"/>
      <c r="FG344" s="2"/>
      <c r="FH344" s="2"/>
      <c r="FI344" s="2"/>
      <c r="FJ344" s="2"/>
      <c r="FK344" s="2"/>
      <c r="FL344" s="2"/>
      <c r="FM344" s="2"/>
      <c r="FN344" s="2"/>
      <c r="FO344" s="2"/>
      <c r="FP344" s="2"/>
      <c r="FQ344" s="2"/>
      <c r="FR344" s="2"/>
      <c r="FS344" s="2"/>
      <c r="FT344" s="2"/>
      <c r="FU344" s="2"/>
      <c r="FV344" s="2"/>
      <c r="FW344" s="2"/>
      <c r="FX344" s="2"/>
      <c r="FY344" s="2"/>
      <c r="FZ344" s="2"/>
      <c r="GA344" s="2"/>
      <c r="GB344" s="2"/>
      <c r="GC344" s="2"/>
      <c r="GD344" s="2"/>
      <c r="GE344" s="2"/>
      <c r="GF344" s="2"/>
      <c r="GG344" s="2"/>
      <c r="GH344" s="2"/>
      <c r="GI344" s="2"/>
      <c r="GJ344" s="2"/>
      <c r="GK344" s="2"/>
      <c r="GL344" s="2"/>
      <c r="GM344" s="2"/>
      <c r="GN344" s="2"/>
      <c r="GO344" s="2"/>
      <c r="GP344" s="2"/>
      <c r="GQ344" s="2"/>
      <c r="GR344" s="2"/>
      <c r="GS344" s="2"/>
      <c r="GT344" s="2"/>
      <c r="GU344" s="2"/>
      <c r="GV344" s="2"/>
      <c r="GW344" s="2"/>
      <c r="GX344" s="2"/>
      <c r="GY344" s="2"/>
      <c r="GZ344" s="2"/>
      <c r="HA344" s="2"/>
      <c r="HB344" s="2"/>
      <c r="HC344" s="2"/>
      <c r="HD344" s="2"/>
      <c r="HE344" s="2"/>
      <c r="HF344" s="2"/>
      <c r="HG344" s="2"/>
      <c r="HH344" s="2"/>
      <c r="HI344" s="2"/>
      <c r="HJ344" s="2"/>
      <c r="HK344" s="2"/>
      <c r="HL344" s="2"/>
      <c r="HM344" s="2"/>
      <c r="HN344" s="2"/>
      <c r="HO344" s="2"/>
      <c r="HP344" s="2"/>
      <c r="HQ344" s="2"/>
      <c r="HR344" s="2"/>
      <c r="HS344" s="2"/>
      <c r="HT344" s="2"/>
      <c r="HU344" s="2"/>
      <c r="HV344" s="2"/>
      <c r="HW344" s="2"/>
      <c r="HX344" s="2"/>
      <c r="HY344" s="2"/>
      <c r="HZ344" s="2"/>
      <c r="IA344" s="2"/>
      <c r="IB344" s="2"/>
      <c r="IC344" s="2"/>
    </row>
    <row r="345" spans="1:237" x14ac:dyDescent="0.2">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c r="AA345" s="2"/>
      <c r="AB345" s="2"/>
      <c r="AC345" s="2"/>
      <c r="AD345" s="2"/>
      <c r="AE345" s="2"/>
      <c r="AF345" s="2"/>
      <c r="AG345" s="2"/>
      <c r="AH345" s="2"/>
      <c r="AI345" s="2"/>
      <c r="AJ345" s="2"/>
      <c r="AK345" s="2"/>
      <c r="AL345" s="2"/>
      <c r="AM345" s="2"/>
      <c r="AN345" s="2"/>
      <c r="AO345" s="2"/>
      <c r="AP345" s="2"/>
      <c r="AQ345" s="2"/>
      <c r="AR345" s="2"/>
      <c r="AS345" s="2"/>
      <c r="AT345" s="2"/>
      <c r="AU345" s="2"/>
      <c r="AV345" s="2"/>
      <c r="AW345" s="2"/>
      <c r="AX345" s="2"/>
      <c r="AY345" s="2"/>
      <c r="AZ345" s="2"/>
      <c r="BA345" s="2"/>
      <c r="BB345" s="2"/>
      <c r="BC345" s="2"/>
      <c r="BD345" s="2"/>
      <c r="BE345" s="2"/>
      <c r="BF345" s="2"/>
      <c r="BG345" s="2"/>
      <c r="BH345" s="2"/>
      <c r="BI345" s="2"/>
      <c r="BJ345" s="2"/>
      <c r="BK345" s="2"/>
      <c r="BL345" s="2"/>
      <c r="BM345" s="2"/>
      <c r="BN345" s="2"/>
      <c r="BO345" s="2"/>
      <c r="BP345" s="2"/>
      <c r="BQ345" s="2"/>
      <c r="BR345" s="2"/>
      <c r="BS345" s="2"/>
      <c r="BT345" s="2"/>
      <c r="BU345" s="2"/>
      <c r="BV345" s="2"/>
      <c r="BW345" s="2"/>
      <c r="BX345" s="2"/>
      <c r="BY345" s="2"/>
      <c r="BZ345" s="2"/>
      <c r="CA345" s="2"/>
      <c r="CB345" s="2"/>
      <c r="CC345" s="2"/>
      <c r="CD345" s="2"/>
      <c r="CE345" s="2"/>
      <c r="CF345" s="2"/>
      <c r="CG345" s="2"/>
      <c r="CH345" s="2"/>
      <c r="CI345" s="2"/>
      <c r="CJ345" s="2"/>
      <c r="CK345" s="2"/>
      <c r="CL345" s="2"/>
      <c r="CM345" s="2"/>
      <c r="CN345" s="2"/>
      <c r="CO345" s="2"/>
      <c r="CP345" s="2"/>
      <c r="CQ345" s="2"/>
      <c r="CR345" s="2"/>
      <c r="CS345" s="2"/>
      <c r="CT345" s="2"/>
      <c r="CU345" s="2"/>
      <c r="CV345" s="2"/>
      <c r="CW345" s="2"/>
      <c r="CX345" s="2"/>
      <c r="CY345" s="2"/>
      <c r="CZ345" s="2"/>
      <c r="DA345" s="2"/>
      <c r="DB345" s="2"/>
      <c r="DC345" s="2"/>
      <c r="DD345" s="2"/>
      <c r="DE345" s="2"/>
      <c r="DF345" s="2"/>
      <c r="DG345" s="2"/>
      <c r="DH345" s="2"/>
      <c r="DI345" s="2"/>
      <c r="DJ345" s="2"/>
      <c r="DK345" s="2"/>
      <c r="DL345" s="2"/>
      <c r="DM345" s="2"/>
      <c r="DN345" s="2"/>
      <c r="DO345" s="2"/>
      <c r="DP345" s="2"/>
      <c r="DQ345" s="2"/>
      <c r="DR345" s="2"/>
      <c r="DS345" s="2"/>
      <c r="DT345" s="2"/>
      <c r="DU345" s="2"/>
      <c r="DV345" s="2"/>
      <c r="DW345" s="2"/>
      <c r="DX345" s="2"/>
      <c r="DY345" s="2"/>
      <c r="DZ345" s="2"/>
      <c r="EA345" s="2"/>
      <c r="EB345" s="2"/>
      <c r="EC345" s="2"/>
      <c r="ED345" s="2"/>
      <c r="EE345" s="2"/>
      <c r="EF345" s="2"/>
      <c r="EG345" s="2"/>
      <c r="EH345" s="2"/>
      <c r="EI345" s="2"/>
      <c r="EJ345" s="2"/>
      <c r="EK345" s="2"/>
      <c r="EL345" s="2"/>
      <c r="EM345" s="2"/>
      <c r="EN345" s="2"/>
      <c r="EO345" s="2"/>
      <c r="EP345" s="2"/>
      <c r="EQ345" s="2"/>
      <c r="ER345" s="2"/>
      <c r="ES345" s="2"/>
      <c r="ET345" s="2"/>
      <c r="EU345" s="2"/>
      <c r="EV345" s="2"/>
      <c r="EW345" s="2"/>
      <c r="EX345" s="2"/>
      <c r="EY345" s="2"/>
      <c r="EZ345" s="2"/>
      <c r="FA345" s="2"/>
      <c r="FB345" s="2"/>
      <c r="FC345" s="2"/>
      <c r="FD345" s="2"/>
      <c r="FE345" s="2"/>
      <c r="FF345" s="2"/>
      <c r="FG345" s="2"/>
      <c r="FH345" s="2"/>
      <c r="FI345" s="2"/>
      <c r="FJ345" s="2"/>
      <c r="FK345" s="2"/>
      <c r="FL345" s="2"/>
      <c r="FM345" s="2"/>
      <c r="FN345" s="2"/>
      <c r="FO345" s="2"/>
      <c r="FP345" s="2"/>
      <c r="FQ345" s="2"/>
      <c r="FR345" s="2"/>
      <c r="FS345" s="2"/>
      <c r="FT345" s="2"/>
      <c r="FU345" s="2"/>
      <c r="FV345" s="2"/>
      <c r="FW345" s="2"/>
      <c r="FX345" s="2"/>
      <c r="FY345" s="2"/>
      <c r="FZ345" s="2"/>
      <c r="GA345" s="2"/>
      <c r="GB345" s="2"/>
      <c r="GC345" s="2"/>
      <c r="GD345" s="2"/>
      <c r="GE345" s="2"/>
      <c r="GF345" s="2"/>
      <c r="GG345" s="2"/>
      <c r="GH345" s="2"/>
      <c r="GI345" s="2"/>
      <c r="GJ345" s="2"/>
      <c r="GK345" s="2"/>
      <c r="GL345" s="2"/>
      <c r="GM345" s="2"/>
      <c r="GN345" s="2"/>
      <c r="GO345" s="2"/>
      <c r="GP345" s="2"/>
      <c r="GQ345" s="2"/>
      <c r="GR345" s="2"/>
      <c r="GS345" s="2"/>
      <c r="GT345" s="2"/>
      <c r="GU345" s="2"/>
      <c r="GV345" s="2"/>
      <c r="GW345" s="2"/>
      <c r="GX345" s="2"/>
      <c r="GY345" s="2"/>
      <c r="GZ345" s="2"/>
      <c r="HA345" s="2"/>
      <c r="HB345" s="2"/>
      <c r="HC345" s="2"/>
      <c r="HD345" s="2"/>
      <c r="HE345" s="2"/>
      <c r="HF345" s="2"/>
      <c r="HG345" s="2"/>
      <c r="HH345" s="2"/>
      <c r="HI345" s="2"/>
      <c r="HJ345" s="2"/>
      <c r="HK345" s="2"/>
      <c r="HL345" s="2"/>
      <c r="HM345" s="2"/>
      <c r="HN345" s="2"/>
      <c r="HO345" s="2"/>
      <c r="HP345" s="2"/>
      <c r="HQ345" s="2"/>
      <c r="HR345" s="2"/>
      <c r="HS345" s="2"/>
      <c r="HT345" s="2"/>
      <c r="HU345" s="2"/>
      <c r="HV345" s="2"/>
      <c r="HW345" s="2"/>
      <c r="HX345" s="2"/>
      <c r="HY345" s="2"/>
      <c r="HZ345" s="2"/>
      <c r="IA345" s="2"/>
      <c r="IB345" s="2"/>
      <c r="IC345" s="2"/>
    </row>
    <row r="346" spans="1:237" x14ac:dyDescent="0.2">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c r="AA346" s="2"/>
      <c r="AB346" s="2"/>
      <c r="AC346" s="2"/>
      <c r="AD346" s="2"/>
      <c r="AE346" s="2"/>
      <c r="AF346" s="2"/>
      <c r="AG346" s="2"/>
      <c r="AH346" s="2"/>
      <c r="AI346" s="2"/>
      <c r="AJ346" s="2"/>
      <c r="AK346" s="2"/>
      <c r="AL346" s="2"/>
      <c r="AM346" s="2"/>
      <c r="AN346" s="2"/>
      <c r="AO346" s="2"/>
      <c r="AP346" s="2"/>
      <c r="AQ346" s="2"/>
      <c r="AR346" s="2"/>
      <c r="AS346" s="2"/>
      <c r="AT346" s="2"/>
      <c r="AU346" s="2"/>
      <c r="AV346" s="2"/>
      <c r="AW346" s="2"/>
      <c r="AX346" s="2"/>
      <c r="AY346" s="2"/>
      <c r="AZ346" s="2"/>
      <c r="BA346" s="2"/>
      <c r="BB346" s="2"/>
      <c r="BC346" s="2"/>
      <c r="BD346" s="2"/>
      <c r="BE346" s="2"/>
      <c r="BF346" s="2"/>
      <c r="BG346" s="2"/>
      <c r="BH346" s="2"/>
      <c r="BI346" s="2"/>
      <c r="BJ346" s="2"/>
      <c r="BK346" s="2"/>
      <c r="BL346" s="2"/>
      <c r="BM346" s="2"/>
      <c r="BN346" s="2"/>
      <c r="BO346" s="2"/>
      <c r="BP346" s="2"/>
      <c r="BQ346" s="2"/>
      <c r="BR346" s="2"/>
      <c r="BS346" s="2"/>
      <c r="BT346" s="2"/>
      <c r="BU346" s="2"/>
      <c r="BV346" s="2"/>
      <c r="BW346" s="2"/>
      <c r="BX346" s="2"/>
      <c r="BY346" s="2"/>
      <c r="BZ346" s="2"/>
      <c r="CA346" s="2"/>
      <c r="CB346" s="2"/>
      <c r="CC346" s="2"/>
      <c r="CD346" s="2"/>
      <c r="CE346" s="2"/>
      <c r="CF346" s="2"/>
      <c r="CG346" s="2"/>
      <c r="CH346" s="2"/>
      <c r="CI346" s="2"/>
      <c r="CJ346" s="2"/>
      <c r="CK346" s="2"/>
      <c r="CL346" s="2"/>
      <c r="CM346" s="2"/>
      <c r="CN346" s="2"/>
      <c r="CO346" s="2"/>
      <c r="CP346" s="2"/>
      <c r="CQ346" s="2"/>
      <c r="CR346" s="2"/>
      <c r="CS346" s="2"/>
      <c r="CT346" s="2"/>
      <c r="CU346" s="2"/>
      <c r="CV346" s="2"/>
      <c r="CW346" s="2"/>
      <c r="CX346" s="2"/>
      <c r="CY346" s="2"/>
      <c r="CZ346" s="2"/>
      <c r="DA346" s="2"/>
      <c r="DB346" s="2"/>
      <c r="DC346" s="2"/>
      <c r="DD346" s="2"/>
      <c r="DE346" s="2"/>
      <c r="DF346" s="2"/>
      <c r="DG346" s="2"/>
      <c r="DH346" s="2"/>
      <c r="DI346" s="2"/>
      <c r="DJ346" s="2"/>
      <c r="DK346" s="2"/>
      <c r="DL346" s="2"/>
      <c r="DM346" s="2"/>
      <c r="DN346" s="2"/>
      <c r="DO346" s="2"/>
      <c r="DP346" s="2"/>
      <c r="DQ346" s="2"/>
      <c r="DR346" s="2"/>
      <c r="DS346" s="2"/>
      <c r="DT346" s="2"/>
      <c r="DU346" s="2"/>
      <c r="DV346" s="2"/>
      <c r="DW346" s="2"/>
      <c r="DX346" s="2"/>
      <c r="DY346" s="2"/>
      <c r="DZ346" s="2"/>
      <c r="EA346" s="2"/>
      <c r="EB346" s="2"/>
      <c r="EC346" s="2"/>
      <c r="ED346" s="2"/>
      <c r="EE346" s="2"/>
      <c r="EF346" s="2"/>
      <c r="EG346" s="2"/>
      <c r="EH346" s="2"/>
      <c r="EI346" s="2"/>
      <c r="EJ346" s="2"/>
      <c r="EK346" s="2"/>
      <c r="EL346" s="2"/>
      <c r="EM346" s="2"/>
      <c r="EN346" s="2"/>
      <c r="EO346" s="2"/>
      <c r="EP346" s="2"/>
      <c r="EQ346" s="2"/>
      <c r="ER346" s="2"/>
      <c r="ES346" s="2"/>
      <c r="ET346" s="2"/>
      <c r="EU346" s="2"/>
      <c r="EV346" s="2"/>
      <c r="EW346" s="2"/>
      <c r="EX346" s="2"/>
      <c r="EY346" s="2"/>
      <c r="EZ346" s="2"/>
      <c r="FA346" s="2"/>
      <c r="FB346" s="2"/>
      <c r="FC346" s="2"/>
      <c r="FD346" s="2"/>
      <c r="FE346" s="2"/>
      <c r="FF346" s="2"/>
      <c r="FG346" s="2"/>
      <c r="FH346" s="2"/>
      <c r="FI346" s="2"/>
      <c r="FJ346" s="2"/>
      <c r="FK346" s="2"/>
      <c r="FL346" s="2"/>
      <c r="FM346" s="2"/>
      <c r="FN346" s="2"/>
      <c r="FO346" s="2"/>
      <c r="FP346" s="2"/>
      <c r="FQ346" s="2"/>
      <c r="FR346" s="2"/>
      <c r="FS346" s="2"/>
      <c r="FT346" s="2"/>
      <c r="FU346" s="2"/>
      <c r="FV346" s="2"/>
      <c r="FW346" s="2"/>
      <c r="FX346" s="2"/>
      <c r="FY346" s="2"/>
      <c r="FZ346" s="2"/>
      <c r="GA346" s="2"/>
      <c r="GB346" s="2"/>
      <c r="GC346" s="2"/>
      <c r="GD346" s="2"/>
      <c r="GE346" s="2"/>
      <c r="GF346" s="2"/>
      <c r="GG346" s="2"/>
      <c r="GH346" s="2"/>
      <c r="GI346" s="2"/>
      <c r="GJ346" s="2"/>
      <c r="GK346" s="2"/>
      <c r="GL346" s="2"/>
      <c r="GM346" s="2"/>
      <c r="GN346" s="2"/>
      <c r="GO346" s="2"/>
      <c r="GP346" s="2"/>
      <c r="GQ346" s="2"/>
      <c r="GR346" s="2"/>
      <c r="GS346" s="2"/>
      <c r="GT346" s="2"/>
      <c r="GU346" s="2"/>
      <c r="GV346" s="2"/>
      <c r="GW346" s="2"/>
      <c r="GX346" s="2"/>
      <c r="GY346" s="2"/>
      <c r="GZ346" s="2"/>
      <c r="HA346" s="2"/>
      <c r="HB346" s="2"/>
      <c r="HC346" s="2"/>
      <c r="HD346" s="2"/>
      <c r="HE346" s="2"/>
      <c r="HF346" s="2"/>
      <c r="HG346" s="2"/>
      <c r="HH346" s="2"/>
      <c r="HI346" s="2"/>
      <c r="HJ346" s="2"/>
      <c r="HK346" s="2"/>
      <c r="HL346" s="2"/>
      <c r="HM346" s="2"/>
      <c r="HN346" s="2"/>
      <c r="HO346" s="2"/>
      <c r="HP346" s="2"/>
      <c r="HQ346" s="2"/>
      <c r="HR346" s="2"/>
      <c r="HS346" s="2"/>
      <c r="HT346" s="2"/>
      <c r="HU346" s="2"/>
      <c r="HV346" s="2"/>
      <c r="HW346" s="2"/>
      <c r="HX346" s="2"/>
      <c r="HY346" s="2"/>
      <c r="HZ346" s="2"/>
      <c r="IA346" s="2"/>
      <c r="IB346" s="2"/>
      <c r="IC346" s="2"/>
    </row>
    <row r="347" spans="1:237" x14ac:dyDescent="0.2">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c r="AA347" s="2"/>
      <c r="AB347" s="2"/>
      <c r="AC347" s="2"/>
      <c r="AD347" s="2"/>
      <c r="AE347" s="2"/>
      <c r="AF347" s="2"/>
      <c r="AG347" s="2"/>
      <c r="AH347" s="2"/>
      <c r="AI347" s="2"/>
      <c r="AJ347" s="2"/>
      <c r="AK347" s="2"/>
      <c r="AL347" s="2"/>
      <c r="AM347" s="2"/>
      <c r="AN347" s="2"/>
      <c r="AO347" s="2"/>
      <c r="AP347" s="2"/>
      <c r="AQ347" s="2"/>
      <c r="AR347" s="2"/>
      <c r="AS347" s="2"/>
      <c r="AT347" s="2"/>
      <c r="AU347" s="2"/>
      <c r="AV347" s="2"/>
      <c r="AW347" s="2"/>
      <c r="AX347" s="2"/>
      <c r="AY347" s="2"/>
      <c r="AZ347" s="2"/>
      <c r="BA347" s="2"/>
      <c r="BB347" s="2"/>
      <c r="BC347" s="2"/>
      <c r="BD347" s="2"/>
      <c r="BE347" s="2"/>
      <c r="BF347" s="2"/>
      <c r="BG347" s="2"/>
      <c r="BH347" s="2"/>
      <c r="BI347" s="2"/>
      <c r="BJ347" s="2"/>
      <c r="BK347" s="2"/>
      <c r="BL347" s="2"/>
      <c r="BM347" s="2"/>
      <c r="BN347" s="2"/>
      <c r="BO347" s="2"/>
      <c r="BP347" s="2"/>
      <c r="BQ347" s="2"/>
      <c r="BR347" s="2"/>
      <c r="BS347" s="2"/>
      <c r="BT347" s="2"/>
      <c r="BU347" s="2"/>
      <c r="BV347" s="2"/>
      <c r="BW347" s="2"/>
      <c r="BX347" s="2"/>
      <c r="BY347" s="2"/>
      <c r="BZ347" s="2"/>
      <c r="CA347" s="2"/>
      <c r="CB347" s="2"/>
      <c r="CC347" s="2"/>
      <c r="CD347" s="2"/>
      <c r="CE347" s="2"/>
      <c r="CF347" s="2"/>
      <c r="CG347" s="2"/>
      <c r="CH347" s="2"/>
      <c r="CI347" s="2"/>
      <c r="CJ347" s="2"/>
      <c r="CK347" s="2"/>
      <c r="CL347" s="2"/>
      <c r="CM347" s="2"/>
      <c r="CN347" s="2"/>
      <c r="CO347" s="2"/>
      <c r="CP347" s="2"/>
      <c r="CQ347" s="2"/>
      <c r="CR347" s="2"/>
      <c r="CS347" s="2"/>
      <c r="CT347" s="2"/>
      <c r="CU347" s="2"/>
      <c r="CV347" s="2"/>
      <c r="CW347" s="2"/>
      <c r="CX347" s="2"/>
      <c r="CY347" s="2"/>
      <c r="CZ347" s="2"/>
      <c r="DA347" s="2"/>
      <c r="DB347" s="2"/>
      <c r="DC347" s="2"/>
      <c r="DD347" s="2"/>
      <c r="DE347" s="2"/>
      <c r="DF347" s="2"/>
      <c r="DG347" s="2"/>
      <c r="DH347" s="2"/>
      <c r="DI347" s="2"/>
      <c r="DJ347" s="2"/>
      <c r="DK347" s="2"/>
      <c r="DL347" s="2"/>
      <c r="DM347" s="2"/>
      <c r="DN347" s="2"/>
      <c r="DO347" s="2"/>
      <c r="DP347" s="2"/>
      <c r="DQ347" s="2"/>
      <c r="DR347" s="2"/>
      <c r="DS347" s="2"/>
      <c r="DT347" s="2"/>
      <c r="DU347" s="2"/>
      <c r="DV347" s="2"/>
      <c r="DW347" s="2"/>
      <c r="DX347" s="2"/>
      <c r="DY347" s="2"/>
      <c r="DZ347" s="2"/>
      <c r="EA347" s="2"/>
      <c r="EB347" s="2"/>
      <c r="EC347" s="2"/>
      <c r="ED347" s="2"/>
      <c r="EE347" s="2"/>
      <c r="EF347" s="2"/>
      <c r="EG347" s="2"/>
      <c r="EH347" s="2"/>
      <c r="EI347" s="2"/>
      <c r="EJ347" s="2"/>
      <c r="EK347" s="2"/>
      <c r="EL347" s="2"/>
      <c r="EM347" s="2"/>
      <c r="EN347" s="2"/>
      <c r="EO347" s="2"/>
      <c r="EP347" s="2"/>
      <c r="EQ347" s="2"/>
      <c r="ER347" s="2"/>
      <c r="ES347" s="2"/>
      <c r="ET347" s="2"/>
      <c r="EU347" s="2"/>
      <c r="EV347" s="2"/>
      <c r="EW347" s="2"/>
      <c r="EX347" s="2"/>
      <c r="EY347" s="2"/>
      <c r="EZ347" s="2"/>
      <c r="FA347" s="2"/>
      <c r="FB347" s="2"/>
      <c r="FC347" s="2"/>
      <c r="FD347" s="2"/>
      <c r="FE347" s="2"/>
      <c r="FF347" s="2"/>
      <c r="FG347" s="2"/>
      <c r="FH347" s="2"/>
      <c r="FI347" s="2"/>
      <c r="FJ347" s="2"/>
      <c r="FK347" s="2"/>
      <c r="FL347" s="2"/>
      <c r="FM347" s="2"/>
      <c r="FN347" s="2"/>
      <c r="FO347" s="2"/>
      <c r="FP347" s="2"/>
      <c r="FQ347" s="2"/>
      <c r="FR347" s="2"/>
      <c r="FS347" s="2"/>
      <c r="FT347" s="2"/>
      <c r="FU347" s="2"/>
      <c r="FV347" s="2"/>
      <c r="FW347" s="2"/>
      <c r="FX347" s="2"/>
      <c r="FY347" s="2"/>
      <c r="FZ347" s="2"/>
      <c r="GA347" s="2"/>
      <c r="GB347" s="2"/>
      <c r="GC347" s="2"/>
      <c r="GD347" s="2"/>
      <c r="GE347" s="2"/>
      <c r="GF347" s="2"/>
      <c r="GG347" s="2"/>
      <c r="GH347" s="2"/>
      <c r="GI347" s="2"/>
      <c r="GJ347" s="2"/>
      <c r="GK347" s="2"/>
      <c r="GL347" s="2"/>
      <c r="GM347" s="2"/>
      <c r="GN347" s="2"/>
      <c r="GO347" s="2"/>
      <c r="GP347" s="2"/>
      <c r="GQ347" s="2"/>
      <c r="GR347" s="2"/>
      <c r="GS347" s="2"/>
      <c r="GT347" s="2"/>
      <c r="GU347" s="2"/>
      <c r="GV347" s="2"/>
      <c r="GW347" s="2"/>
      <c r="GX347" s="2"/>
      <c r="GY347" s="2"/>
      <c r="GZ347" s="2"/>
      <c r="HA347" s="2"/>
      <c r="HB347" s="2"/>
      <c r="HC347" s="2"/>
      <c r="HD347" s="2"/>
      <c r="HE347" s="2"/>
      <c r="HF347" s="2"/>
      <c r="HG347" s="2"/>
      <c r="HH347" s="2"/>
      <c r="HI347" s="2"/>
      <c r="HJ347" s="2"/>
      <c r="HK347" s="2"/>
      <c r="HL347" s="2"/>
      <c r="HM347" s="2"/>
      <c r="HN347" s="2"/>
      <c r="HO347" s="2"/>
      <c r="HP347" s="2"/>
      <c r="HQ347" s="2"/>
      <c r="HR347" s="2"/>
      <c r="HS347" s="2"/>
      <c r="HT347" s="2"/>
      <c r="HU347" s="2"/>
      <c r="HV347" s="2"/>
      <c r="HW347" s="2"/>
      <c r="HX347" s="2"/>
      <c r="HY347" s="2"/>
      <c r="HZ347" s="2"/>
      <c r="IA347" s="2"/>
      <c r="IB347" s="2"/>
      <c r="IC347" s="2"/>
    </row>
    <row r="348" spans="1:237" x14ac:dyDescent="0.2">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c r="AA348" s="2"/>
      <c r="AB348" s="2"/>
      <c r="AC348" s="2"/>
      <c r="AD348" s="2"/>
      <c r="AE348" s="2"/>
      <c r="AF348" s="2"/>
      <c r="AG348" s="2"/>
      <c r="AH348" s="2"/>
      <c r="AI348" s="2"/>
      <c r="AJ348" s="2"/>
      <c r="AK348" s="2"/>
      <c r="AL348" s="2"/>
      <c r="AM348" s="2"/>
      <c r="AN348" s="2"/>
      <c r="AO348" s="2"/>
      <c r="AP348" s="2"/>
      <c r="AQ348" s="2"/>
      <c r="AR348" s="2"/>
      <c r="AS348" s="2"/>
      <c r="AT348" s="2"/>
      <c r="AU348" s="2"/>
      <c r="AV348" s="2"/>
      <c r="AW348" s="2"/>
      <c r="AX348" s="2"/>
      <c r="AY348" s="2"/>
      <c r="AZ348" s="2"/>
      <c r="BA348" s="2"/>
      <c r="BB348" s="2"/>
      <c r="BC348" s="2"/>
      <c r="BD348" s="2"/>
      <c r="BE348" s="2"/>
      <c r="BF348" s="2"/>
      <c r="BG348" s="2"/>
      <c r="BH348" s="2"/>
      <c r="BI348" s="2"/>
      <c r="BJ348" s="2"/>
      <c r="BK348" s="2"/>
      <c r="BL348" s="2"/>
      <c r="BM348" s="2"/>
      <c r="BN348" s="2"/>
      <c r="BO348" s="2"/>
      <c r="BP348" s="2"/>
      <c r="BQ348" s="2"/>
      <c r="BR348" s="2"/>
      <c r="BS348" s="2"/>
      <c r="BT348" s="2"/>
      <c r="BU348" s="2"/>
      <c r="BV348" s="2"/>
      <c r="BW348" s="2"/>
      <c r="BX348" s="2"/>
      <c r="BY348" s="2"/>
      <c r="BZ348" s="2"/>
      <c r="CA348" s="2"/>
      <c r="CB348" s="2"/>
      <c r="CC348" s="2"/>
      <c r="CD348" s="2"/>
      <c r="CE348" s="2"/>
      <c r="CF348" s="2"/>
      <c r="CG348" s="2"/>
      <c r="CH348" s="2"/>
      <c r="CI348" s="2"/>
      <c r="CJ348" s="2"/>
      <c r="CK348" s="2"/>
      <c r="CL348" s="2"/>
      <c r="CM348" s="2"/>
      <c r="CN348" s="2"/>
      <c r="CO348" s="2"/>
      <c r="CP348" s="2"/>
      <c r="CQ348" s="2"/>
      <c r="CR348" s="2"/>
      <c r="CS348" s="2"/>
      <c r="CT348" s="2"/>
      <c r="CU348" s="2"/>
      <c r="CV348" s="2"/>
      <c r="CW348" s="2"/>
      <c r="CX348" s="2"/>
      <c r="CY348" s="2"/>
      <c r="CZ348" s="2"/>
      <c r="DA348" s="2"/>
      <c r="DB348" s="2"/>
      <c r="DC348" s="2"/>
      <c r="DD348" s="2"/>
      <c r="DE348" s="2"/>
      <c r="DF348" s="2"/>
      <c r="DG348" s="2"/>
      <c r="DH348" s="2"/>
      <c r="DI348" s="2"/>
      <c r="DJ348" s="2"/>
      <c r="DK348" s="2"/>
      <c r="DL348" s="2"/>
      <c r="DM348" s="2"/>
      <c r="DN348" s="2"/>
      <c r="DO348" s="2"/>
      <c r="DP348" s="2"/>
      <c r="DQ348" s="2"/>
      <c r="DR348" s="2"/>
      <c r="DS348" s="2"/>
      <c r="DT348" s="2"/>
      <c r="DU348" s="2"/>
      <c r="DV348" s="2"/>
      <c r="DW348" s="2"/>
      <c r="DX348" s="2"/>
      <c r="DY348" s="2"/>
      <c r="DZ348" s="2"/>
      <c r="EA348" s="2"/>
      <c r="EB348" s="2"/>
      <c r="EC348" s="2"/>
      <c r="ED348" s="2"/>
      <c r="EE348" s="2"/>
      <c r="EF348" s="2"/>
      <c r="EG348" s="2"/>
      <c r="EH348" s="2"/>
      <c r="EI348" s="2"/>
      <c r="EJ348" s="2"/>
      <c r="EK348" s="2"/>
      <c r="EL348" s="2"/>
      <c r="EM348" s="2"/>
      <c r="EN348" s="2"/>
      <c r="EO348" s="2"/>
      <c r="EP348" s="2"/>
      <c r="EQ348" s="2"/>
      <c r="ER348" s="2"/>
      <c r="ES348" s="2"/>
      <c r="ET348" s="2"/>
      <c r="EU348" s="2"/>
      <c r="EV348" s="2"/>
      <c r="EW348" s="2"/>
      <c r="EX348" s="2"/>
      <c r="EY348" s="2"/>
      <c r="EZ348" s="2"/>
      <c r="FA348" s="2"/>
      <c r="FB348" s="2"/>
      <c r="FC348" s="2"/>
      <c r="FD348" s="2"/>
      <c r="FE348" s="2"/>
      <c r="FF348" s="2"/>
      <c r="FG348" s="2"/>
      <c r="FH348" s="2"/>
      <c r="FI348" s="2"/>
      <c r="FJ348" s="2"/>
      <c r="FK348" s="2"/>
      <c r="FL348" s="2"/>
      <c r="FM348" s="2"/>
      <c r="FN348" s="2"/>
      <c r="FO348" s="2"/>
      <c r="FP348" s="2"/>
      <c r="FQ348" s="2"/>
      <c r="FR348" s="2"/>
      <c r="FS348" s="2"/>
      <c r="FT348" s="2"/>
      <c r="FU348" s="2"/>
      <c r="FV348" s="2"/>
      <c r="FW348" s="2"/>
      <c r="FX348" s="2"/>
      <c r="FY348" s="2"/>
      <c r="FZ348" s="2"/>
      <c r="GA348" s="2"/>
      <c r="GB348" s="2"/>
      <c r="GC348" s="2"/>
      <c r="GD348" s="2"/>
      <c r="GE348" s="2"/>
      <c r="GF348" s="2"/>
      <c r="GG348" s="2"/>
      <c r="GH348" s="2"/>
      <c r="GI348" s="2"/>
      <c r="GJ348" s="2"/>
      <c r="GK348" s="2"/>
      <c r="GL348" s="2"/>
      <c r="GM348" s="2"/>
      <c r="GN348" s="2"/>
      <c r="GO348" s="2"/>
      <c r="GP348" s="2"/>
      <c r="GQ348" s="2"/>
      <c r="GR348" s="2"/>
      <c r="GS348" s="2"/>
      <c r="GT348" s="2"/>
      <c r="GU348" s="2"/>
      <c r="GV348" s="2"/>
      <c r="GW348" s="2"/>
      <c r="GX348" s="2"/>
      <c r="GY348" s="2"/>
      <c r="GZ348" s="2"/>
      <c r="HA348" s="2"/>
      <c r="HB348" s="2"/>
      <c r="HC348" s="2"/>
      <c r="HD348" s="2"/>
      <c r="HE348" s="2"/>
      <c r="HF348" s="2"/>
      <c r="HG348" s="2"/>
      <c r="HH348" s="2"/>
      <c r="HI348" s="2"/>
      <c r="HJ348" s="2"/>
      <c r="HK348" s="2"/>
      <c r="HL348" s="2"/>
      <c r="HM348" s="2"/>
      <c r="HN348" s="2"/>
      <c r="HO348" s="2"/>
      <c r="HP348" s="2"/>
      <c r="HQ348" s="2"/>
      <c r="HR348" s="2"/>
      <c r="HS348" s="2"/>
      <c r="HT348" s="2"/>
      <c r="HU348" s="2"/>
      <c r="HV348" s="2"/>
      <c r="HW348" s="2"/>
      <c r="HX348" s="2"/>
      <c r="HY348" s="2"/>
      <c r="HZ348" s="2"/>
      <c r="IA348" s="2"/>
      <c r="IB348" s="2"/>
      <c r="IC348" s="2"/>
    </row>
    <row r="349" spans="1:237" x14ac:dyDescent="0.2">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c r="AA349" s="2"/>
      <c r="AB349" s="2"/>
      <c r="AC349" s="2"/>
      <c r="AD349" s="2"/>
      <c r="AE349" s="2"/>
      <c r="AF349" s="2"/>
      <c r="AG349" s="2"/>
      <c r="AH349" s="2"/>
      <c r="AI349" s="2"/>
      <c r="AJ349" s="2"/>
      <c r="AK349" s="2"/>
      <c r="AL349" s="2"/>
      <c r="AM349" s="2"/>
      <c r="AN349" s="2"/>
      <c r="AO349" s="2"/>
      <c r="AP349" s="2"/>
      <c r="AQ349" s="2"/>
      <c r="AR349" s="2"/>
      <c r="AS349" s="2"/>
      <c r="AT349" s="2"/>
      <c r="AU349" s="2"/>
      <c r="AV349" s="2"/>
      <c r="AW349" s="2"/>
      <c r="AX349" s="2"/>
      <c r="AY349" s="2"/>
      <c r="AZ349" s="2"/>
      <c r="BA349" s="2"/>
      <c r="BB349" s="2"/>
      <c r="BC349" s="2"/>
      <c r="BD349" s="2"/>
      <c r="BE349" s="2"/>
      <c r="BF349" s="2"/>
      <c r="BG349" s="2"/>
      <c r="BH349" s="2"/>
      <c r="BI349" s="2"/>
      <c r="BJ349" s="2"/>
      <c r="BK349" s="2"/>
      <c r="BL349" s="2"/>
      <c r="BM349" s="2"/>
      <c r="BN349" s="2"/>
      <c r="BO349" s="2"/>
      <c r="BP349" s="2"/>
      <c r="BQ349" s="2"/>
      <c r="BR349" s="2"/>
      <c r="BS349" s="2"/>
      <c r="BT349" s="2"/>
      <c r="BU349" s="2"/>
      <c r="BV349" s="2"/>
      <c r="BW349" s="2"/>
      <c r="BX349" s="2"/>
      <c r="BY349" s="2"/>
      <c r="BZ349" s="2"/>
      <c r="CA349" s="2"/>
      <c r="CB349" s="2"/>
      <c r="CC349" s="2"/>
      <c r="CD349" s="2"/>
      <c r="CE349" s="2"/>
      <c r="CF349" s="2"/>
      <c r="CG349" s="2"/>
      <c r="CH349" s="2"/>
      <c r="CI349" s="2"/>
      <c r="CJ349" s="2"/>
      <c r="CK349" s="2"/>
      <c r="CL349" s="2"/>
      <c r="CM349" s="2"/>
      <c r="CN349" s="2"/>
      <c r="CO349" s="2"/>
      <c r="CP349" s="2"/>
      <c r="CQ349" s="2"/>
      <c r="CR349" s="2"/>
      <c r="CS349" s="2"/>
      <c r="CT349" s="2"/>
      <c r="CU349" s="2"/>
      <c r="CV349" s="2"/>
      <c r="CW349" s="2"/>
      <c r="CX349" s="2"/>
      <c r="CY349" s="2"/>
      <c r="CZ349" s="2"/>
      <c r="DA349" s="2"/>
      <c r="DB349" s="2"/>
      <c r="DC349" s="2"/>
      <c r="DD349" s="2"/>
      <c r="DE349" s="2"/>
      <c r="DF349" s="2"/>
      <c r="DG349" s="2"/>
      <c r="DH349" s="2"/>
      <c r="DI349" s="2"/>
      <c r="DJ349" s="2"/>
      <c r="DK349" s="2"/>
      <c r="DL349" s="2"/>
      <c r="DM349" s="2"/>
      <c r="DN349" s="2"/>
      <c r="DO349" s="2"/>
      <c r="DP349" s="2"/>
      <c r="DQ349" s="2"/>
      <c r="DR349" s="2"/>
      <c r="DS349" s="2"/>
      <c r="DT349" s="2"/>
      <c r="DU349" s="2"/>
      <c r="DV349" s="2"/>
      <c r="DW349" s="2"/>
      <c r="DX349" s="2"/>
      <c r="DY349" s="2"/>
      <c r="DZ349" s="2"/>
      <c r="EA349" s="2"/>
      <c r="EB349" s="2"/>
      <c r="EC349" s="2"/>
      <c r="ED349" s="2"/>
      <c r="EE349" s="2"/>
      <c r="EF349" s="2"/>
      <c r="EG349" s="2"/>
      <c r="EH349" s="2"/>
      <c r="EI349" s="2"/>
      <c r="EJ349" s="2"/>
      <c r="EK349" s="2"/>
      <c r="EL349" s="2"/>
      <c r="EM349" s="2"/>
      <c r="EN349" s="2"/>
      <c r="EO349" s="2"/>
      <c r="EP349" s="2"/>
      <c r="EQ349" s="2"/>
      <c r="ER349" s="2"/>
      <c r="ES349" s="2"/>
      <c r="ET349" s="2"/>
      <c r="EU349" s="2"/>
      <c r="EV349" s="2"/>
      <c r="EW349" s="2"/>
      <c r="EX349" s="2"/>
      <c r="EY349" s="2"/>
      <c r="EZ349" s="2"/>
      <c r="FA349" s="2"/>
      <c r="FB349" s="2"/>
      <c r="FC349" s="2"/>
      <c r="FD349" s="2"/>
      <c r="FE349" s="2"/>
      <c r="FF349" s="2"/>
      <c r="FG349" s="2"/>
      <c r="FH349" s="2"/>
      <c r="FI349" s="2"/>
      <c r="FJ349" s="2"/>
      <c r="FK349" s="2"/>
      <c r="FL349" s="2"/>
      <c r="FM349" s="2"/>
      <c r="FN349" s="2"/>
      <c r="FO349" s="2"/>
      <c r="FP349" s="2"/>
      <c r="FQ349" s="2"/>
      <c r="FR349" s="2"/>
      <c r="FS349" s="2"/>
      <c r="FT349" s="2"/>
      <c r="FU349" s="2"/>
      <c r="FV349" s="2"/>
      <c r="FW349" s="2"/>
      <c r="FX349" s="2"/>
      <c r="FY349" s="2"/>
      <c r="FZ349" s="2"/>
      <c r="GA349" s="2"/>
      <c r="GB349" s="2"/>
      <c r="GC349" s="2"/>
      <c r="GD349" s="2"/>
      <c r="GE349" s="2"/>
      <c r="GF349" s="2"/>
      <c r="GG349" s="2"/>
      <c r="GH349" s="2"/>
      <c r="GI349" s="2"/>
      <c r="GJ349" s="2"/>
      <c r="GK349" s="2"/>
      <c r="GL349" s="2"/>
      <c r="GM349" s="2"/>
      <c r="GN349" s="2"/>
      <c r="GO349" s="2"/>
      <c r="GP349" s="2"/>
      <c r="GQ349" s="2"/>
      <c r="GR349" s="2"/>
      <c r="GS349" s="2"/>
      <c r="GT349" s="2"/>
      <c r="GU349" s="2"/>
      <c r="GV349" s="2"/>
      <c r="GW349" s="2"/>
      <c r="GX349" s="2"/>
      <c r="GY349" s="2"/>
      <c r="GZ349" s="2"/>
      <c r="HA349" s="2"/>
      <c r="HB349" s="2"/>
      <c r="HC349" s="2"/>
      <c r="HD349" s="2"/>
      <c r="HE349" s="2"/>
      <c r="HF349" s="2"/>
      <c r="HG349" s="2"/>
      <c r="HH349" s="2"/>
      <c r="HI349" s="2"/>
      <c r="HJ349" s="2"/>
      <c r="HK349" s="2"/>
      <c r="HL349" s="2"/>
      <c r="HM349" s="2"/>
      <c r="HN349" s="2"/>
      <c r="HO349" s="2"/>
      <c r="HP349" s="2"/>
      <c r="HQ349" s="2"/>
      <c r="HR349" s="2"/>
      <c r="HS349" s="2"/>
      <c r="HT349" s="2"/>
      <c r="HU349" s="2"/>
      <c r="HV349" s="2"/>
      <c r="HW349" s="2"/>
      <c r="HX349" s="2"/>
      <c r="HY349" s="2"/>
      <c r="HZ349" s="2"/>
      <c r="IA349" s="2"/>
      <c r="IB349" s="2"/>
      <c r="IC349" s="2"/>
    </row>
    <row r="350" spans="1:237" x14ac:dyDescent="0.2">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c r="AA350" s="2"/>
      <c r="AB350" s="2"/>
      <c r="AC350" s="2"/>
      <c r="AD350" s="2"/>
      <c r="AE350" s="2"/>
      <c r="AF350" s="2"/>
      <c r="AG350" s="2"/>
      <c r="AH350" s="2"/>
      <c r="AI350" s="2"/>
      <c r="AJ350" s="2"/>
      <c r="AK350" s="2"/>
      <c r="AL350" s="2"/>
      <c r="AM350" s="2"/>
      <c r="AN350" s="2"/>
      <c r="AO350" s="2"/>
      <c r="AP350" s="2"/>
      <c r="AQ350" s="2"/>
      <c r="AR350" s="2"/>
      <c r="AS350" s="2"/>
      <c r="AT350" s="2"/>
      <c r="AU350" s="2"/>
      <c r="AV350" s="2"/>
      <c r="AW350" s="2"/>
      <c r="AX350" s="2"/>
      <c r="AY350" s="2"/>
      <c r="AZ350" s="2"/>
      <c r="BA350" s="2"/>
      <c r="BB350" s="2"/>
      <c r="BC350" s="2"/>
      <c r="BD350" s="2"/>
      <c r="BE350" s="2"/>
      <c r="BF350" s="2"/>
      <c r="BG350" s="2"/>
      <c r="BH350" s="2"/>
      <c r="BI350" s="2"/>
      <c r="BJ350" s="2"/>
      <c r="BK350" s="2"/>
      <c r="BL350" s="2"/>
      <c r="BM350" s="2"/>
      <c r="BN350" s="2"/>
      <c r="BO350" s="2"/>
      <c r="BP350" s="2"/>
      <c r="BQ350" s="2"/>
      <c r="BR350" s="2"/>
      <c r="BS350" s="2"/>
      <c r="BT350" s="2"/>
      <c r="BU350" s="2"/>
      <c r="BV350" s="2"/>
      <c r="BW350" s="2"/>
      <c r="BX350" s="2"/>
      <c r="BY350" s="2"/>
      <c r="BZ350" s="2"/>
      <c r="CA350" s="2"/>
      <c r="CB350" s="2"/>
      <c r="CC350" s="2"/>
      <c r="CD350" s="2"/>
      <c r="CE350" s="2"/>
      <c r="CF350" s="2"/>
      <c r="CG350" s="2"/>
      <c r="CH350" s="2"/>
      <c r="CI350" s="2"/>
      <c r="CJ350" s="2"/>
      <c r="CK350" s="2"/>
      <c r="CL350" s="2"/>
      <c r="CM350" s="2"/>
      <c r="CN350" s="2"/>
      <c r="CO350" s="2"/>
      <c r="CP350" s="2"/>
      <c r="CQ350" s="2"/>
      <c r="CR350" s="2"/>
      <c r="CS350" s="2"/>
      <c r="CT350" s="2"/>
      <c r="CU350" s="2"/>
      <c r="CV350" s="2"/>
      <c r="CW350" s="2"/>
      <c r="CX350" s="2"/>
      <c r="CY350" s="2"/>
      <c r="CZ350" s="2"/>
      <c r="DA350" s="2"/>
      <c r="DB350" s="2"/>
      <c r="DC350" s="2"/>
      <c r="DD350" s="2"/>
      <c r="DE350" s="2"/>
      <c r="DF350" s="2"/>
      <c r="DG350" s="2"/>
      <c r="DH350" s="2"/>
      <c r="DI350" s="2"/>
      <c r="DJ350" s="2"/>
      <c r="DK350" s="2"/>
      <c r="DL350" s="2"/>
      <c r="DM350" s="2"/>
      <c r="DN350" s="2"/>
      <c r="DO350" s="2"/>
      <c r="DP350" s="2"/>
      <c r="DQ350" s="2"/>
      <c r="DR350" s="2"/>
      <c r="DS350" s="2"/>
      <c r="DT350" s="2"/>
      <c r="DU350" s="2"/>
      <c r="DV350" s="2"/>
      <c r="DW350" s="2"/>
      <c r="DX350" s="2"/>
      <c r="DY350" s="2"/>
      <c r="DZ350" s="2"/>
      <c r="EA350" s="2"/>
      <c r="EB350" s="2"/>
      <c r="EC350" s="2"/>
      <c r="ED350" s="2"/>
      <c r="EE350" s="2"/>
      <c r="EF350" s="2"/>
      <c r="EG350" s="2"/>
      <c r="EH350" s="2"/>
      <c r="EI350" s="2"/>
      <c r="EJ350" s="2"/>
      <c r="EK350" s="2"/>
      <c r="EL350" s="2"/>
      <c r="EM350" s="2"/>
      <c r="EN350" s="2"/>
      <c r="EO350" s="2"/>
      <c r="EP350" s="2"/>
      <c r="EQ350" s="2"/>
      <c r="ER350" s="2"/>
      <c r="ES350" s="2"/>
      <c r="ET350" s="2"/>
      <c r="EU350" s="2"/>
      <c r="EV350" s="2"/>
      <c r="EW350" s="2"/>
      <c r="EX350" s="2"/>
      <c r="EY350" s="2"/>
      <c r="EZ350" s="2"/>
      <c r="FA350" s="2"/>
      <c r="FB350" s="2"/>
      <c r="FC350" s="2"/>
      <c r="FD350" s="2"/>
      <c r="FE350" s="2"/>
      <c r="FF350" s="2"/>
      <c r="FG350" s="2"/>
      <c r="FH350" s="2"/>
      <c r="FI350" s="2"/>
      <c r="FJ350" s="2"/>
      <c r="FK350" s="2"/>
      <c r="FL350" s="2"/>
      <c r="FM350" s="2"/>
      <c r="FN350" s="2"/>
      <c r="FO350" s="2"/>
      <c r="FP350" s="2"/>
      <c r="FQ350" s="2"/>
      <c r="FR350" s="2"/>
      <c r="FS350" s="2"/>
      <c r="FT350" s="2"/>
      <c r="FU350" s="2"/>
      <c r="FV350" s="2"/>
      <c r="FW350" s="2"/>
      <c r="FX350" s="2"/>
      <c r="FY350" s="2"/>
      <c r="FZ350" s="2"/>
      <c r="GA350" s="2"/>
      <c r="GB350" s="2"/>
      <c r="GC350" s="2"/>
      <c r="GD350" s="2"/>
      <c r="GE350" s="2"/>
      <c r="GF350" s="2"/>
      <c r="GG350" s="2"/>
      <c r="GH350" s="2"/>
      <c r="GI350" s="2"/>
      <c r="GJ350" s="2"/>
      <c r="GK350" s="2"/>
      <c r="GL350" s="2"/>
      <c r="GM350" s="2"/>
      <c r="GN350" s="2"/>
      <c r="GO350" s="2"/>
      <c r="GP350" s="2"/>
      <c r="GQ350" s="2"/>
      <c r="GR350" s="2"/>
      <c r="GS350" s="2"/>
      <c r="GT350" s="2"/>
      <c r="GU350" s="2"/>
      <c r="GV350" s="2"/>
      <c r="GW350" s="2"/>
      <c r="GX350" s="2"/>
      <c r="GY350" s="2"/>
      <c r="GZ350" s="2"/>
      <c r="HA350" s="2"/>
      <c r="HB350" s="2"/>
      <c r="HC350" s="2"/>
      <c r="HD350" s="2"/>
      <c r="HE350" s="2"/>
      <c r="HF350" s="2"/>
      <c r="HG350" s="2"/>
      <c r="HH350" s="2"/>
      <c r="HI350" s="2"/>
      <c r="HJ350" s="2"/>
      <c r="HK350" s="2"/>
      <c r="HL350" s="2"/>
      <c r="HM350" s="2"/>
      <c r="HN350" s="2"/>
      <c r="HO350" s="2"/>
      <c r="HP350" s="2"/>
      <c r="HQ350" s="2"/>
      <c r="HR350" s="2"/>
      <c r="HS350" s="2"/>
      <c r="HT350" s="2"/>
      <c r="HU350" s="2"/>
      <c r="HV350" s="2"/>
      <c r="HW350" s="2"/>
      <c r="HX350" s="2"/>
      <c r="HY350" s="2"/>
      <c r="HZ350" s="2"/>
      <c r="IA350" s="2"/>
      <c r="IB350" s="2"/>
      <c r="IC350" s="2"/>
    </row>
    <row r="351" spans="1:237" x14ac:dyDescent="0.2">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c r="AA351" s="2"/>
      <c r="AB351" s="2"/>
      <c r="AC351" s="2"/>
      <c r="AD351" s="2"/>
      <c r="AE351" s="2"/>
      <c r="AF351" s="2"/>
      <c r="AG351" s="2"/>
      <c r="AH351" s="2"/>
      <c r="AI351" s="2"/>
      <c r="AJ351" s="2"/>
      <c r="AK351" s="2"/>
      <c r="AL351" s="2"/>
      <c r="AM351" s="2"/>
      <c r="AN351" s="2"/>
      <c r="AO351" s="2"/>
      <c r="AP351" s="2"/>
      <c r="AQ351" s="2"/>
      <c r="AR351" s="2"/>
      <c r="AS351" s="2"/>
      <c r="AT351" s="2"/>
      <c r="AU351" s="2"/>
      <c r="AV351" s="2"/>
      <c r="AW351" s="2"/>
      <c r="AX351" s="2"/>
      <c r="AY351" s="2"/>
      <c r="AZ351" s="2"/>
      <c r="BA351" s="2"/>
      <c r="BB351" s="2"/>
      <c r="BC351" s="2"/>
      <c r="BD351" s="2"/>
      <c r="BE351" s="2"/>
      <c r="BF351" s="2"/>
      <c r="BG351" s="2"/>
      <c r="BH351" s="2"/>
      <c r="BI351" s="2"/>
      <c r="BJ351" s="2"/>
      <c r="BK351" s="2"/>
      <c r="BL351" s="2"/>
      <c r="BM351" s="2"/>
      <c r="BN351" s="2"/>
      <c r="BO351" s="2"/>
      <c r="BP351" s="2"/>
      <c r="BQ351" s="2"/>
      <c r="BR351" s="2"/>
      <c r="BS351" s="2"/>
      <c r="BT351" s="2"/>
      <c r="BU351" s="2"/>
      <c r="BV351" s="2"/>
      <c r="BW351" s="2"/>
      <c r="BX351" s="2"/>
      <c r="BY351" s="2"/>
      <c r="BZ351" s="2"/>
      <c r="CA351" s="2"/>
      <c r="CB351" s="2"/>
      <c r="CC351" s="2"/>
      <c r="CD351" s="2"/>
      <c r="CE351" s="2"/>
      <c r="CF351" s="2"/>
      <c r="CG351" s="2"/>
      <c r="CH351" s="2"/>
      <c r="CI351" s="2"/>
      <c r="CJ351" s="2"/>
      <c r="CK351" s="2"/>
      <c r="CL351" s="2"/>
      <c r="CM351" s="2"/>
      <c r="CN351" s="2"/>
      <c r="CO351" s="2"/>
      <c r="CP351" s="2"/>
      <c r="CQ351" s="2"/>
      <c r="CR351" s="2"/>
      <c r="CS351" s="2"/>
      <c r="CT351" s="2"/>
      <c r="CU351" s="2"/>
      <c r="CV351" s="2"/>
      <c r="CW351" s="2"/>
      <c r="CX351" s="2"/>
      <c r="CY351" s="2"/>
      <c r="CZ351" s="2"/>
      <c r="DA351" s="2"/>
      <c r="DB351" s="2"/>
      <c r="DC351" s="2"/>
      <c r="DD351" s="2"/>
      <c r="DE351" s="2"/>
      <c r="DF351" s="2"/>
      <c r="DG351" s="2"/>
      <c r="DH351" s="2"/>
      <c r="DI351" s="2"/>
      <c r="DJ351" s="2"/>
      <c r="DK351" s="2"/>
      <c r="DL351" s="2"/>
      <c r="DM351" s="2"/>
      <c r="DN351" s="2"/>
      <c r="DO351" s="2"/>
      <c r="DP351" s="2"/>
      <c r="DQ351" s="2"/>
      <c r="DR351" s="2"/>
      <c r="DS351" s="2"/>
      <c r="DT351" s="2"/>
      <c r="DU351" s="2"/>
      <c r="DV351" s="2"/>
      <c r="DW351" s="2"/>
      <c r="DX351" s="2"/>
      <c r="DY351" s="2"/>
      <c r="DZ351" s="2"/>
      <c r="EA351" s="2"/>
      <c r="EB351" s="2"/>
      <c r="EC351" s="2"/>
      <c r="ED351" s="2"/>
      <c r="EE351" s="2"/>
      <c r="EF351" s="2"/>
      <c r="EG351" s="2"/>
      <c r="EH351" s="2"/>
      <c r="EI351" s="2"/>
      <c r="EJ351" s="2"/>
      <c r="EK351" s="2"/>
      <c r="EL351" s="2"/>
      <c r="EM351" s="2"/>
      <c r="EN351" s="2"/>
      <c r="EO351" s="2"/>
      <c r="EP351" s="2"/>
      <c r="EQ351" s="2"/>
      <c r="ER351" s="2"/>
      <c r="ES351" s="2"/>
      <c r="ET351" s="2"/>
      <c r="EU351" s="2"/>
      <c r="EV351" s="2"/>
      <c r="EW351" s="2"/>
      <c r="EX351" s="2"/>
      <c r="EY351" s="2"/>
      <c r="EZ351" s="2"/>
      <c r="FA351" s="2"/>
      <c r="FB351" s="2"/>
      <c r="FC351" s="2"/>
      <c r="FD351" s="2"/>
      <c r="FE351" s="2"/>
      <c r="FF351" s="2"/>
      <c r="FG351" s="2"/>
      <c r="FH351" s="2"/>
      <c r="FI351" s="2"/>
      <c r="FJ351" s="2"/>
      <c r="FK351" s="2"/>
      <c r="FL351" s="2"/>
      <c r="FM351" s="2"/>
      <c r="FN351" s="2"/>
      <c r="FO351" s="2"/>
      <c r="FP351" s="2"/>
      <c r="FQ351" s="2"/>
      <c r="FR351" s="2"/>
      <c r="FS351" s="2"/>
      <c r="FT351" s="2"/>
      <c r="FU351" s="2"/>
      <c r="FV351" s="2"/>
      <c r="FW351" s="2"/>
      <c r="FX351" s="2"/>
      <c r="FY351" s="2"/>
      <c r="FZ351" s="2"/>
      <c r="GA351" s="2"/>
      <c r="GB351" s="2"/>
      <c r="GC351" s="2"/>
      <c r="GD351" s="2"/>
      <c r="GE351" s="2"/>
      <c r="GF351" s="2"/>
      <c r="GG351" s="2"/>
      <c r="GH351" s="2"/>
      <c r="GI351" s="2"/>
      <c r="GJ351" s="2"/>
      <c r="GK351" s="2"/>
      <c r="GL351" s="2"/>
      <c r="GM351" s="2"/>
      <c r="GN351" s="2"/>
      <c r="GO351" s="2"/>
      <c r="GP351" s="2"/>
      <c r="GQ351" s="2"/>
      <c r="GR351" s="2"/>
      <c r="GS351" s="2"/>
      <c r="GT351" s="2"/>
      <c r="GU351" s="2"/>
      <c r="GV351" s="2"/>
      <c r="GW351" s="2"/>
      <c r="GX351" s="2"/>
      <c r="GY351" s="2"/>
      <c r="GZ351" s="2"/>
      <c r="HA351" s="2"/>
      <c r="HB351" s="2"/>
      <c r="HC351" s="2"/>
      <c r="HD351" s="2"/>
      <c r="HE351" s="2"/>
      <c r="HF351" s="2"/>
      <c r="HG351" s="2"/>
      <c r="HH351" s="2"/>
      <c r="HI351" s="2"/>
      <c r="HJ351" s="2"/>
      <c r="HK351" s="2"/>
      <c r="HL351" s="2"/>
      <c r="HM351" s="2"/>
      <c r="HN351" s="2"/>
      <c r="HO351" s="2"/>
      <c r="HP351" s="2"/>
      <c r="HQ351" s="2"/>
      <c r="HR351" s="2"/>
      <c r="HS351" s="2"/>
      <c r="HT351" s="2"/>
      <c r="HU351" s="2"/>
      <c r="HV351" s="2"/>
      <c r="HW351" s="2"/>
      <c r="HX351" s="2"/>
      <c r="HY351" s="2"/>
      <c r="HZ351" s="2"/>
      <c r="IA351" s="2"/>
      <c r="IB351" s="2"/>
      <c r="IC351" s="2"/>
    </row>
    <row r="352" spans="1:237" x14ac:dyDescent="0.2">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c r="AA352" s="2"/>
      <c r="AB352" s="2"/>
      <c r="AC352" s="2"/>
      <c r="AD352" s="2"/>
      <c r="AE352" s="2"/>
      <c r="AF352" s="2"/>
      <c r="AG352" s="2"/>
      <c r="AH352" s="2"/>
      <c r="AI352" s="2"/>
      <c r="AJ352" s="2"/>
      <c r="AK352" s="2"/>
      <c r="AL352" s="2"/>
      <c r="AM352" s="2"/>
      <c r="AN352" s="2"/>
      <c r="AO352" s="2"/>
      <c r="AP352" s="2"/>
      <c r="AQ352" s="2"/>
      <c r="AR352" s="2"/>
      <c r="AS352" s="2"/>
      <c r="AT352" s="2"/>
      <c r="AU352" s="2"/>
      <c r="AV352" s="2"/>
      <c r="AW352" s="2"/>
      <c r="AX352" s="2"/>
      <c r="AY352" s="2"/>
      <c r="AZ352" s="2"/>
      <c r="BA352" s="2"/>
      <c r="BB352" s="2"/>
      <c r="BC352" s="2"/>
      <c r="BD352" s="2"/>
      <c r="BE352" s="2"/>
      <c r="BF352" s="2"/>
      <c r="BG352" s="2"/>
      <c r="BH352" s="2"/>
      <c r="BI352" s="2"/>
      <c r="BJ352" s="2"/>
      <c r="BK352" s="2"/>
      <c r="BL352" s="2"/>
      <c r="BM352" s="2"/>
      <c r="BN352" s="2"/>
      <c r="BO352" s="2"/>
      <c r="BP352" s="2"/>
      <c r="BQ352" s="2"/>
      <c r="BR352" s="2"/>
      <c r="BS352" s="2"/>
      <c r="BT352" s="2"/>
      <c r="BU352" s="2"/>
      <c r="BV352" s="2"/>
      <c r="BW352" s="2"/>
      <c r="BX352" s="2"/>
      <c r="BY352" s="2"/>
      <c r="BZ352" s="2"/>
      <c r="CA352" s="2"/>
      <c r="CB352" s="2"/>
      <c r="CC352" s="2"/>
      <c r="CD352" s="2"/>
      <c r="CE352" s="2"/>
      <c r="CF352" s="2"/>
      <c r="CG352" s="2"/>
      <c r="CH352" s="2"/>
      <c r="CI352" s="2"/>
      <c r="CJ352" s="2"/>
      <c r="CK352" s="2"/>
      <c r="CL352" s="2"/>
      <c r="CM352" s="2"/>
      <c r="CN352" s="2"/>
      <c r="CO352" s="2"/>
      <c r="CP352" s="2"/>
      <c r="CQ352" s="2"/>
      <c r="CR352" s="2"/>
      <c r="CS352" s="2"/>
      <c r="CT352" s="2"/>
      <c r="CU352" s="2"/>
      <c r="CV352" s="2"/>
      <c r="CW352" s="2"/>
      <c r="CX352" s="2"/>
      <c r="CY352" s="2"/>
      <c r="CZ352" s="2"/>
      <c r="DA352" s="2"/>
      <c r="DB352" s="2"/>
      <c r="DC352" s="2"/>
      <c r="DD352" s="2"/>
      <c r="DE352" s="2"/>
      <c r="DF352" s="2"/>
      <c r="DG352" s="2"/>
      <c r="DH352" s="2"/>
      <c r="DI352" s="2"/>
      <c r="DJ352" s="2"/>
      <c r="DK352" s="2"/>
      <c r="DL352" s="2"/>
      <c r="DM352" s="2"/>
      <c r="DN352" s="2"/>
      <c r="DO352" s="2"/>
      <c r="DP352" s="2"/>
      <c r="DQ352" s="2"/>
      <c r="DR352" s="2"/>
      <c r="DS352" s="2"/>
      <c r="DT352" s="2"/>
      <c r="DU352" s="2"/>
      <c r="DV352" s="2"/>
      <c r="DW352" s="2"/>
      <c r="DX352" s="2"/>
      <c r="DY352" s="2"/>
      <c r="DZ352" s="2"/>
      <c r="EA352" s="2"/>
      <c r="EB352" s="2"/>
      <c r="EC352" s="2"/>
      <c r="ED352" s="2"/>
      <c r="EE352" s="2"/>
      <c r="EF352" s="2"/>
      <c r="EG352" s="2"/>
      <c r="EH352" s="2"/>
      <c r="EI352" s="2"/>
      <c r="EJ352" s="2"/>
      <c r="EK352" s="2"/>
      <c r="EL352" s="2"/>
      <c r="EM352" s="2"/>
      <c r="EN352" s="2"/>
      <c r="EO352" s="2"/>
      <c r="EP352" s="2"/>
      <c r="EQ352" s="2"/>
      <c r="ER352" s="2"/>
      <c r="ES352" s="2"/>
      <c r="ET352" s="2"/>
      <c r="EU352" s="2"/>
      <c r="EV352" s="2"/>
      <c r="EW352" s="2"/>
      <c r="EX352" s="2"/>
      <c r="EY352" s="2"/>
      <c r="EZ352" s="2"/>
      <c r="FA352" s="2"/>
      <c r="FB352" s="2"/>
      <c r="FC352" s="2"/>
      <c r="FD352" s="2"/>
      <c r="FE352" s="2"/>
      <c r="FF352" s="2"/>
      <c r="FG352" s="2"/>
      <c r="FH352" s="2"/>
      <c r="FI352" s="2"/>
      <c r="FJ352" s="2"/>
      <c r="FK352" s="2"/>
      <c r="FL352" s="2"/>
      <c r="FM352" s="2"/>
      <c r="FN352" s="2"/>
      <c r="FO352" s="2"/>
      <c r="FP352" s="2"/>
      <c r="FQ352" s="2"/>
      <c r="FR352" s="2"/>
      <c r="FS352" s="2"/>
      <c r="FT352" s="2"/>
      <c r="FU352" s="2"/>
      <c r="FV352" s="2"/>
      <c r="FW352" s="2"/>
      <c r="FX352" s="2"/>
      <c r="FY352" s="2"/>
      <c r="FZ352" s="2"/>
      <c r="GA352" s="2"/>
      <c r="GB352" s="2"/>
      <c r="GC352" s="2"/>
      <c r="GD352" s="2"/>
      <c r="GE352" s="2"/>
      <c r="GF352" s="2"/>
      <c r="GG352" s="2"/>
      <c r="GH352" s="2"/>
      <c r="GI352" s="2"/>
      <c r="GJ352" s="2"/>
      <c r="GK352" s="2"/>
      <c r="GL352" s="2"/>
      <c r="GM352" s="2"/>
      <c r="GN352" s="2"/>
      <c r="GO352" s="2"/>
      <c r="GP352" s="2"/>
      <c r="GQ352" s="2"/>
      <c r="GR352" s="2"/>
      <c r="GS352" s="2"/>
      <c r="GT352" s="2"/>
      <c r="GU352" s="2"/>
      <c r="GV352" s="2"/>
      <c r="GW352" s="2"/>
      <c r="GX352" s="2"/>
      <c r="GY352" s="2"/>
      <c r="GZ352" s="2"/>
      <c r="HA352" s="2"/>
      <c r="HB352" s="2"/>
      <c r="HC352" s="2"/>
      <c r="HD352" s="2"/>
      <c r="HE352" s="2"/>
      <c r="HF352" s="2"/>
      <c r="HG352" s="2"/>
      <c r="HH352" s="2"/>
      <c r="HI352" s="2"/>
      <c r="HJ352" s="2"/>
      <c r="HK352" s="2"/>
      <c r="HL352" s="2"/>
      <c r="HM352" s="2"/>
      <c r="HN352" s="2"/>
      <c r="HO352" s="2"/>
      <c r="HP352" s="2"/>
      <c r="HQ352" s="2"/>
      <c r="HR352" s="2"/>
      <c r="HS352" s="2"/>
      <c r="HT352" s="2"/>
      <c r="HU352" s="2"/>
      <c r="HV352" s="2"/>
      <c r="HW352" s="2"/>
      <c r="HX352" s="2"/>
      <c r="HY352" s="2"/>
      <c r="HZ352" s="2"/>
      <c r="IA352" s="2"/>
      <c r="IB352" s="2"/>
      <c r="IC352" s="2"/>
    </row>
    <row r="353" spans="1:237" x14ac:dyDescent="0.2">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c r="AA353" s="2"/>
      <c r="AB353" s="2"/>
      <c r="AC353" s="2"/>
      <c r="AD353" s="2"/>
      <c r="AE353" s="2"/>
      <c r="AF353" s="2"/>
      <c r="AG353" s="2"/>
      <c r="AH353" s="2"/>
      <c r="AI353" s="2"/>
      <c r="AJ353" s="2"/>
      <c r="AK353" s="2"/>
      <c r="AL353" s="2"/>
      <c r="AM353" s="2"/>
      <c r="AN353" s="2"/>
      <c r="AO353" s="2"/>
      <c r="AP353" s="2"/>
      <c r="AQ353" s="2"/>
      <c r="AR353" s="2"/>
      <c r="AS353" s="2"/>
      <c r="AT353" s="2"/>
      <c r="AU353" s="2"/>
      <c r="AV353" s="2"/>
      <c r="AW353" s="2"/>
      <c r="AX353" s="2"/>
      <c r="AY353" s="2"/>
      <c r="AZ353" s="2"/>
      <c r="BA353" s="2"/>
      <c r="BB353" s="2"/>
      <c r="BC353" s="2"/>
      <c r="BD353" s="2"/>
      <c r="BE353" s="2"/>
      <c r="BF353" s="2"/>
      <c r="BG353" s="2"/>
      <c r="BH353" s="2"/>
      <c r="BI353" s="2"/>
      <c r="BJ353" s="2"/>
      <c r="BK353" s="2"/>
      <c r="BL353" s="2"/>
      <c r="BM353" s="2"/>
      <c r="BN353" s="2"/>
      <c r="BO353" s="2"/>
      <c r="BP353" s="2"/>
      <c r="BQ353" s="2"/>
      <c r="BR353" s="2"/>
      <c r="BS353" s="2"/>
      <c r="BT353" s="2"/>
      <c r="BU353" s="2"/>
      <c r="BV353" s="2"/>
      <c r="BW353" s="2"/>
      <c r="BX353" s="2"/>
      <c r="BY353" s="2"/>
      <c r="BZ353" s="2"/>
      <c r="CA353" s="2"/>
      <c r="CB353" s="2"/>
      <c r="CC353" s="2"/>
      <c r="CD353" s="2"/>
      <c r="CE353" s="2"/>
      <c r="CF353" s="2"/>
      <c r="CG353" s="2"/>
      <c r="CH353" s="2"/>
      <c r="CI353" s="2"/>
      <c r="CJ353" s="2"/>
      <c r="CK353" s="2"/>
      <c r="CL353" s="2"/>
      <c r="CM353" s="2"/>
      <c r="CN353" s="2"/>
      <c r="CO353" s="2"/>
      <c r="CP353" s="2"/>
      <c r="CQ353" s="2"/>
      <c r="CR353" s="2"/>
      <c r="CS353" s="2"/>
      <c r="CT353" s="2"/>
      <c r="CU353" s="2"/>
      <c r="CV353" s="2"/>
      <c r="CW353" s="2"/>
      <c r="CX353" s="2"/>
      <c r="CY353" s="2"/>
      <c r="CZ353" s="2"/>
      <c r="DA353" s="2"/>
      <c r="DB353" s="2"/>
      <c r="DC353" s="2"/>
      <c r="DD353" s="2"/>
      <c r="DE353" s="2"/>
      <c r="DF353" s="2"/>
      <c r="DG353" s="2"/>
      <c r="DH353" s="2"/>
      <c r="DI353" s="2"/>
      <c r="DJ353" s="2"/>
      <c r="DK353" s="2"/>
      <c r="DL353" s="2"/>
      <c r="DM353" s="2"/>
      <c r="DN353" s="2"/>
      <c r="DO353" s="2"/>
      <c r="DP353" s="2"/>
      <c r="DQ353" s="2"/>
      <c r="DR353" s="2"/>
      <c r="DS353" s="2"/>
      <c r="DT353" s="2"/>
      <c r="DU353" s="2"/>
      <c r="DV353" s="2"/>
      <c r="DW353" s="2"/>
      <c r="DX353" s="2"/>
      <c r="DY353" s="2"/>
      <c r="DZ353" s="2"/>
      <c r="EA353" s="2"/>
      <c r="EB353" s="2"/>
      <c r="EC353" s="2"/>
      <c r="ED353" s="2"/>
      <c r="EE353" s="2"/>
      <c r="EF353" s="2"/>
      <c r="EG353" s="2"/>
      <c r="EH353" s="2"/>
      <c r="EI353" s="2"/>
      <c r="EJ353" s="2"/>
      <c r="EK353" s="2"/>
      <c r="EL353" s="2"/>
      <c r="EM353" s="2"/>
      <c r="EN353" s="2"/>
      <c r="EO353" s="2"/>
      <c r="EP353" s="2"/>
      <c r="EQ353" s="2"/>
      <c r="ER353" s="2"/>
      <c r="ES353" s="2"/>
      <c r="ET353" s="2"/>
      <c r="EU353" s="2"/>
      <c r="EV353" s="2"/>
      <c r="EW353" s="2"/>
      <c r="EX353" s="2"/>
      <c r="EY353" s="2"/>
      <c r="EZ353" s="2"/>
      <c r="FA353" s="2"/>
      <c r="FB353" s="2"/>
      <c r="FC353" s="2"/>
      <c r="FD353" s="2"/>
      <c r="FE353" s="2"/>
      <c r="FF353" s="2"/>
      <c r="FG353" s="2"/>
      <c r="FH353" s="2"/>
      <c r="FI353" s="2"/>
      <c r="FJ353" s="2"/>
      <c r="FK353" s="2"/>
      <c r="FL353" s="2"/>
      <c r="FM353" s="2"/>
      <c r="FN353" s="2"/>
      <c r="FO353" s="2"/>
      <c r="FP353" s="2"/>
      <c r="FQ353" s="2"/>
      <c r="FR353" s="2"/>
      <c r="FS353" s="2"/>
      <c r="FT353" s="2"/>
      <c r="FU353" s="2"/>
      <c r="FV353" s="2"/>
      <c r="FW353" s="2"/>
      <c r="FX353" s="2"/>
      <c r="FY353" s="2"/>
      <c r="FZ353" s="2"/>
      <c r="GA353" s="2"/>
      <c r="GB353" s="2"/>
      <c r="GC353" s="2"/>
      <c r="GD353" s="2"/>
      <c r="GE353" s="2"/>
      <c r="GF353" s="2"/>
      <c r="GG353" s="2"/>
      <c r="GH353" s="2"/>
      <c r="GI353" s="2"/>
      <c r="GJ353" s="2"/>
      <c r="GK353" s="2"/>
      <c r="GL353" s="2"/>
      <c r="GM353" s="2"/>
      <c r="GN353" s="2"/>
      <c r="GO353" s="2"/>
      <c r="GP353" s="2"/>
      <c r="GQ353" s="2"/>
      <c r="GR353" s="2"/>
      <c r="GS353" s="2"/>
      <c r="GT353" s="2"/>
      <c r="GU353" s="2"/>
      <c r="GV353" s="2"/>
      <c r="GW353" s="2"/>
      <c r="GX353" s="2"/>
      <c r="GY353" s="2"/>
      <c r="GZ353" s="2"/>
      <c r="HA353" s="2"/>
      <c r="HB353" s="2"/>
      <c r="HC353" s="2"/>
      <c r="HD353" s="2"/>
      <c r="HE353" s="2"/>
      <c r="HF353" s="2"/>
      <c r="HG353" s="2"/>
      <c r="HH353" s="2"/>
      <c r="HI353" s="2"/>
      <c r="HJ353" s="2"/>
      <c r="HK353" s="2"/>
      <c r="HL353" s="2"/>
      <c r="HM353" s="2"/>
      <c r="HN353" s="2"/>
      <c r="HO353" s="2"/>
      <c r="HP353" s="2"/>
      <c r="HQ353" s="2"/>
      <c r="HR353" s="2"/>
      <c r="HS353" s="2"/>
      <c r="HT353" s="2"/>
      <c r="HU353" s="2"/>
      <c r="HV353" s="2"/>
      <c r="HW353" s="2"/>
      <c r="HX353" s="2"/>
      <c r="HY353" s="2"/>
      <c r="HZ353" s="2"/>
      <c r="IA353" s="2"/>
      <c r="IB353" s="2"/>
      <c r="IC353" s="2"/>
    </row>
    <row r="354" spans="1:237" x14ac:dyDescent="0.2">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c r="AA354" s="2"/>
      <c r="AB354" s="2"/>
      <c r="AC354" s="2"/>
      <c r="AD354" s="2"/>
      <c r="AE354" s="2"/>
      <c r="AF354" s="2"/>
      <c r="AG354" s="2"/>
      <c r="AH354" s="2"/>
      <c r="AI354" s="2"/>
      <c r="AJ354" s="2"/>
      <c r="AK354" s="2"/>
      <c r="AL354" s="2"/>
      <c r="AM354" s="2"/>
      <c r="AN354" s="2"/>
      <c r="AO354" s="2"/>
      <c r="AP354" s="2"/>
      <c r="AQ354" s="2"/>
      <c r="AR354" s="2"/>
      <c r="AS354" s="2"/>
      <c r="AT354" s="2"/>
      <c r="AU354" s="2"/>
      <c r="AV354" s="2"/>
      <c r="AW354" s="2"/>
      <c r="AX354" s="2"/>
      <c r="AY354" s="2"/>
      <c r="AZ354" s="2"/>
      <c r="BA354" s="2"/>
      <c r="BB354" s="2"/>
      <c r="BC354" s="2"/>
      <c r="BD354" s="2"/>
      <c r="BE354" s="2"/>
      <c r="BF354" s="2"/>
      <c r="BG354" s="2"/>
      <c r="BH354" s="2"/>
      <c r="BI354" s="2"/>
      <c r="BJ354" s="2"/>
      <c r="BK354" s="2"/>
      <c r="BL354" s="2"/>
      <c r="BM354" s="2"/>
      <c r="BN354" s="2"/>
      <c r="BO354" s="2"/>
      <c r="BP354" s="2"/>
      <c r="BQ354" s="2"/>
      <c r="BR354" s="2"/>
      <c r="BS354" s="2"/>
      <c r="BT354" s="2"/>
      <c r="BU354" s="2"/>
      <c r="BV354" s="2"/>
      <c r="BW354" s="2"/>
      <c r="BX354" s="2"/>
      <c r="BY354" s="2"/>
      <c r="BZ354" s="2"/>
      <c r="CA354" s="2"/>
      <c r="CB354" s="2"/>
      <c r="CC354" s="2"/>
      <c r="CD354" s="2"/>
      <c r="CE354" s="2"/>
      <c r="CF354" s="2"/>
      <c r="CG354" s="2"/>
      <c r="CH354" s="2"/>
      <c r="CI354" s="2"/>
      <c r="CJ354" s="2"/>
      <c r="CK354" s="2"/>
      <c r="CL354" s="2"/>
      <c r="CM354" s="2"/>
      <c r="CN354" s="2"/>
      <c r="CO354" s="2"/>
      <c r="CP354" s="2"/>
      <c r="CQ354" s="2"/>
      <c r="CR354" s="2"/>
      <c r="CS354" s="2"/>
      <c r="CT354" s="2"/>
      <c r="CU354" s="2"/>
      <c r="CV354" s="2"/>
      <c r="CW354" s="2"/>
      <c r="CX354" s="2"/>
      <c r="CY354" s="2"/>
      <c r="CZ354" s="2"/>
      <c r="DA354" s="2"/>
      <c r="DB354" s="2"/>
      <c r="DC354" s="2"/>
      <c r="DD354" s="2"/>
      <c r="DE354" s="2"/>
      <c r="DF354" s="2"/>
      <c r="DG354" s="2"/>
      <c r="DH354" s="2"/>
      <c r="DI354" s="2"/>
      <c r="DJ354" s="2"/>
      <c r="DK354" s="2"/>
      <c r="DL354" s="2"/>
      <c r="DM354" s="2"/>
      <c r="DN354" s="2"/>
      <c r="DO354" s="2"/>
      <c r="DP354" s="2"/>
      <c r="DQ354" s="2"/>
      <c r="DR354" s="2"/>
      <c r="DS354" s="2"/>
      <c r="DT354" s="2"/>
      <c r="DU354" s="2"/>
      <c r="DV354" s="2"/>
      <c r="DW354" s="2"/>
      <c r="DX354" s="2"/>
      <c r="DY354" s="2"/>
      <c r="DZ354" s="2"/>
      <c r="EA354" s="2"/>
      <c r="EB354" s="2"/>
      <c r="EC354" s="2"/>
      <c r="ED354" s="2"/>
      <c r="EE354" s="2"/>
      <c r="EF354" s="2"/>
      <c r="EG354" s="2"/>
      <c r="EH354" s="2"/>
      <c r="EI354" s="2"/>
      <c r="EJ354" s="2"/>
      <c r="EK354" s="2"/>
      <c r="EL354" s="2"/>
      <c r="EM354" s="2"/>
      <c r="EN354" s="2"/>
      <c r="EO354" s="2"/>
      <c r="EP354" s="2"/>
      <c r="EQ354" s="2"/>
      <c r="ER354" s="2"/>
      <c r="ES354" s="2"/>
      <c r="ET354" s="2"/>
      <c r="EU354" s="2"/>
      <c r="EV354" s="2"/>
      <c r="EW354" s="2"/>
      <c r="EX354" s="2"/>
      <c r="EY354" s="2"/>
      <c r="EZ354" s="2"/>
      <c r="FA354" s="2"/>
      <c r="FB354" s="2"/>
      <c r="FC354" s="2"/>
      <c r="FD354" s="2"/>
      <c r="FE354" s="2"/>
      <c r="FF354" s="2"/>
      <c r="FG354" s="2"/>
      <c r="FH354" s="2"/>
      <c r="FI354" s="2"/>
      <c r="FJ354" s="2"/>
      <c r="FK354" s="2"/>
      <c r="FL354" s="2"/>
      <c r="FM354" s="2"/>
      <c r="FN354" s="2"/>
      <c r="FO354" s="2"/>
      <c r="FP354" s="2"/>
      <c r="FQ354" s="2"/>
      <c r="FR354" s="2"/>
      <c r="FS354" s="2"/>
      <c r="FT354" s="2"/>
      <c r="FU354" s="2"/>
      <c r="FV354" s="2"/>
      <c r="FW354" s="2"/>
      <c r="FX354" s="2"/>
      <c r="FY354" s="2"/>
      <c r="FZ354" s="2"/>
      <c r="GA354" s="2"/>
      <c r="GB354" s="2"/>
      <c r="GC354" s="2"/>
      <c r="GD354" s="2"/>
      <c r="GE354" s="2"/>
      <c r="GF354" s="2"/>
      <c r="GG354" s="2"/>
      <c r="GH354" s="2"/>
      <c r="GI354" s="2"/>
      <c r="GJ354" s="2"/>
      <c r="GK354" s="2"/>
      <c r="GL354" s="2"/>
      <c r="GM354" s="2"/>
      <c r="GN354" s="2"/>
      <c r="GO354" s="2"/>
      <c r="GP354" s="2"/>
      <c r="GQ354" s="2"/>
      <c r="GR354" s="2"/>
      <c r="GS354" s="2"/>
      <c r="GT354" s="2"/>
      <c r="GU354" s="2"/>
      <c r="GV354" s="2"/>
      <c r="GW354" s="2"/>
      <c r="GX354" s="2"/>
      <c r="GY354" s="2"/>
      <c r="GZ354" s="2"/>
      <c r="HA354" s="2"/>
      <c r="HB354" s="2"/>
      <c r="HC354" s="2"/>
      <c r="HD354" s="2"/>
      <c r="HE354" s="2"/>
      <c r="HF354" s="2"/>
      <c r="HG354" s="2"/>
      <c r="HH354" s="2"/>
      <c r="HI354" s="2"/>
      <c r="HJ354" s="2"/>
      <c r="HK354" s="2"/>
      <c r="HL354" s="2"/>
      <c r="HM354" s="2"/>
      <c r="HN354" s="2"/>
      <c r="HO354" s="2"/>
      <c r="HP354" s="2"/>
      <c r="HQ354" s="2"/>
      <c r="HR354" s="2"/>
      <c r="HS354" s="2"/>
      <c r="HT354" s="2"/>
      <c r="HU354" s="2"/>
      <c r="HV354" s="2"/>
      <c r="HW354" s="2"/>
      <c r="HX354" s="2"/>
      <c r="HY354" s="2"/>
      <c r="HZ354" s="2"/>
      <c r="IA354" s="2"/>
      <c r="IB354" s="2"/>
      <c r="IC354" s="2"/>
    </row>
    <row r="355" spans="1:237" x14ac:dyDescent="0.2">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c r="AA355" s="2"/>
      <c r="AB355" s="2"/>
      <c r="AC355" s="2"/>
      <c r="AD355" s="2"/>
      <c r="AE355" s="2"/>
      <c r="AF355" s="2"/>
      <c r="AG355" s="2"/>
      <c r="AH355" s="2"/>
      <c r="AI355" s="2"/>
      <c r="AJ355" s="2"/>
      <c r="AK355" s="2"/>
      <c r="AL355" s="2"/>
      <c r="AM355" s="2"/>
      <c r="AN355" s="2"/>
      <c r="AO355" s="2"/>
      <c r="AP355" s="2"/>
      <c r="AQ355" s="2"/>
      <c r="AR355" s="2"/>
      <c r="AS355" s="2"/>
      <c r="AT355" s="2"/>
      <c r="AU355" s="2"/>
      <c r="AV355" s="2"/>
      <c r="AW355" s="2"/>
      <c r="AX355" s="2"/>
      <c r="AY355" s="2"/>
      <c r="AZ355" s="2"/>
      <c r="BA355" s="2"/>
      <c r="BB355" s="2"/>
      <c r="BC355" s="2"/>
      <c r="BD355" s="2"/>
      <c r="BE355" s="2"/>
      <c r="BF355" s="2"/>
      <c r="BG355" s="2"/>
      <c r="BH355" s="2"/>
      <c r="BI355" s="2"/>
      <c r="BJ355" s="2"/>
      <c r="BK355" s="2"/>
      <c r="BL355" s="2"/>
      <c r="BM355" s="2"/>
      <c r="BN355" s="2"/>
      <c r="BO355" s="2"/>
      <c r="BP355" s="2"/>
      <c r="BQ355" s="2"/>
      <c r="BR355" s="2"/>
      <c r="BS355" s="2"/>
      <c r="BT355" s="2"/>
      <c r="BU355" s="2"/>
      <c r="BV355" s="2"/>
      <c r="BW355" s="2"/>
      <c r="BX355" s="2"/>
      <c r="BY355" s="2"/>
      <c r="BZ355" s="2"/>
      <c r="CA355" s="2"/>
      <c r="CB355" s="2"/>
      <c r="CC355" s="2"/>
      <c r="CD355" s="2"/>
      <c r="CE355" s="2"/>
      <c r="CF355" s="2"/>
      <c r="CG355" s="2"/>
      <c r="CH355" s="2"/>
      <c r="CI355" s="2"/>
      <c r="CJ355" s="2"/>
      <c r="CK355" s="2"/>
      <c r="CL355" s="2"/>
      <c r="CM355" s="2"/>
      <c r="CN355" s="2"/>
      <c r="CO355" s="2"/>
      <c r="CP355" s="2"/>
      <c r="CQ355" s="2"/>
      <c r="CR355" s="2"/>
      <c r="CS355" s="2"/>
      <c r="CT355" s="2"/>
      <c r="CU355" s="2"/>
      <c r="CV355" s="2"/>
      <c r="CW355" s="2"/>
      <c r="CX355" s="2"/>
      <c r="CY355" s="2"/>
      <c r="CZ355" s="2"/>
      <c r="DA355" s="2"/>
      <c r="DB355" s="2"/>
      <c r="DC355" s="2"/>
      <c r="DD355" s="2"/>
      <c r="DE355" s="2"/>
      <c r="DF355" s="2"/>
      <c r="DG355" s="2"/>
      <c r="DH355" s="2"/>
      <c r="DI355" s="2"/>
      <c r="DJ355" s="2"/>
      <c r="DK355" s="2"/>
      <c r="DL355" s="2"/>
      <c r="DM355" s="2"/>
      <c r="DN355" s="2"/>
      <c r="DO355" s="2"/>
      <c r="DP355" s="2"/>
      <c r="DQ355" s="2"/>
      <c r="DR355" s="2"/>
      <c r="DS355" s="2"/>
      <c r="DT355" s="2"/>
      <c r="DU355" s="2"/>
      <c r="DV355" s="2"/>
      <c r="DW355" s="2"/>
      <c r="DX355" s="2"/>
      <c r="DY355" s="2"/>
      <c r="DZ355" s="2"/>
      <c r="EA355" s="2"/>
      <c r="EB355" s="2"/>
      <c r="EC355" s="2"/>
      <c r="ED355" s="2"/>
      <c r="EE355" s="2"/>
      <c r="EF355" s="2"/>
      <c r="EG355" s="2"/>
      <c r="EH355" s="2"/>
      <c r="EI355" s="2"/>
      <c r="EJ355" s="2"/>
      <c r="EK355" s="2"/>
      <c r="EL355" s="2"/>
      <c r="EM355" s="2"/>
      <c r="EN355" s="2"/>
      <c r="EO355" s="2"/>
      <c r="EP355" s="2"/>
      <c r="EQ355" s="2"/>
      <c r="ER355" s="2"/>
      <c r="ES355" s="2"/>
      <c r="ET355" s="2"/>
      <c r="EU355" s="2"/>
      <c r="EV355" s="2"/>
      <c r="EW355" s="2"/>
      <c r="EX355" s="2"/>
      <c r="EY355" s="2"/>
      <c r="EZ355" s="2"/>
      <c r="FA355" s="2"/>
      <c r="FB355" s="2"/>
      <c r="FC355" s="2"/>
      <c r="FD355" s="2"/>
      <c r="FE355" s="2"/>
      <c r="FF355" s="2"/>
      <c r="FG355" s="2"/>
      <c r="FH355" s="2"/>
      <c r="FI355" s="2"/>
      <c r="FJ355" s="2"/>
      <c r="FK355" s="2"/>
      <c r="FL355" s="2"/>
      <c r="FM355" s="2"/>
      <c r="FN355" s="2"/>
      <c r="FO355" s="2"/>
      <c r="FP355" s="2"/>
      <c r="FQ355" s="2"/>
      <c r="FR355" s="2"/>
      <c r="FS355" s="2"/>
      <c r="FT355" s="2"/>
      <c r="FU355" s="2"/>
      <c r="FV355" s="2"/>
      <c r="FW355" s="2"/>
      <c r="FX355" s="2"/>
      <c r="FY355" s="2"/>
      <c r="FZ355" s="2"/>
      <c r="GA355" s="2"/>
      <c r="GB355" s="2"/>
      <c r="GC355" s="2"/>
      <c r="GD355" s="2"/>
      <c r="GE355" s="2"/>
      <c r="GF355" s="2"/>
      <c r="GG355" s="2"/>
      <c r="GH355" s="2"/>
      <c r="GI355" s="2"/>
      <c r="GJ355" s="2"/>
      <c r="GK355" s="2"/>
      <c r="GL355" s="2"/>
      <c r="GM355" s="2"/>
      <c r="GN355" s="2"/>
      <c r="GO355" s="2"/>
      <c r="GP355" s="2"/>
      <c r="GQ355" s="2"/>
      <c r="GR355" s="2"/>
      <c r="GS355" s="2"/>
      <c r="GT355" s="2"/>
      <c r="GU355" s="2"/>
      <c r="GV355" s="2"/>
      <c r="GW355" s="2"/>
      <c r="GX355" s="2"/>
      <c r="GY355" s="2"/>
      <c r="GZ355" s="2"/>
      <c r="HA355" s="2"/>
      <c r="HB355" s="2"/>
      <c r="HC355" s="2"/>
      <c r="HD355" s="2"/>
      <c r="HE355" s="2"/>
      <c r="HF355" s="2"/>
      <c r="HG355" s="2"/>
      <c r="HH355" s="2"/>
      <c r="HI355" s="2"/>
      <c r="HJ355" s="2"/>
      <c r="HK355" s="2"/>
      <c r="HL355" s="2"/>
      <c r="HM355" s="2"/>
      <c r="HN355" s="2"/>
      <c r="HO355" s="2"/>
      <c r="HP355" s="2"/>
      <c r="HQ355" s="2"/>
      <c r="HR355" s="2"/>
      <c r="HS355" s="2"/>
      <c r="HT355" s="2"/>
      <c r="HU355" s="2"/>
      <c r="HV355" s="2"/>
      <c r="HW355" s="2"/>
      <c r="HX355" s="2"/>
      <c r="HY355" s="2"/>
      <c r="HZ355" s="2"/>
      <c r="IA355" s="2"/>
      <c r="IB355" s="2"/>
      <c r="IC355" s="2"/>
    </row>
    <row r="356" spans="1:237" x14ac:dyDescent="0.2">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c r="AA356" s="2"/>
      <c r="AB356" s="2"/>
      <c r="AC356" s="2"/>
      <c r="AD356" s="2"/>
      <c r="AE356" s="2"/>
      <c r="AF356" s="2"/>
      <c r="AG356" s="2"/>
      <c r="AH356" s="2"/>
      <c r="AI356" s="2"/>
      <c r="AJ356" s="2"/>
      <c r="AK356" s="2"/>
      <c r="AL356" s="2"/>
      <c r="AM356" s="2"/>
      <c r="AN356" s="2"/>
      <c r="AO356" s="2"/>
      <c r="AP356" s="2"/>
      <c r="AQ356" s="2"/>
      <c r="AR356" s="2"/>
      <c r="AS356" s="2"/>
      <c r="AT356" s="2"/>
      <c r="AU356" s="2"/>
      <c r="AV356" s="2"/>
      <c r="AW356" s="2"/>
      <c r="AX356" s="2"/>
      <c r="AY356" s="2"/>
      <c r="AZ356" s="2"/>
      <c r="BA356" s="2"/>
      <c r="BB356" s="2"/>
      <c r="BC356" s="2"/>
      <c r="BD356" s="2"/>
      <c r="BE356" s="2"/>
      <c r="BF356" s="2"/>
      <c r="BG356" s="2"/>
      <c r="BH356" s="2"/>
      <c r="BI356" s="2"/>
      <c r="BJ356" s="2"/>
      <c r="BK356" s="2"/>
      <c r="BL356" s="2"/>
      <c r="BM356" s="2"/>
      <c r="BN356" s="2"/>
      <c r="BO356" s="2"/>
      <c r="BP356" s="2"/>
      <c r="BQ356" s="2"/>
      <c r="BR356" s="2"/>
      <c r="BS356" s="2"/>
      <c r="BT356" s="2"/>
      <c r="BU356" s="2"/>
      <c r="BV356" s="2"/>
      <c r="BW356" s="2"/>
      <c r="BX356" s="2"/>
      <c r="BY356" s="2"/>
      <c r="BZ356" s="2"/>
      <c r="CA356" s="2"/>
      <c r="CB356" s="2"/>
      <c r="CC356" s="2"/>
      <c r="CD356" s="2"/>
      <c r="CE356" s="2"/>
      <c r="CF356" s="2"/>
      <c r="CG356" s="2"/>
      <c r="CH356" s="2"/>
      <c r="CI356" s="2"/>
      <c r="CJ356" s="2"/>
      <c r="CK356" s="2"/>
      <c r="CL356" s="2"/>
      <c r="CM356" s="2"/>
      <c r="CN356" s="2"/>
      <c r="CO356" s="2"/>
      <c r="CP356" s="2"/>
      <c r="CQ356" s="2"/>
      <c r="CR356" s="2"/>
      <c r="CS356" s="2"/>
      <c r="CT356" s="2"/>
      <c r="CU356" s="2"/>
      <c r="CV356" s="2"/>
      <c r="CW356" s="2"/>
      <c r="CX356" s="2"/>
      <c r="CY356" s="2"/>
      <c r="CZ356" s="2"/>
      <c r="DA356" s="2"/>
      <c r="DB356" s="2"/>
      <c r="DC356" s="2"/>
      <c r="DD356" s="2"/>
      <c r="DE356" s="2"/>
      <c r="DF356" s="2"/>
      <c r="DG356" s="2"/>
      <c r="DH356" s="2"/>
      <c r="DI356" s="2"/>
      <c r="DJ356" s="2"/>
      <c r="DK356" s="2"/>
      <c r="DL356" s="2"/>
      <c r="DM356" s="2"/>
      <c r="DN356" s="2"/>
      <c r="DO356" s="2"/>
      <c r="DP356" s="2"/>
      <c r="DQ356" s="2"/>
      <c r="DR356" s="2"/>
      <c r="DS356" s="2"/>
      <c r="DT356" s="2"/>
      <c r="DU356" s="2"/>
      <c r="DV356" s="2"/>
      <c r="DW356" s="2"/>
      <c r="DX356" s="2"/>
      <c r="DY356" s="2"/>
      <c r="DZ356" s="2"/>
      <c r="EA356" s="2"/>
      <c r="EB356" s="2"/>
      <c r="EC356" s="2"/>
      <c r="ED356" s="2"/>
      <c r="EE356" s="2"/>
      <c r="EF356" s="2"/>
      <c r="EG356" s="2"/>
      <c r="EH356" s="2"/>
      <c r="EI356" s="2"/>
      <c r="EJ356" s="2"/>
      <c r="EK356" s="2"/>
      <c r="EL356" s="2"/>
      <c r="EM356" s="2"/>
      <c r="EN356" s="2"/>
      <c r="EO356" s="2"/>
      <c r="EP356" s="2"/>
      <c r="EQ356" s="2"/>
      <c r="ER356" s="2"/>
      <c r="ES356" s="2"/>
      <c r="ET356" s="2"/>
      <c r="EU356" s="2"/>
      <c r="EV356" s="2"/>
      <c r="EW356" s="2"/>
      <c r="EX356" s="2"/>
      <c r="EY356" s="2"/>
      <c r="EZ356" s="2"/>
      <c r="FA356" s="2"/>
      <c r="FB356" s="2"/>
      <c r="FC356" s="2"/>
      <c r="FD356" s="2"/>
      <c r="FE356" s="2"/>
      <c r="FF356" s="2"/>
      <c r="FG356" s="2"/>
      <c r="FH356" s="2"/>
      <c r="FI356" s="2"/>
      <c r="FJ356" s="2"/>
      <c r="FK356" s="2"/>
      <c r="FL356" s="2"/>
      <c r="FM356" s="2"/>
      <c r="FN356" s="2"/>
      <c r="FO356" s="2"/>
      <c r="FP356" s="2"/>
      <c r="FQ356" s="2"/>
      <c r="FR356" s="2"/>
      <c r="FS356" s="2"/>
      <c r="FT356" s="2"/>
      <c r="FU356" s="2"/>
      <c r="FV356" s="2"/>
      <c r="FW356" s="2"/>
      <c r="FX356" s="2"/>
      <c r="FY356" s="2"/>
      <c r="FZ356" s="2"/>
      <c r="GA356" s="2"/>
      <c r="GB356" s="2"/>
      <c r="GC356" s="2"/>
      <c r="GD356" s="2"/>
      <c r="GE356" s="2"/>
      <c r="GF356" s="2"/>
      <c r="GG356" s="2"/>
      <c r="GH356" s="2"/>
      <c r="GI356" s="2"/>
      <c r="GJ356" s="2"/>
      <c r="GK356" s="2"/>
      <c r="GL356" s="2"/>
      <c r="GM356" s="2"/>
      <c r="GN356" s="2"/>
      <c r="GO356" s="2"/>
      <c r="GP356" s="2"/>
      <c r="GQ356" s="2"/>
      <c r="GR356" s="2"/>
      <c r="GS356" s="2"/>
      <c r="GT356" s="2"/>
      <c r="GU356" s="2"/>
      <c r="GV356" s="2"/>
      <c r="GW356" s="2"/>
      <c r="GX356" s="2"/>
      <c r="GY356" s="2"/>
      <c r="GZ356" s="2"/>
      <c r="HA356" s="2"/>
      <c r="HB356" s="2"/>
      <c r="HC356" s="2"/>
      <c r="HD356" s="2"/>
      <c r="HE356" s="2"/>
      <c r="HF356" s="2"/>
      <c r="HG356" s="2"/>
      <c r="HH356" s="2"/>
      <c r="HI356" s="2"/>
      <c r="HJ356" s="2"/>
      <c r="HK356" s="2"/>
      <c r="HL356" s="2"/>
      <c r="HM356" s="2"/>
      <c r="HN356" s="2"/>
      <c r="HO356" s="2"/>
      <c r="HP356" s="2"/>
      <c r="HQ356" s="2"/>
      <c r="HR356" s="2"/>
      <c r="HS356" s="2"/>
      <c r="HT356" s="2"/>
      <c r="HU356" s="2"/>
      <c r="HV356" s="2"/>
      <c r="HW356" s="2"/>
      <c r="HX356" s="2"/>
      <c r="HY356" s="2"/>
      <c r="HZ356" s="2"/>
      <c r="IA356" s="2"/>
      <c r="IB356" s="2"/>
      <c r="IC356" s="2"/>
    </row>
    <row r="357" spans="1:237" x14ac:dyDescent="0.2">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c r="AA357" s="2"/>
      <c r="AB357" s="2"/>
      <c r="AC357" s="2"/>
      <c r="AD357" s="2"/>
      <c r="AE357" s="2"/>
      <c r="AF357" s="2"/>
      <c r="AG357" s="2"/>
      <c r="AH357" s="2"/>
      <c r="AI357" s="2"/>
      <c r="AJ357" s="2"/>
      <c r="AK357" s="2"/>
      <c r="AL357" s="2"/>
      <c r="AM357" s="2"/>
      <c r="AN357" s="2"/>
      <c r="AO357" s="2"/>
      <c r="AP357" s="2"/>
      <c r="AQ357" s="2"/>
      <c r="AR357" s="2"/>
      <c r="AS357" s="2"/>
      <c r="AT357" s="2"/>
      <c r="AU357" s="2"/>
      <c r="AV357" s="2"/>
      <c r="AW357" s="2"/>
      <c r="AX357" s="2"/>
      <c r="AY357" s="2"/>
      <c r="AZ357" s="2"/>
      <c r="BA357" s="2"/>
      <c r="BB357" s="2"/>
      <c r="BC357" s="2"/>
      <c r="BD357" s="2"/>
      <c r="BE357" s="2"/>
      <c r="BF357" s="2"/>
      <c r="BG357" s="2"/>
      <c r="BH357" s="2"/>
      <c r="BI357" s="2"/>
      <c r="BJ357" s="2"/>
      <c r="BK357" s="2"/>
      <c r="BL357" s="2"/>
      <c r="BM357" s="2"/>
      <c r="BN357" s="2"/>
      <c r="BO357" s="2"/>
      <c r="BP357" s="2"/>
      <c r="BQ357" s="2"/>
      <c r="BR357" s="2"/>
      <c r="BS357" s="2"/>
      <c r="BT357" s="2"/>
      <c r="BU357" s="2"/>
      <c r="BV357" s="2"/>
      <c r="BW357" s="2"/>
      <c r="BX357" s="2"/>
      <c r="BY357" s="2"/>
      <c r="BZ357" s="2"/>
      <c r="CA357" s="2"/>
      <c r="CB357" s="2"/>
      <c r="CC357" s="2"/>
      <c r="CD357" s="2"/>
      <c r="CE357" s="2"/>
      <c r="CF357" s="2"/>
      <c r="CG357" s="2"/>
      <c r="CH357" s="2"/>
      <c r="CI357" s="2"/>
      <c r="CJ357" s="2"/>
      <c r="CK357" s="2"/>
      <c r="CL357" s="2"/>
      <c r="CM357" s="2"/>
      <c r="CN357" s="2"/>
      <c r="CO357" s="2"/>
      <c r="CP357" s="2"/>
      <c r="CQ357" s="2"/>
      <c r="CR357" s="2"/>
      <c r="CS357" s="2"/>
      <c r="CT357" s="2"/>
      <c r="CU357" s="2"/>
      <c r="CV357" s="2"/>
      <c r="CW357" s="2"/>
      <c r="CX357" s="2"/>
      <c r="CY357" s="2"/>
      <c r="CZ357" s="2"/>
      <c r="DA357" s="2"/>
      <c r="DB357" s="2"/>
      <c r="DC357" s="2"/>
      <c r="DD357" s="2"/>
      <c r="DE357" s="2"/>
      <c r="DF357" s="2"/>
      <c r="DG357" s="2"/>
      <c r="DH357" s="2"/>
      <c r="DI357" s="2"/>
      <c r="DJ357" s="2"/>
      <c r="DK357" s="2"/>
      <c r="DL357" s="2"/>
      <c r="DM357" s="2"/>
      <c r="DN357" s="2"/>
      <c r="DO357" s="2"/>
      <c r="DP357" s="2"/>
      <c r="DQ357" s="2"/>
      <c r="DR357" s="2"/>
      <c r="DS357" s="2"/>
      <c r="DT357" s="2"/>
      <c r="DU357" s="2"/>
      <c r="DV357" s="2"/>
      <c r="DW357" s="2"/>
      <c r="DX357" s="2"/>
      <c r="DY357" s="2"/>
      <c r="DZ357" s="2"/>
      <c r="EA357" s="2"/>
      <c r="EB357" s="2"/>
      <c r="EC357" s="2"/>
      <c r="ED357" s="2"/>
      <c r="EE357" s="2"/>
      <c r="EF357" s="2"/>
      <c r="EG357" s="2"/>
      <c r="EH357" s="2"/>
      <c r="EI357" s="2"/>
      <c r="EJ357" s="2"/>
      <c r="EK357" s="2"/>
      <c r="EL357" s="2"/>
      <c r="EM357" s="2"/>
      <c r="EN357" s="2"/>
      <c r="EO357" s="2"/>
      <c r="EP357" s="2"/>
      <c r="EQ357" s="2"/>
      <c r="ER357" s="2"/>
      <c r="ES357" s="2"/>
      <c r="ET357" s="2"/>
      <c r="EU357" s="2"/>
      <c r="EV357" s="2"/>
      <c r="EW357" s="2"/>
      <c r="EX357" s="2"/>
      <c r="EY357" s="2"/>
      <c r="EZ357" s="2"/>
      <c r="FA357" s="2"/>
      <c r="FB357" s="2"/>
      <c r="FC357" s="2"/>
      <c r="FD357" s="2"/>
      <c r="FE357" s="2"/>
      <c r="FF357" s="2"/>
      <c r="FG357" s="2"/>
      <c r="FH357" s="2"/>
      <c r="FI357" s="2"/>
      <c r="FJ357" s="2"/>
      <c r="FK357" s="2"/>
      <c r="FL357" s="2"/>
      <c r="FM357" s="2"/>
      <c r="FN357" s="2"/>
      <c r="FO357" s="2"/>
      <c r="FP357" s="2"/>
      <c r="FQ357" s="2"/>
      <c r="FR357" s="2"/>
      <c r="FS357" s="2"/>
      <c r="FT357" s="2"/>
      <c r="FU357" s="2"/>
      <c r="FV357" s="2"/>
      <c r="FW357" s="2"/>
      <c r="FX357" s="2"/>
      <c r="FY357" s="2"/>
      <c r="FZ357" s="2"/>
      <c r="GA357" s="2"/>
      <c r="GB357" s="2"/>
      <c r="GC357" s="2"/>
      <c r="GD357" s="2"/>
      <c r="GE357" s="2"/>
      <c r="GF357" s="2"/>
      <c r="GG357" s="2"/>
      <c r="GH357" s="2"/>
      <c r="GI357" s="2"/>
      <c r="GJ357" s="2"/>
      <c r="GK357" s="2"/>
      <c r="GL357" s="2"/>
      <c r="GM357" s="2"/>
      <c r="GN357" s="2"/>
      <c r="GO357" s="2"/>
      <c r="GP357" s="2"/>
      <c r="GQ357" s="2"/>
      <c r="GR357" s="2"/>
      <c r="GS357" s="2"/>
      <c r="GT357" s="2"/>
      <c r="GU357" s="2"/>
      <c r="GV357" s="2"/>
      <c r="GW357" s="2"/>
      <c r="GX357" s="2"/>
      <c r="GY357" s="2"/>
      <c r="GZ357" s="2"/>
      <c r="HA357" s="2"/>
      <c r="HB357" s="2"/>
      <c r="HC357" s="2"/>
      <c r="HD357" s="2"/>
      <c r="HE357" s="2"/>
      <c r="HF357" s="2"/>
      <c r="HG357" s="2"/>
      <c r="HH357" s="2"/>
      <c r="HI357" s="2"/>
      <c r="HJ357" s="2"/>
      <c r="HK357" s="2"/>
      <c r="HL357" s="2"/>
      <c r="HM357" s="2"/>
      <c r="HN357" s="2"/>
      <c r="HO357" s="2"/>
      <c r="HP357" s="2"/>
      <c r="HQ357" s="2"/>
      <c r="HR357" s="2"/>
      <c r="HS357" s="2"/>
      <c r="HT357" s="2"/>
      <c r="HU357" s="2"/>
      <c r="HV357" s="2"/>
      <c r="HW357" s="2"/>
      <c r="HX357" s="2"/>
      <c r="HY357" s="2"/>
      <c r="HZ357" s="2"/>
      <c r="IA357" s="2"/>
      <c r="IB357" s="2"/>
      <c r="IC357" s="2"/>
    </row>
    <row r="358" spans="1:237" x14ac:dyDescent="0.2">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c r="AA358" s="2"/>
      <c r="AB358" s="2"/>
      <c r="AC358" s="2"/>
      <c r="AD358" s="2"/>
      <c r="AE358" s="2"/>
      <c r="AF358" s="2"/>
      <c r="AG358" s="2"/>
      <c r="AH358" s="2"/>
      <c r="AI358" s="2"/>
      <c r="AJ358" s="2"/>
      <c r="AK358" s="2"/>
      <c r="AL358" s="2"/>
      <c r="AM358" s="2"/>
      <c r="AN358" s="2"/>
      <c r="AO358" s="2"/>
      <c r="AP358" s="2"/>
      <c r="AQ358" s="2"/>
      <c r="AR358" s="2"/>
      <c r="AS358" s="2"/>
      <c r="AT358" s="2"/>
      <c r="AU358" s="2"/>
      <c r="AV358" s="2"/>
      <c r="AW358" s="2"/>
      <c r="AX358" s="2"/>
      <c r="AY358" s="2"/>
      <c r="AZ358" s="2"/>
      <c r="BA358" s="2"/>
      <c r="BB358" s="2"/>
      <c r="BC358" s="2"/>
      <c r="BD358" s="2"/>
      <c r="BE358" s="2"/>
      <c r="BF358" s="2"/>
      <c r="BG358" s="2"/>
      <c r="BH358" s="2"/>
      <c r="BI358" s="2"/>
      <c r="BJ358" s="2"/>
      <c r="BK358" s="2"/>
      <c r="BL358" s="2"/>
      <c r="BM358" s="2"/>
      <c r="BN358" s="2"/>
      <c r="BO358" s="2"/>
      <c r="BP358" s="2"/>
      <c r="BQ358" s="2"/>
      <c r="BR358" s="2"/>
      <c r="BS358" s="2"/>
      <c r="BT358" s="2"/>
      <c r="BU358" s="2"/>
      <c r="BV358" s="2"/>
      <c r="BW358" s="2"/>
      <c r="BX358" s="2"/>
      <c r="BY358" s="2"/>
      <c r="BZ358" s="2"/>
      <c r="CA358" s="2"/>
      <c r="CB358" s="2"/>
      <c r="CC358" s="2"/>
      <c r="CD358" s="2"/>
      <c r="CE358" s="2"/>
      <c r="CF358" s="2"/>
      <c r="CG358" s="2"/>
      <c r="CH358" s="2"/>
      <c r="CI358" s="2"/>
      <c r="CJ358" s="2"/>
      <c r="CK358" s="2"/>
      <c r="CL358" s="2"/>
      <c r="CM358" s="2"/>
      <c r="CN358" s="2"/>
      <c r="CO358" s="2"/>
      <c r="CP358" s="2"/>
      <c r="CQ358" s="2"/>
      <c r="CR358" s="2"/>
      <c r="CS358" s="2"/>
      <c r="CT358" s="2"/>
      <c r="CU358" s="2"/>
      <c r="CV358" s="2"/>
      <c r="CW358" s="2"/>
      <c r="CX358" s="2"/>
      <c r="CY358" s="2"/>
      <c r="CZ358" s="2"/>
      <c r="DA358" s="2"/>
      <c r="DB358" s="2"/>
      <c r="DC358" s="2"/>
      <c r="DD358" s="2"/>
      <c r="DE358" s="2"/>
      <c r="DF358" s="2"/>
      <c r="DG358" s="2"/>
      <c r="DH358" s="2"/>
      <c r="DI358" s="2"/>
      <c r="DJ358" s="2"/>
      <c r="DK358" s="2"/>
      <c r="DL358" s="2"/>
      <c r="DM358" s="2"/>
      <c r="DN358" s="2"/>
      <c r="DO358" s="2"/>
      <c r="DP358" s="2"/>
      <c r="DQ358" s="2"/>
      <c r="DR358" s="2"/>
      <c r="DS358" s="2"/>
      <c r="DT358" s="2"/>
      <c r="DU358" s="2"/>
      <c r="DV358" s="2"/>
      <c r="DW358" s="2"/>
      <c r="DX358" s="2"/>
      <c r="DY358" s="2"/>
      <c r="DZ358" s="2"/>
      <c r="EA358" s="2"/>
      <c r="EB358" s="2"/>
      <c r="EC358" s="2"/>
      <c r="ED358" s="2"/>
      <c r="EE358" s="2"/>
      <c r="EF358" s="2"/>
      <c r="EG358" s="2"/>
      <c r="EH358" s="2"/>
      <c r="EI358" s="2"/>
      <c r="EJ358" s="2"/>
      <c r="EK358" s="2"/>
      <c r="EL358" s="2"/>
      <c r="EM358" s="2"/>
      <c r="EN358" s="2"/>
      <c r="EO358" s="2"/>
      <c r="EP358" s="2"/>
      <c r="EQ358" s="2"/>
      <c r="ER358" s="2"/>
      <c r="ES358" s="2"/>
      <c r="ET358" s="2"/>
      <c r="EU358" s="2"/>
      <c r="EV358" s="2"/>
      <c r="EW358" s="2"/>
      <c r="EX358" s="2"/>
      <c r="EY358" s="2"/>
      <c r="EZ358" s="2"/>
      <c r="FA358" s="2"/>
      <c r="FB358" s="2"/>
      <c r="FC358" s="2"/>
      <c r="FD358" s="2"/>
      <c r="FE358" s="2"/>
      <c r="FF358" s="2"/>
      <c r="FG358" s="2"/>
      <c r="FH358" s="2"/>
      <c r="FI358" s="2"/>
      <c r="FJ358" s="2"/>
      <c r="FK358" s="2"/>
      <c r="FL358" s="2"/>
      <c r="FM358" s="2"/>
      <c r="FN358" s="2"/>
      <c r="FO358" s="2"/>
      <c r="FP358" s="2"/>
      <c r="FQ358" s="2"/>
      <c r="FR358" s="2"/>
      <c r="FS358" s="2"/>
      <c r="FT358" s="2"/>
      <c r="FU358" s="2"/>
      <c r="FV358" s="2"/>
      <c r="FW358" s="2"/>
      <c r="FX358" s="2"/>
      <c r="FY358" s="2"/>
      <c r="FZ358" s="2"/>
      <c r="GA358" s="2"/>
      <c r="GB358" s="2"/>
      <c r="GC358" s="2"/>
      <c r="GD358" s="2"/>
      <c r="GE358" s="2"/>
      <c r="GF358" s="2"/>
      <c r="GG358" s="2"/>
      <c r="GH358" s="2"/>
      <c r="GI358" s="2"/>
      <c r="GJ358" s="2"/>
      <c r="GK358" s="2"/>
      <c r="GL358" s="2"/>
      <c r="GM358" s="2"/>
      <c r="GN358" s="2"/>
      <c r="GO358" s="2"/>
      <c r="GP358" s="2"/>
      <c r="GQ358" s="2"/>
      <c r="GR358" s="2"/>
      <c r="GS358" s="2"/>
      <c r="GT358" s="2"/>
      <c r="GU358" s="2"/>
      <c r="GV358" s="2"/>
      <c r="GW358" s="2"/>
      <c r="GX358" s="2"/>
      <c r="GY358" s="2"/>
      <c r="GZ358" s="2"/>
      <c r="HA358" s="2"/>
      <c r="HB358" s="2"/>
      <c r="HC358" s="2"/>
      <c r="HD358" s="2"/>
      <c r="HE358" s="2"/>
      <c r="HF358" s="2"/>
      <c r="HG358" s="2"/>
      <c r="HH358" s="2"/>
      <c r="HI358" s="2"/>
      <c r="HJ358" s="2"/>
      <c r="HK358" s="2"/>
      <c r="HL358" s="2"/>
      <c r="HM358" s="2"/>
      <c r="HN358" s="2"/>
      <c r="HO358" s="2"/>
      <c r="HP358" s="2"/>
      <c r="HQ358" s="2"/>
      <c r="HR358" s="2"/>
      <c r="HS358" s="2"/>
      <c r="HT358" s="2"/>
      <c r="HU358" s="2"/>
      <c r="HV358" s="2"/>
      <c r="HW358" s="2"/>
      <c r="HX358" s="2"/>
      <c r="HY358" s="2"/>
      <c r="HZ358" s="2"/>
      <c r="IA358" s="2"/>
      <c r="IB358" s="2"/>
      <c r="IC358" s="2"/>
    </row>
    <row r="359" spans="1:237" x14ac:dyDescent="0.2">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c r="AA359" s="2"/>
      <c r="AB359" s="2"/>
      <c r="AC359" s="2"/>
      <c r="AD359" s="2"/>
      <c r="AE359" s="2"/>
      <c r="AF359" s="2"/>
      <c r="AG359" s="2"/>
      <c r="AH359" s="2"/>
      <c r="AI359" s="2"/>
      <c r="AJ359" s="2"/>
      <c r="AK359" s="2"/>
      <c r="AL359" s="2"/>
      <c r="AM359" s="2"/>
      <c r="AN359" s="2"/>
      <c r="AO359" s="2"/>
      <c r="AP359" s="2"/>
      <c r="AQ359" s="2"/>
      <c r="AR359" s="2"/>
      <c r="AS359" s="2"/>
      <c r="AT359" s="2"/>
      <c r="AU359" s="2"/>
      <c r="AV359" s="2"/>
      <c r="AW359" s="2"/>
      <c r="AX359" s="2"/>
      <c r="AY359" s="2"/>
      <c r="AZ359" s="2"/>
      <c r="BA359" s="2"/>
      <c r="BB359" s="2"/>
      <c r="BC359" s="2"/>
      <c r="BD359" s="2"/>
      <c r="BE359" s="2"/>
      <c r="BF359" s="2"/>
      <c r="BG359" s="2"/>
      <c r="BH359" s="2"/>
      <c r="BI359" s="2"/>
      <c r="BJ359" s="2"/>
      <c r="BK359" s="2"/>
      <c r="BL359" s="2"/>
      <c r="BM359" s="2"/>
      <c r="BN359" s="2"/>
      <c r="BO359" s="2"/>
      <c r="BP359" s="2"/>
      <c r="BQ359" s="2"/>
      <c r="BR359" s="2"/>
      <c r="BS359" s="2"/>
      <c r="BT359" s="2"/>
      <c r="BU359" s="2"/>
      <c r="BV359" s="2"/>
      <c r="BW359" s="2"/>
      <c r="BX359" s="2"/>
      <c r="BY359" s="2"/>
      <c r="BZ359" s="2"/>
      <c r="CA359" s="2"/>
      <c r="CB359" s="2"/>
      <c r="CC359" s="2"/>
      <c r="CD359" s="2"/>
      <c r="CE359" s="2"/>
      <c r="CF359" s="2"/>
      <c r="CG359" s="2"/>
      <c r="CH359" s="2"/>
      <c r="CI359" s="2"/>
      <c r="CJ359" s="2"/>
      <c r="CK359" s="2"/>
      <c r="CL359" s="2"/>
      <c r="CM359" s="2"/>
      <c r="CN359" s="2"/>
      <c r="CO359" s="2"/>
      <c r="CP359" s="2"/>
      <c r="CQ359" s="2"/>
      <c r="CR359" s="2"/>
      <c r="CS359" s="2"/>
      <c r="CT359" s="2"/>
      <c r="CU359" s="2"/>
      <c r="CV359" s="2"/>
      <c r="CW359" s="2"/>
      <c r="CX359" s="2"/>
      <c r="CY359" s="2"/>
      <c r="CZ359" s="2"/>
      <c r="DA359" s="2"/>
      <c r="DB359" s="2"/>
      <c r="DC359" s="2"/>
      <c r="DD359" s="2"/>
      <c r="DE359" s="2"/>
      <c r="DF359" s="2"/>
      <c r="DG359" s="2"/>
      <c r="DH359" s="2"/>
      <c r="DI359" s="2"/>
      <c r="DJ359" s="2"/>
      <c r="DK359" s="2"/>
      <c r="DL359" s="2"/>
      <c r="DM359" s="2"/>
      <c r="DN359" s="2"/>
      <c r="DO359" s="2"/>
      <c r="DP359" s="2"/>
      <c r="DQ359" s="2"/>
      <c r="DR359" s="2"/>
      <c r="DS359" s="2"/>
      <c r="DT359" s="2"/>
      <c r="DU359" s="2"/>
      <c r="DV359" s="2"/>
      <c r="DW359" s="2"/>
      <c r="DX359" s="2"/>
      <c r="DY359" s="2"/>
      <c r="DZ359" s="2"/>
      <c r="EA359" s="2"/>
      <c r="EB359" s="2"/>
      <c r="EC359" s="2"/>
      <c r="ED359" s="2"/>
      <c r="EE359" s="2"/>
      <c r="EF359" s="2"/>
      <c r="EG359" s="2"/>
      <c r="EH359" s="2"/>
      <c r="EI359" s="2"/>
      <c r="EJ359" s="2"/>
      <c r="EK359" s="2"/>
      <c r="EL359" s="2"/>
      <c r="EM359" s="2"/>
      <c r="EN359" s="2"/>
      <c r="EO359" s="2"/>
      <c r="EP359" s="2"/>
      <c r="EQ359" s="2"/>
      <c r="ER359" s="2"/>
      <c r="ES359" s="2"/>
      <c r="ET359" s="2"/>
      <c r="EU359" s="2"/>
      <c r="EV359" s="2"/>
      <c r="EW359" s="2"/>
      <c r="EX359" s="2"/>
      <c r="EY359" s="2"/>
      <c r="EZ359" s="2"/>
      <c r="FA359" s="2"/>
      <c r="FB359" s="2"/>
      <c r="FC359" s="2"/>
      <c r="FD359" s="2"/>
      <c r="FE359" s="2"/>
      <c r="FF359" s="2"/>
      <c r="FG359" s="2"/>
      <c r="FH359" s="2"/>
      <c r="FI359" s="2"/>
      <c r="FJ359" s="2"/>
      <c r="FK359" s="2"/>
      <c r="FL359" s="2"/>
      <c r="FM359" s="2"/>
      <c r="FN359" s="2"/>
      <c r="FO359" s="2"/>
      <c r="FP359" s="2"/>
      <c r="FQ359" s="2"/>
      <c r="FR359" s="2"/>
      <c r="FS359" s="2"/>
      <c r="FT359" s="2"/>
      <c r="FU359" s="2"/>
      <c r="FV359" s="2"/>
      <c r="FW359" s="2"/>
      <c r="FX359" s="2"/>
      <c r="FY359" s="2"/>
      <c r="FZ359" s="2"/>
      <c r="GA359" s="2"/>
      <c r="GB359" s="2"/>
      <c r="GC359" s="2"/>
      <c r="GD359" s="2"/>
      <c r="GE359" s="2"/>
      <c r="GF359" s="2"/>
      <c r="GG359" s="2"/>
      <c r="GH359" s="2"/>
      <c r="GI359" s="2"/>
      <c r="GJ359" s="2"/>
      <c r="GK359" s="2"/>
      <c r="GL359" s="2"/>
      <c r="GM359" s="2"/>
      <c r="GN359" s="2"/>
      <c r="GO359" s="2"/>
      <c r="GP359" s="2"/>
      <c r="GQ359" s="2"/>
      <c r="GR359" s="2"/>
      <c r="GS359" s="2"/>
      <c r="GT359" s="2"/>
      <c r="GU359" s="2"/>
      <c r="GV359" s="2"/>
      <c r="GW359" s="2"/>
      <c r="GX359" s="2"/>
      <c r="GY359" s="2"/>
      <c r="GZ359" s="2"/>
      <c r="HA359" s="2"/>
      <c r="HB359" s="2"/>
      <c r="HC359" s="2"/>
      <c r="HD359" s="2"/>
      <c r="HE359" s="2"/>
      <c r="HF359" s="2"/>
      <c r="HG359" s="2"/>
      <c r="HH359" s="2"/>
      <c r="HI359" s="2"/>
      <c r="HJ359" s="2"/>
      <c r="HK359" s="2"/>
      <c r="HL359" s="2"/>
      <c r="HM359" s="2"/>
      <c r="HN359" s="2"/>
      <c r="HO359" s="2"/>
      <c r="HP359" s="2"/>
      <c r="HQ359" s="2"/>
      <c r="HR359" s="2"/>
      <c r="HS359" s="2"/>
      <c r="HT359" s="2"/>
      <c r="HU359" s="2"/>
      <c r="HV359" s="2"/>
      <c r="HW359" s="2"/>
      <c r="HX359" s="2"/>
      <c r="HY359" s="2"/>
      <c r="HZ359" s="2"/>
      <c r="IA359" s="2"/>
      <c r="IB359" s="2"/>
      <c r="IC359" s="2"/>
    </row>
    <row r="360" spans="1:237" x14ac:dyDescent="0.2">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c r="AA360" s="2"/>
      <c r="AB360" s="2"/>
      <c r="AC360" s="2"/>
      <c r="AD360" s="2"/>
      <c r="AE360" s="2"/>
      <c r="AF360" s="2"/>
      <c r="AG360" s="2"/>
      <c r="AH360" s="2"/>
      <c r="AI360" s="2"/>
      <c r="AJ360" s="2"/>
      <c r="AK360" s="2"/>
      <c r="AL360" s="2"/>
      <c r="AM360" s="2"/>
      <c r="AN360" s="2"/>
      <c r="AO360" s="2"/>
      <c r="AP360" s="2"/>
      <c r="AQ360" s="2"/>
      <c r="AR360" s="2"/>
      <c r="AS360" s="2"/>
      <c r="AT360" s="2"/>
      <c r="AU360" s="2"/>
      <c r="AV360" s="2"/>
      <c r="AW360" s="2"/>
      <c r="AX360" s="2"/>
      <c r="AY360" s="2"/>
      <c r="AZ360" s="2"/>
      <c r="BA360" s="2"/>
      <c r="BB360" s="2"/>
      <c r="BC360" s="2"/>
      <c r="BD360" s="2"/>
      <c r="BE360" s="2"/>
      <c r="BF360" s="2"/>
      <c r="BG360" s="2"/>
      <c r="BH360" s="2"/>
      <c r="BI360" s="2"/>
      <c r="BJ360" s="2"/>
      <c r="BK360" s="2"/>
      <c r="BL360" s="2"/>
      <c r="BM360" s="2"/>
      <c r="BN360" s="2"/>
      <c r="BO360" s="2"/>
      <c r="BP360" s="2"/>
      <c r="BQ360" s="2"/>
      <c r="BR360" s="2"/>
      <c r="BS360" s="2"/>
      <c r="BT360" s="2"/>
      <c r="BU360" s="2"/>
      <c r="BV360" s="2"/>
      <c r="BW360" s="2"/>
      <c r="BX360" s="2"/>
      <c r="BY360" s="2"/>
      <c r="BZ360" s="2"/>
      <c r="CA360" s="2"/>
      <c r="CB360" s="2"/>
      <c r="CC360" s="2"/>
      <c r="CD360" s="2"/>
      <c r="CE360" s="2"/>
      <c r="CF360" s="2"/>
      <c r="CG360" s="2"/>
      <c r="CH360" s="2"/>
      <c r="CI360" s="2"/>
      <c r="CJ360" s="2"/>
      <c r="CK360" s="2"/>
      <c r="CL360" s="2"/>
      <c r="CM360" s="2"/>
      <c r="CN360" s="2"/>
      <c r="CO360" s="2"/>
      <c r="CP360" s="2"/>
      <c r="CQ360" s="2"/>
      <c r="CR360" s="2"/>
      <c r="CS360" s="2"/>
      <c r="CT360" s="2"/>
      <c r="CU360" s="2"/>
      <c r="CV360" s="2"/>
      <c r="CW360" s="2"/>
      <c r="CX360" s="2"/>
      <c r="CY360" s="2"/>
      <c r="CZ360" s="2"/>
      <c r="DA360" s="2"/>
      <c r="DB360" s="2"/>
      <c r="DC360" s="2"/>
      <c r="DD360" s="2"/>
      <c r="DE360" s="2"/>
      <c r="DF360" s="2"/>
      <c r="DG360" s="2"/>
      <c r="DH360" s="2"/>
      <c r="DI360" s="2"/>
      <c r="DJ360" s="2"/>
      <c r="DK360" s="2"/>
      <c r="DL360" s="2"/>
      <c r="DM360" s="2"/>
      <c r="DN360" s="2"/>
      <c r="DO360" s="2"/>
      <c r="DP360" s="2"/>
      <c r="DQ360" s="2"/>
      <c r="DR360" s="2"/>
      <c r="DS360" s="2"/>
      <c r="DT360" s="2"/>
      <c r="DU360" s="2"/>
      <c r="DV360" s="2"/>
      <c r="DW360" s="2"/>
      <c r="DX360" s="2"/>
      <c r="DY360" s="2"/>
      <c r="DZ360" s="2"/>
      <c r="EA360" s="2"/>
      <c r="EB360" s="2"/>
      <c r="EC360" s="2"/>
      <c r="ED360" s="2"/>
      <c r="EE360" s="2"/>
      <c r="EF360" s="2"/>
      <c r="EG360" s="2"/>
      <c r="EH360" s="2"/>
      <c r="EI360" s="2"/>
      <c r="EJ360" s="2"/>
      <c r="EK360" s="2"/>
      <c r="EL360" s="2"/>
      <c r="EM360" s="2"/>
      <c r="EN360" s="2"/>
      <c r="EO360" s="2"/>
      <c r="EP360" s="2"/>
      <c r="EQ360" s="2"/>
      <c r="ER360" s="2"/>
      <c r="ES360" s="2"/>
      <c r="ET360" s="2"/>
      <c r="EU360" s="2"/>
      <c r="EV360" s="2"/>
      <c r="EW360" s="2"/>
      <c r="EX360" s="2"/>
      <c r="EY360" s="2"/>
      <c r="EZ360" s="2"/>
      <c r="FA360" s="2"/>
      <c r="FB360" s="2"/>
      <c r="FC360" s="2"/>
      <c r="FD360" s="2"/>
      <c r="FE360" s="2"/>
      <c r="FF360" s="2"/>
      <c r="FG360" s="2"/>
      <c r="FH360" s="2"/>
      <c r="FI360" s="2"/>
      <c r="FJ360" s="2"/>
      <c r="FK360" s="2"/>
      <c r="FL360" s="2"/>
      <c r="FM360" s="2"/>
      <c r="FN360" s="2"/>
      <c r="FO360" s="2"/>
      <c r="FP360" s="2"/>
      <c r="FQ360" s="2"/>
      <c r="FR360" s="2"/>
      <c r="FS360" s="2"/>
      <c r="FT360" s="2"/>
      <c r="FU360" s="2"/>
      <c r="FV360" s="2"/>
      <c r="FW360" s="2"/>
      <c r="FX360" s="2"/>
      <c r="FY360" s="2"/>
      <c r="FZ360" s="2"/>
      <c r="GA360" s="2"/>
      <c r="GB360" s="2"/>
      <c r="GC360" s="2"/>
      <c r="GD360" s="2"/>
      <c r="GE360" s="2"/>
      <c r="GF360" s="2"/>
      <c r="GG360" s="2"/>
      <c r="GH360" s="2"/>
      <c r="GI360" s="2"/>
      <c r="GJ360" s="2"/>
      <c r="GK360" s="2"/>
      <c r="GL360" s="2"/>
      <c r="GM360" s="2"/>
      <c r="GN360" s="2"/>
      <c r="GO360" s="2"/>
      <c r="GP360" s="2"/>
      <c r="GQ360" s="2"/>
      <c r="GR360" s="2"/>
      <c r="GS360" s="2"/>
      <c r="GT360" s="2"/>
      <c r="GU360" s="2"/>
      <c r="GV360" s="2"/>
      <c r="GW360" s="2"/>
      <c r="GX360" s="2"/>
      <c r="GY360" s="2"/>
      <c r="GZ360" s="2"/>
      <c r="HA360" s="2"/>
      <c r="HB360" s="2"/>
      <c r="HC360" s="2"/>
      <c r="HD360" s="2"/>
      <c r="HE360" s="2"/>
      <c r="HF360" s="2"/>
      <c r="HG360" s="2"/>
      <c r="HH360" s="2"/>
      <c r="HI360" s="2"/>
      <c r="HJ360" s="2"/>
      <c r="HK360" s="2"/>
      <c r="HL360" s="2"/>
      <c r="HM360" s="2"/>
      <c r="HN360" s="2"/>
      <c r="HO360" s="2"/>
      <c r="HP360" s="2"/>
      <c r="HQ360" s="2"/>
      <c r="HR360" s="2"/>
      <c r="HS360" s="2"/>
      <c r="HT360" s="2"/>
      <c r="HU360" s="2"/>
      <c r="HV360" s="2"/>
      <c r="HW360" s="2"/>
      <c r="HX360" s="2"/>
      <c r="HY360" s="2"/>
      <c r="HZ360" s="2"/>
      <c r="IA360" s="2"/>
      <c r="IB360" s="2"/>
      <c r="IC360" s="2"/>
    </row>
    <row r="361" spans="1:237" x14ac:dyDescent="0.2">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c r="AA361" s="2"/>
      <c r="AB361" s="2"/>
      <c r="AC361" s="2"/>
      <c r="AD361" s="2"/>
      <c r="AE361" s="2"/>
      <c r="AF361" s="2"/>
      <c r="AG361" s="2"/>
      <c r="AH361" s="2"/>
      <c r="AI361" s="2"/>
      <c r="AJ361" s="2"/>
      <c r="AK361" s="2"/>
      <c r="AL361" s="2"/>
      <c r="AM361" s="2"/>
      <c r="AN361" s="2"/>
      <c r="AO361" s="2"/>
      <c r="AP361" s="2"/>
      <c r="AQ361" s="2"/>
      <c r="AR361" s="2"/>
      <c r="AS361" s="2"/>
      <c r="AT361" s="2"/>
      <c r="AU361" s="2"/>
      <c r="AV361" s="2"/>
      <c r="AW361" s="2"/>
      <c r="AX361" s="2"/>
      <c r="AY361" s="2"/>
      <c r="AZ361" s="2"/>
      <c r="BA361" s="2"/>
      <c r="BB361" s="2"/>
      <c r="BC361" s="2"/>
      <c r="BD361" s="2"/>
      <c r="BE361" s="2"/>
      <c r="BF361" s="2"/>
      <c r="BG361" s="2"/>
      <c r="BH361" s="2"/>
      <c r="BI361" s="2"/>
      <c r="BJ361" s="2"/>
      <c r="BK361" s="2"/>
      <c r="BL361" s="2"/>
      <c r="BM361" s="2"/>
      <c r="BN361" s="2"/>
      <c r="BO361" s="2"/>
      <c r="BP361" s="2"/>
      <c r="BQ361" s="2"/>
      <c r="BR361" s="2"/>
      <c r="BS361" s="2"/>
      <c r="BT361" s="2"/>
      <c r="BU361" s="2"/>
      <c r="BV361" s="2"/>
      <c r="BW361" s="2"/>
      <c r="BX361" s="2"/>
      <c r="BY361" s="2"/>
      <c r="BZ361" s="2"/>
      <c r="CA361" s="2"/>
      <c r="CB361" s="2"/>
      <c r="CC361" s="2"/>
      <c r="CD361" s="2"/>
      <c r="CE361" s="2"/>
      <c r="CF361" s="2"/>
      <c r="CG361" s="2"/>
      <c r="CH361" s="2"/>
      <c r="CI361" s="2"/>
      <c r="CJ361" s="2"/>
      <c r="CK361" s="2"/>
      <c r="CL361" s="2"/>
      <c r="CM361" s="2"/>
      <c r="CN361" s="2"/>
      <c r="CO361" s="2"/>
      <c r="CP361" s="2"/>
      <c r="CQ361" s="2"/>
      <c r="CR361" s="2"/>
      <c r="CS361" s="2"/>
      <c r="CT361" s="2"/>
      <c r="CU361" s="2"/>
      <c r="CV361" s="2"/>
      <c r="CW361" s="2"/>
      <c r="CX361" s="2"/>
      <c r="CY361" s="2"/>
      <c r="CZ361" s="2"/>
      <c r="DA361" s="2"/>
      <c r="DB361" s="2"/>
      <c r="DC361" s="2"/>
      <c r="DD361" s="2"/>
      <c r="DE361" s="2"/>
      <c r="DF361" s="2"/>
      <c r="DG361" s="2"/>
      <c r="DH361" s="2"/>
      <c r="DI361" s="2"/>
      <c r="DJ361" s="2"/>
      <c r="DK361" s="2"/>
      <c r="DL361" s="2"/>
      <c r="DM361" s="2"/>
      <c r="DN361" s="2"/>
      <c r="DO361" s="2"/>
      <c r="DP361" s="2"/>
      <c r="DQ361" s="2"/>
      <c r="DR361" s="2"/>
      <c r="DS361" s="2"/>
      <c r="DT361" s="2"/>
      <c r="DU361" s="2"/>
      <c r="DV361" s="2"/>
      <c r="DW361" s="2"/>
      <c r="DX361" s="2"/>
      <c r="DY361" s="2"/>
      <c r="DZ361" s="2"/>
      <c r="EA361" s="2"/>
      <c r="EB361" s="2"/>
      <c r="EC361" s="2"/>
      <c r="ED361" s="2"/>
      <c r="EE361" s="2"/>
      <c r="EF361" s="2"/>
      <c r="EG361" s="2"/>
      <c r="EH361" s="2"/>
      <c r="EI361" s="2"/>
      <c r="EJ361" s="2"/>
      <c r="EK361" s="2"/>
      <c r="EL361" s="2"/>
      <c r="EM361" s="2"/>
      <c r="EN361" s="2"/>
      <c r="EO361" s="2"/>
      <c r="EP361" s="2"/>
      <c r="EQ361" s="2"/>
      <c r="ER361" s="2"/>
      <c r="ES361" s="2"/>
      <c r="ET361" s="2"/>
      <c r="EU361" s="2"/>
      <c r="EV361" s="2"/>
      <c r="EW361" s="2"/>
      <c r="EX361" s="2"/>
      <c r="EY361" s="2"/>
      <c r="EZ361" s="2"/>
      <c r="FA361" s="2"/>
      <c r="FB361" s="2"/>
      <c r="FC361" s="2"/>
      <c r="FD361" s="2"/>
      <c r="FE361" s="2"/>
      <c r="FF361" s="2"/>
      <c r="FG361" s="2"/>
      <c r="FH361" s="2"/>
      <c r="FI361" s="2"/>
      <c r="FJ361" s="2"/>
      <c r="FK361" s="2"/>
      <c r="FL361" s="2"/>
      <c r="FM361" s="2"/>
      <c r="FN361" s="2"/>
      <c r="FO361" s="2"/>
      <c r="FP361" s="2"/>
      <c r="FQ361" s="2"/>
      <c r="FR361" s="2"/>
      <c r="FS361" s="2"/>
      <c r="FT361" s="2"/>
      <c r="FU361" s="2"/>
      <c r="FV361" s="2"/>
      <c r="FW361" s="2"/>
      <c r="FX361" s="2"/>
      <c r="FY361" s="2"/>
      <c r="FZ361" s="2"/>
      <c r="GA361" s="2"/>
      <c r="GB361" s="2"/>
      <c r="GC361" s="2"/>
      <c r="GD361" s="2"/>
      <c r="GE361" s="2"/>
      <c r="GF361" s="2"/>
      <c r="GG361" s="2"/>
      <c r="GH361" s="2"/>
      <c r="GI361" s="2"/>
      <c r="GJ361" s="2"/>
      <c r="GK361" s="2"/>
      <c r="GL361" s="2"/>
      <c r="GM361" s="2"/>
      <c r="GN361" s="2"/>
      <c r="GO361" s="2"/>
      <c r="GP361" s="2"/>
      <c r="GQ361" s="2"/>
      <c r="GR361" s="2"/>
      <c r="GS361" s="2"/>
      <c r="GT361" s="2"/>
      <c r="GU361" s="2"/>
      <c r="GV361" s="2"/>
      <c r="GW361" s="2"/>
      <c r="GX361" s="2"/>
      <c r="GY361" s="2"/>
      <c r="GZ361" s="2"/>
      <c r="HA361" s="2"/>
      <c r="HB361" s="2"/>
      <c r="HC361" s="2"/>
      <c r="HD361" s="2"/>
      <c r="HE361" s="2"/>
      <c r="HF361" s="2"/>
      <c r="HG361" s="2"/>
      <c r="HH361" s="2"/>
      <c r="HI361" s="2"/>
      <c r="HJ361" s="2"/>
      <c r="HK361" s="2"/>
      <c r="HL361" s="2"/>
      <c r="HM361" s="2"/>
      <c r="HN361" s="2"/>
      <c r="HO361" s="2"/>
      <c r="HP361" s="2"/>
      <c r="HQ361" s="2"/>
      <c r="HR361" s="2"/>
      <c r="HS361" s="2"/>
      <c r="HT361" s="2"/>
      <c r="HU361" s="2"/>
      <c r="HV361" s="2"/>
      <c r="HW361" s="2"/>
      <c r="HX361" s="2"/>
      <c r="HY361" s="2"/>
      <c r="HZ361" s="2"/>
      <c r="IA361" s="2"/>
      <c r="IB361" s="2"/>
      <c r="IC361" s="2"/>
    </row>
    <row r="362" spans="1:237" x14ac:dyDescent="0.2">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c r="AA362" s="2"/>
      <c r="AB362" s="2"/>
      <c r="AC362" s="2"/>
      <c r="AD362" s="2"/>
      <c r="AE362" s="2"/>
      <c r="AF362" s="2"/>
      <c r="AG362" s="2"/>
      <c r="AH362" s="2"/>
      <c r="AI362" s="2"/>
      <c r="AJ362" s="2"/>
      <c r="AK362" s="2"/>
      <c r="AL362" s="2"/>
      <c r="AM362" s="2"/>
      <c r="AN362" s="2"/>
      <c r="AO362" s="2"/>
      <c r="AP362" s="2"/>
      <c r="AQ362" s="2"/>
      <c r="AR362" s="2"/>
      <c r="AS362" s="2"/>
      <c r="AT362" s="2"/>
      <c r="AU362" s="2"/>
      <c r="AV362" s="2"/>
      <c r="AW362" s="2"/>
      <c r="AX362" s="2"/>
      <c r="AY362" s="2"/>
      <c r="AZ362" s="2"/>
      <c r="BA362" s="2"/>
      <c r="BB362" s="2"/>
      <c r="BC362" s="2"/>
      <c r="BD362" s="2"/>
      <c r="BE362" s="2"/>
      <c r="BF362" s="2"/>
      <c r="BG362" s="2"/>
      <c r="BH362" s="2"/>
      <c r="BI362" s="2"/>
      <c r="BJ362" s="2"/>
      <c r="BK362" s="2"/>
      <c r="BL362" s="2"/>
      <c r="BM362" s="2"/>
      <c r="BN362" s="2"/>
      <c r="BO362" s="2"/>
      <c r="BP362" s="2"/>
      <c r="BQ362" s="2"/>
      <c r="BR362" s="2"/>
      <c r="BS362" s="2"/>
      <c r="BT362" s="2"/>
      <c r="BU362" s="2"/>
      <c r="BV362" s="2"/>
      <c r="BW362" s="2"/>
      <c r="BX362" s="2"/>
      <c r="BY362" s="2"/>
      <c r="BZ362" s="2"/>
      <c r="CA362" s="2"/>
      <c r="CB362" s="2"/>
      <c r="CC362" s="2"/>
      <c r="CD362" s="2"/>
      <c r="CE362" s="2"/>
      <c r="CF362" s="2"/>
      <c r="CG362" s="2"/>
      <c r="CH362" s="2"/>
      <c r="CI362" s="2"/>
      <c r="CJ362" s="2"/>
      <c r="CK362" s="2"/>
      <c r="CL362" s="2"/>
      <c r="CM362" s="2"/>
      <c r="CN362" s="2"/>
      <c r="CO362" s="2"/>
      <c r="CP362" s="2"/>
      <c r="CQ362" s="2"/>
      <c r="CR362" s="2"/>
      <c r="CS362" s="2"/>
      <c r="CT362" s="2"/>
      <c r="CU362" s="2"/>
      <c r="CV362" s="2"/>
      <c r="CW362" s="2"/>
      <c r="CX362" s="2"/>
      <c r="CY362" s="2"/>
      <c r="CZ362" s="2"/>
      <c r="DA362" s="2"/>
      <c r="DB362" s="2"/>
      <c r="DC362" s="2"/>
      <c r="DD362" s="2"/>
      <c r="DE362" s="2"/>
      <c r="DF362" s="2"/>
      <c r="DG362" s="2"/>
      <c r="DH362" s="2"/>
      <c r="DI362" s="2"/>
      <c r="DJ362" s="2"/>
      <c r="DK362" s="2"/>
      <c r="DL362" s="2"/>
      <c r="DM362" s="2"/>
      <c r="DN362" s="2"/>
      <c r="DO362" s="2"/>
      <c r="DP362" s="2"/>
      <c r="DQ362" s="2"/>
      <c r="DR362" s="2"/>
      <c r="DS362" s="2"/>
      <c r="DT362" s="2"/>
      <c r="DU362" s="2"/>
      <c r="DV362" s="2"/>
      <c r="DW362" s="2"/>
      <c r="DX362" s="2"/>
      <c r="DY362" s="2"/>
      <c r="DZ362" s="2"/>
      <c r="EA362" s="2"/>
      <c r="EB362" s="2"/>
      <c r="EC362" s="2"/>
      <c r="ED362" s="2"/>
      <c r="EE362" s="2"/>
      <c r="EF362" s="2"/>
      <c r="EG362" s="2"/>
      <c r="EH362" s="2"/>
      <c r="EI362" s="2"/>
      <c r="EJ362" s="2"/>
      <c r="EK362" s="2"/>
      <c r="EL362" s="2"/>
      <c r="EM362" s="2"/>
      <c r="EN362" s="2"/>
      <c r="EO362" s="2"/>
      <c r="EP362" s="2"/>
      <c r="EQ362" s="2"/>
      <c r="ER362" s="2"/>
      <c r="ES362" s="2"/>
      <c r="ET362" s="2"/>
      <c r="EU362" s="2"/>
      <c r="EV362" s="2"/>
      <c r="EW362" s="2"/>
      <c r="EX362" s="2"/>
      <c r="EY362" s="2"/>
      <c r="EZ362" s="2"/>
      <c r="FA362" s="2"/>
      <c r="FB362" s="2"/>
      <c r="FC362" s="2"/>
      <c r="FD362" s="2"/>
      <c r="FE362" s="2"/>
      <c r="FF362" s="2"/>
      <c r="FG362" s="2"/>
      <c r="FH362" s="2"/>
      <c r="FI362" s="2"/>
      <c r="FJ362" s="2"/>
      <c r="FK362" s="2"/>
      <c r="FL362" s="2"/>
      <c r="FM362" s="2"/>
      <c r="FN362" s="2"/>
      <c r="FO362" s="2"/>
      <c r="FP362" s="2"/>
      <c r="FQ362" s="2"/>
      <c r="FR362" s="2"/>
      <c r="FS362" s="2"/>
      <c r="FT362" s="2"/>
      <c r="FU362" s="2"/>
      <c r="FV362" s="2"/>
      <c r="FW362" s="2"/>
      <c r="FX362" s="2"/>
      <c r="FY362" s="2"/>
      <c r="FZ362" s="2"/>
      <c r="GA362" s="2"/>
      <c r="GB362" s="2"/>
      <c r="GC362" s="2"/>
      <c r="GD362" s="2"/>
      <c r="GE362" s="2"/>
      <c r="GF362" s="2"/>
      <c r="GG362" s="2"/>
      <c r="GH362" s="2"/>
      <c r="GI362" s="2"/>
      <c r="GJ362" s="2"/>
      <c r="GK362" s="2"/>
      <c r="GL362" s="2"/>
      <c r="GM362" s="2"/>
      <c r="GN362" s="2"/>
      <c r="GO362" s="2"/>
      <c r="GP362" s="2"/>
      <c r="GQ362" s="2"/>
      <c r="GR362" s="2"/>
      <c r="GS362" s="2"/>
      <c r="GT362" s="2"/>
      <c r="GU362" s="2"/>
      <c r="GV362" s="2"/>
      <c r="GW362" s="2"/>
      <c r="GX362" s="2"/>
      <c r="GY362" s="2"/>
      <c r="GZ362" s="2"/>
      <c r="HA362" s="2"/>
      <c r="HB362" s="2"/>
      <c r="HC362" s="2"/>
      <c r="HD362" s="2"/>
      <c r="HE362" s="2"/>
      <c r="HF362" s="2"/>
      <c r="HG362" s="2"/>
      <c r="HH362" s="2"/>
      <c r="HI362" s="2"/>
      <c r="HJ362" s="2"/>
      <c r="HK362" s="2"/>
      <c r="HL362" s="2"/>
      <c r="HM362" s="2"/>
      <c r="HN362" s="2"/>
      <c r="HO362" s="2"/>
      <c r="HP362" s="2"/>
      <c r="HQ362" s="2"/>
      <c r="HR362" s="2"/>
      <c r="HS362" s="2"/>
      <c r="HT362" s="2"/>
      <c r="HU362" s="2"/>
      <c r="HV362" s="2"/>
      <c r="HW362" s="2"/>
      <c r="HX362" s="2"/>
      <c r="HY362" s="2"/>
      <c r="HZ362" s="2"/>
      <c r="IA362" s="2"/>
      <c r="IB362" s="2"/>
      <c r="IC362" s="2"/>
    </row>
    <row r="363" spans="1:237" x14ac:dyDescent="0.2">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c r="AA363" s="2"/>
      <c r="AB363" s="2"/>
      <c r="AC363" s="2"/>
      <c r="AD363" s="2"/>
      <c r="AE363" s="2"/>
      <c r="AF363" s="2"/>
      <c r="AG363" s="2"/>
      <c r="AH363" s="2"/>
      <c r="AI363" s="2"/>
      <c r="AJ363" s="2"/>
      <c r="AK363" s="2"/>
      <c r="AL363" s="2"/>
      <c r="AM363" s="2"/>
      <c r="AN363" s="2"/>
      <c r="AO363" s="2"/>
      <c r="AP363" s="2"/>
      <c r="AQ363" s="2"/>
      <c r="AR363" s="2"/>
      <c r="AS363" s="2"/>
      <c r="AT363" s="2"/>
      <c r="AU363" s="2"/>
      <c r="AV363" s="2"/>
      <c r="AW363" s="2"/>
      <c r="AX363" s="2"/>
      <c r="AY363" s="2"/>
      <c r="AZ363" s="2"/>
      <c r="BA363" s="2"/>
      <c r="BB363" s="2"/>
      <c r="BC363" s="2"/>
      <c r="BD363" s="2"/>
      <c r="BE363" s="2"/>
      <c r="BF363" s="2"/>
      <c r="BG363" s="2"/>
      <c r="BH363" s="2"/>
      <c r="BI363" s="2"/>
      <c r="BJ363" s="2"/>
      <c r="BK363" s="2"/>
      <c r="BL363" s="2"/>
      <c r="BM363" s="2"/>
      <c r="BN363" s="2"/>
      <c r="BO363" s="2"/>
      <c r="BP363" s="2"/>
      <c r="BQ363" s="2"/>
      <c r="BR363" s="2"/>
      <c r="BS363" s="2"/>
      <c r="BT363" s="2"/>
      <c r="BU363" s="2"/>
      <c r="BV363" s="2"/>
      <c r="BW363" s="2"/>
      <c r="BX363" s="2"/>
      <c r="BY363" s="2"/>
      <c r="BZ363" s="2"/>
      <c r="CA363" s="2"/>
      <c r="CB363" s="2"/>
      <c r="CC363" s="2"/>
      <c r="CD363" s="2"/>
      <c r="CE363" s="2"/>
      <c r="CF363" s="2"/>
      <c r="CG363" s="2"/>
      <c r="CH363" s="2"/>
      <c r="CI363" s="2"/>
      <c r="CJ363" s="2"/>
      <c r="CK363" s="2"/>
      <c r="CL363" s="2"/>
      <c r="CM363" s="2"/>
      <c r="CN363" s="2"/>
      <c r="CO363" s="2"/>
      <c r="CP363" s="2"/>
      <c r="CQ363" s="2"/>
      <c r="CR363" s="2"/>
      <c r="CS363" s="2"/>
      <c r="CT363" s="2"/>
      <c r="CU363" s="2"/>
      <c r="CV363" s="2"/>
      <c r="CW363" s="2"/>
      <c r="CX363" s="2"/>
      <c r="CY363" s="2"/>
      <c r="CZ363" s="2"/>
      <c r="DA363" s="2"/>
      <c r="DB363" s="2"/>
      <c r="DC363" s="2"/>
      <c r="DD363" s="2"/>
      <c r="DE363" s="2"/>
      <c r="DF363" s="2"/>
      <c r="DG363" s="2"/>
      <c r="DH363" s="2"/>
      <c r="DI363" s="2"/>
      <c r="DJ363" s="2"/>
      <c r="DK363" s="2"/>
      <c r="DL363" s="2"/>
      <c r="DM363" s="2"/>
      <c r="DN363" s="2"/>
      <c r="DO363" s="2"/>
      <c r="DP363" s="2"/>
      <c r="DQ363" s="2"/>
      <c r="DR363" s="2"/>
      <c r="DS363" s="2"/>
      <c r="DT363" s="2"/>
      <c r="DU363" s="2"/>
      <c r="DV363" s="2"/>
      <c r="DW363" s="2"/>
      <c r="DX363" s="2"/>
      <c r="DY363" s="2"/>
      <c r="DZ363" s="2"/>
      <c r="EA363" s="2"/>
      <c r="EB363" s="2"/>
      <c r="EC363" s="2"/>
      <c r="ED363" s="2"/>
      <c r="EE363" s="2"/>
      <c r="EF363" s="2"/>
      <c r="EG363" s="2"/>
      <c r="EH363" s="2"/>
      <c r="EI363" s="2"/>
      <c r="EJ363" s="2"/>
      <c r="EK363" s="2"/>
      <c r="EL363" s="2"/>
      <c r="EM363" s="2"/>
      <c r="EN363" s="2"/>
      <c r="EO363" s="2"/>
      <c r="EP363" s="2"/>
      <c r="EQ363" s="2"/>
      <c r="ER363" s="2"/>
      <c r="ES363" s="2"/>
      <c r="ET363" s="2"/>
      <c r="EU363" s="2"/>
      <c r="EV363" s="2"/>
      <c r="EW363" s="2"/>
      <c r="EX363" s="2"/>
      <c r="EY363" s="2"/>
      <c r="EZ363" s="2"/>
      <c r="FA363" s="2"/>
      <c r="FB363" s="2"/>
      <c r="FC363" s="2"/>
      <c r="FD363" s="2"/>
      <c r="FE363" s="2"/>
      <c r="FF363" s="2"/>
      <c r="FG363" s="2"/>
      <c r="FH363" s="2"/>
      <c r="FI363" s="2"/>
      <c r="FJ363" s="2"/>
      <c r="FK363" s="2"/>
      <c r="FL363" s="2"/>
      <c r="FM363" s="2"/>
      <c r="FN363" s="2"/>
      <c r="FO363" s="2"/>
      <c r="FP363" s="2"/>
      <c r="FQ363" s="2"/>
      <c r="FR363" s="2"/>
      <c r="FS363" s="2"/>
      <c r="FT363" s="2"/>
      <c r="FU363" s="2"/>
      <c r="FV363" s="2"/>
      <c r="FW363" s="2"/>
      <c r="FX363" s="2"/>
      <c r="FY363" s="2"/>
      <c r="FZ363" s="2"/>
      <c r="GA363" s="2"/>
      <c r="GB363" s="2"/>
      <c r="GC363" s="2"/>
      <c r="GD363" s="2"/>
      <c r="GE363" s="2"/>
      <c r="GF363" s="2"/>
      <c r="GG363" s="2"/>
      <c r="GH363" s="2"/>
      <c r="GI363" s="2"/>
      <c r="GJ363" s="2"/>
      <c r="GK363" s="2"/>
      <c r="GL363" s="2"/>
      <c r="GM363" s="2"/>
      <c r="GN363" s="2"/>
      <c r="GO363" s="2"/>
      <c r="GP363" s="2"/>
      <c r="GQ363" s="2"/>
      <c r="GR363" s="2"/>
      <c r="GS363" s="2"/>
      <c r="GT363" s="2"/>
      <c r="GU363" s="2"/>
      <c r="GV363" s="2"/>
      <c r="GW363" s="2"/>
      <c r="GX363" s="2"/>
      <c r="GY363" s="2"/>
      <c r="GZ363" s="2"/>
      <c r="HA363" s="2"/>
      <c r="HB363" s="2"/>
      <c r="HC363" s="2"/>
      <c r="HD363" s="2"/>
      <c r="HE363" s="2"/>
      <c r="HF363" s="2"/>
      <c r="HG363" s="2"/>
      <c r="HH363" s="2"/>
      <c r="HI363" s="2"/>
      <c r="HJ363" s="2"/>
      <c r="HK363" s="2"/>
      <c r="HL363" s="2"/>
      <c r="HM363" s="2"/>
      <c r="HN363" s="2"/>
      <c r="HO363" s="2"/>
      <c r="HP363" s="2"/>
      <c r="HQ363" s="2"/>
      <c r="HR363" s="2"/>
      <c r="HS363" s="2"/>
      <c r="HT363" s="2"/>
      <c r="HU363" s="2"/>
      <c r="HV363" s="2"/>
      <c r="HW363" s="2"/>
      <c r="HX363" s="2"/>
      <c r="HY363" s="2"/>
      <c r="HZ363" s="2"/>
      <c r="IA363" s="2"/>
      <c r="IB363" s="2"/>
      <c r="IC363" s="2"/>
    </row>
    <row r="364" spans="1:237" x14ac:dyDescent="0.2">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c r="AA364" s="2"/>
      <c r="AB364" s="2"/>
      <c r="AC364" s="2"/>
      <c r="AD364" s="2"/>
      <c r="AE364" s="2"/>
      <c r="AF364" s="2"/>
      <c r="AG364" s="2"/>
      <c r="AH364" s="2"/>
      <c r="AI364" s="2"/>
      <c r="AJ364" s="2"/>
      <c r="AK364" s="2"/>
      <c r="AL364" s="2"/>
      <c r="AM364" s="2"/>
      <c r="AN364" s="2"/>
      <c r="AO364" s="2"/>
      <c r="AP364" s="2"/>
      <c r="AQ364" s="2"/>
      <c r="AR364" s="2"/>
      <c r="AS364" s="2"/>
      <c r="AT364" s="2"/>
      <c r="AU364" s="2"/>
      <c r="AV364" s="2"/>
      <c r="AW364" s="2"/>
      <c r="AX364" s="2"/>
      <c r="AY364" s="2"/>
      <c r="AZ364" s="2"/>
      <c r="BA364" s="2"/>
      <c r="BB364" s="2"/>
      <c r="BC364" s="2"/>
      <c r="BD364" s="2"/>
      <c r="BE364" s="2"/>
      <c r="BF364" s="2"/>
      <c r="BG364" s="2"/>
      <c r="BH364" s="2"/>
      <c r="BI364" s="2"/>
      <c r="BJ364" s="2"/>
      <c r="BK364" s="2"/>
      <c r="BL364" s="2"/>
      <c r="BM364" s="2"/>
      <c r="BN364" s="2"/>
      <c r="BO364" s="2"/>
      <c r="BP364" s="2"/>
      <c r="BQ364" s="2"/>
      <c r="BR364" s="2"/>
      <c r="BS364" s="2"/>
      <c r="BT364" s="2"/>
      <c r="BU364" s="2"/>
      <c r="BV364" s="2"/>
      <c r="BW364" s="2"/>
      <c r="BX364" s="2"/>
      <c r="BY364" s="2"/>
      <c r="BZ364" s="2"/>
      <c r="CA364" s="2"/>
      <c r="CB364" s="2"/>
      <c r="CC364" s="2"/>
      <c r="CD364" s="2"/>
      <c r="CE364" s="2"/>
      <c r="CF364" s="2"/>
      <c r="CG364" s="2"/>
      <c r="CH364" s="2"/>
      <c r="CI364" s="2"/>
      <c r="CJ364" s="2"/>
      <c r="CK364" s="2"/>
      <c r="CL364" s="2"/>
      <c r="CM364" s="2"/>
      <c r="CN364" s="2"/>
      <c r="CO364" s="2"/>
      <c r="CP364" s="2"/>
      <c r="CQ364" s="2"/>
      <c r="CR364" s="2"/>
      <c r="CS364" s="2"/>
      <c r="CT364" s="2"/>
      <c r="CU364" s="2"/>
      <c r="CV364" s="2"/>
      <c r="CW364" s="2"/>
      <c r="CX364" s="2"/>
      <c r="CY364" s="2"/>
      <c r="CZ364" s="2"/>
      <c r="DA364" s="2"/>
      <c r="DB364" s="2"/>
      <c r="DC364" s="2"/>
      <c r="DD364" s="2"/>
      <c r="DE364" s="2"/>
      <c r="DF364" s="2"/>
      <c r="DG364" s="2"/>
      <c r="DH364" s="2"/>
      <c r="DI364" s="2"/>
      <c r="DJ364" s="2"/>
      <c r="DK364" s="2"/>
      <c r="DL364" s="2"/>
      <c r="DM364" s="2"/>
      <c r="DN364" s="2"/>
      <c r="DO364" s="2"/>
      <c r="DP364" s="2"/>
      <c r="DQ364" s="2"/>
      <c r="DR364" s="2"/>
      <c r="DS364" s="2"/>
      <c r="DT364" s="2"/>
      <c r="DU364" s="2"/>
      <c r="DV364" s="2"/>
      <c r="DW364" s="2"/>
      <c r="DX364" s="2"/>
      <c r="DY364" s="2"/>
      <c r="DZ364" s="2"/>
      <c r="EA364" s="2"/>
      <c r="EB364" s="2"/>
      <c r="EC364" s="2"/>
      <c r="ED364" s="2"/>
      <c r="EE364" s="2"/>
      <c r="EF364" s="2"/>
      <c r="EG364" s="2"/>
      <c r="EH364" s="2"/>
      <c r="EI364" s="2"/>
      <c r="EJ364" s="2"/>
      <c r="EK364" s="2"/>
      <c r="EL364" s="2"/>
      <c r="EM364" s="2"/>
      <c r="EN364" s="2"/>
      <c r="EO364" s="2"/>
      <c r="EP364" s="2"/>
      <c r="EQ364" s="2"/>
      <c r="ER364" s="2"/>
      <c r="ES364" s="2"/>
      <c r="ET364" s="2"/>
      <c r="EU364" s="2"/>
      <c r="EV364" s="2"/>
      <c r="EW364" s="2"/>
      <c r="EX364" s="2"/>
      <c r="EY364" s="2"/>
      <c r="EZ364" s="2"/>
      <c r="FA364" s="2"/>
      <c r="FB364" s="2"/>
      <c r="FC364" s="2"/>
      <c r="FD364" s="2"/>
      <c r="FE364" s="2"/>
      <c r="FF364" s="2"/>
      <c r="FG364" s="2"/>
      <c r="FH364" s="2"/>
      <c r="FI364" s="2"/>
      <c r="FJ364" s="2"/>
      <c r="FK364" s="2"/>
      <c r="FL364" s="2"/>
      <c r="FM364" s="2"/>
      <c r="FN364" s="2"/>
      <c r="FO364" s="2"/>
      <c r="FP364" s="2"/>
      <c r="FQ364" s="2"/>
      <c r="FR364" s="2"/>
      <c r="FS364" s="2"/>
      <c r="FT364" s="2"/>
      <c r="FU364" s="2"/>
      <c r="FV364" s="2"/>
      <c r="FW364" s="2"/>
      <c r="FX364" s="2"/>
      <c r="FY364" s="2"/>
      <c r="FZ364" s="2"/>
      <c r="GA364" s="2"/>
      <c r="GB364" s="2"/>
      <c r="GC364" s="2"/>
      <c r="GD364" s="2"/>
      <c r="GE364" s="2"/>
      <c r="GF364" s="2"/>
      <c r="GG364" s="2"/>
      <c r="GH364" s="2"/>
      <c r="GI364" s="2"/>
      <c r="GJ364" s="2"/>
      <c r="GK364" s="2"/>
      <c r="GL364" s="2"/>
      <c r="GM364" s="2"/>
      <c r="GN364" s="2"/>
      <c r="GO364" s="2"/>
      <c r="GP364" s="2"/>
      <c r="GQ364" s="2"/>
      <c r="GR364" s="2"/>
      <c r="GS364" s="2"/>
      <c r="GT364" s="2"/>
      <c r="GU364" s="2"/>
      <c r="GV364" s="2"/>
      <c r="GW364" s="2"/>
      <c r="GX364" s="2"/>
      <c r="GY364" s="2"/>
      <c r="GZ364" s="2"/>
      <c r="HA364" s="2"/>
      <c r="HB364" s="2"/>
      <c r="HC364" s="2"/>
      <c r="HD364" s="2"/>
      <c r="HE364" s="2"/>
      <c r="HF364" s="2"/>
      <c r="HG364" s="2"/>
      <c r="HH364" s="2"/>
      <c r="HI364" s="2"/>
      <c r="HJ364" s="2"/>
      <c r="HK364" s="2"/>
      <c r="HL364" s="2"/>
      <c r="HM364" s="2"/>
      <c r="HN364" s="2"/>
      <c r="HO364" s="2"/>
      <c r="HP364" s="2"/>
      <c r="HQ364" s="2"/>
      <c r="HR364" s="2"/>
      <c r="HS364" s="2"/>
      <c r="HT364" s="2"/>
      <c r="HU364" s="2"/>
      <c r="HV364" s="2"/>
      <c r="HW364" s="2"/>
      <c r="HX364" s="2"/>
      <c r="HY364" s="2"/>
      <c r="HZ364" s="2"/>
      <c r="IA364" s="2"/>
      <c r="IB364" s="2"/>
      <c r="IC364" s="2"/>
    </row>
    <row r="365" spans="1:237" x14ac:dyDescent="0.2">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c r="AA365" s="2"/>
      <c r="AB365" s="2"/>
      <c r="AC365" s="2"/>
      <c r="AD365" s="2"/>
      <c r="AE365" s="2"/>
      <c r="AF365" s="2"/>
      <c r="AG365" s="2"/>
      <c r="AH365" s="2"/>
      <c r="AI365" s="2"/>
      <c r="AJ365" s="2"/>
      <c r="AK365" s="2"/>
      <c r="AL365" s="2"/>
      <c r="AM365" s="2"/>
      <c r="AN365" s="2"/>
      <c r="AO365" s="2"/>
      <c r="AP365" s="2"/>
      <c r="AQ365" s="2"/>
      <c r="AR365" s="2"/>
      <c r="AS365" s="2"/>
      <c r="AT365" s="2"/>
      <c r="AU365" s="2"/>
      <c r="AV365" s="2"/>
      <c r="AW365" s="2"/>
      <c r="AX365" s="2"/>
      <c r="AY365" s="2"/>
      <c r="AZ365" s="2"/>
      <c r="BA365" s="2"/>
      <c r="BB365" s="2"/>
      <c r="BC365" s="2"/>
      <c r="BD365" s="2"/>
      <c r="BE365" s="2"/>
      <c r="BF365" s="2"/>
      <c r="BG365" s="2"/>
      <c r="BH365" s="2"/>
      <c r="BI365" s="2"/>
      <c r="BJ365" s="2"/>
      <c r="BK365" s="2"/>
      <c r="BL365" s="2"/>
      <c r="BM365" s="2"/>
      <c r="BN365" s="2"/>
      <c r="BO365" s="2"/>
      <c r="BP365" s="2"/>
      <c r="BQ365" s="2"/>
      <c r="BR365" s="2"/>
      <c r="BS365" s="2"/>
      <c r="BT365" s="2"/>
      <c r="BU365" s="2"/>
      <c r="BV365" s="2"/>
      <c r="BW365" s="2"/>
      <c r="BX365" s="2"/>
      <c r="BY365" s="2"/>
      <c r="BZ365" s="2"/>
      <c r="CA365" s="2"/>
      <c r="CB365" s="2"/>
      <c r="CC365" s="2"/>
      <c r="CD365" s="2"/>
      <c r="CE365" s="2"/>
      <c r="CF365" s="2"/>
      <c r="CG365" s="2"/>
      <c r="CH365" s="2"/>
      <c r="CI365" s="2"/>
      <c r="CJ365" s="2"/>
      <c r="CK365" s="2"/>
      <c r="CL365" s="2"/>
      <c r="CM365" s="2"/>
      <c r="CN365" s="2"/>
      <c r="CO365" s="2"/>
      <c r="CP365" s="2"/>
      <c r="CQ365" s="2"/>
      <c r="CR365" s="2"/>
      <c r="CS365" s="2"/>
      <c r="CT365" s="2"/>
      <c r="CU365" s="2"/>
      <c r="CV365" s="2"/>
      <c r="CW365" s="2"/>
      <c r="CX365" s="2"/>
      <c r="CY365" s="2"/>
      <c r="CZ365" s="2"/>
      <c r="DA365" s="2"/>
      <c r="DB365" s="2"/>
      <c r="DC365" s="2"/>
      <c r="DD365" s="2"/>
      <c r="DE365" s="2"/>
      <c r="DF365" s="2"/>
      <c r="DG365" s="2"/>
      <c r="DH365" s="2"/>
      <c r="DI365" s="2"/>
      <c r="DJ365" s="2"/>
      <c r="DK365" s="2"/>
      <c r="DL365" s="2"/>
      <c r="DM365" s="2"/>
      <c r="DN365" s="2"/>
      <c r="DO365" s="2"/>
      <c r="DP365" s="2"/>
      <c r="DQ365" s="2"/>
      <c r="DR365" s="2"/>
      <c r="DS365" s="2"/>
      <c r="DT365" s="2"/>
      <c r="DU365" s="2"/>
      <c r="DV365" s="2"/>
      <c r="DW365" s="2"/>
      <c r="DX365" s="2"/>
      <c r="DY365" s="2"/>
      <c r="DZ365" s="2"/>
      <c r="EA365" s="2"/>
      <c r="EB365" s="2"/>
      <c r="EC365" s="2"/>
      <c r="ED365" s="2"/>
      <c r="EE365" s="2"/>
      <c r="EF365" s="2"/>
      <c r="EG365" s="2"/>
      <c r="EH365" s="2"/>
      <c r="EI365" s="2"/>
      <c r="EJ365" s="2"/>
      <c r="EK365" s="2"/>
      <c r="EL365" s="2"/>
      <c r="EM365" s="2"/>
      <c r="EN365" s="2"/>
      <c r="EO365" s="2"/>
      <c r="EP365" s="2"/>
      <c r="EQ365" s="2"/>
      <c r="ER365" s="2"/>
      <c r="ES365" s="2"/>
      <c r="ET365" s="2"/>
      <c r="EU365" s="2"/>
      <c r="EV365" s="2"/>
      <c r="EW365" s="2"/>
      <c r="EX365" s="2"/>
      <c r="EY365" s="2"/>
      <c r="EZ365" s="2"/>
      <c r="FA365" s="2"/>
      <c r="FB365" s="2"/>
      <c r="FC365" s="2"/>
      <c r="FD365" s="2"/>
      <c r="FE365" s="2"/>
      <c r="FF365" s="2"/>
      <c r="FG365" s="2"/>
      <c r="FH365" s="2"/>
      <c r="FI365" s="2"/>
      <c r="FJ365" s="2"/>
      <c r="FK365" s="2"/>
      <c r="FL365" s="2"/>
      <c r="FM365" s="2"/>
      <c r="FN365" s="2"/>
      <c r="FO365" s="2"/>
      <c r="FP365" s="2"/>
      <c r="FQ365" s="2"/>
      <c r="FR365" s="2"/>
      <c r="FS365" s="2"/>
      <c r="FT365" s="2"/>
      <c r="FU365" s="2"/>
      <c r="FV365" s="2"/>
      <c r="FW365" s="2"/>
      <c r="FX365" s="2"/>
      <c r="FY365" s="2"/>
      <c r="FZ365" s="2"/>
      <c r="GA365" s="2"/>
      <c r="GB365" s="2"/>
      <c r="GC365" s="2"/>
      <c r="GD365" s="2"/>
      <c r="GE365" s="2"/>
      <c r="GF365" s="2"/>
      <c r="GG365" s="2"/>
      <c r="GH365" s="2"/>
      <c r="GI365" s="2"/>
      <c r="GJ365" s="2"/>
      <c r="GK365" s="2"/>
      <c r="GL365" s="2"/>
      <c r="GM365" s="2"/>
      <c r="GN365" s="2"/>
      <c r="GO365" s="2"/>
      <c r="GP365" s="2"/>
      <c r="GQ365" s="2"/>
      <c r="GR365" s="2"/>
      <c r="GS365" s="2"/>
      <c r="GT365" s="2"/>
      <c r="GU365" s="2"/>
      <c r="GV365" s="2"/>
      <c r="GW365" s="2"/>
      <c r="GX365" s="2"/>
      <c r="GY365" s="2"/>
      <c r="GZ365" s="2"/>
      <c r="HA365" s="2"/>
      <c r="HB365" s="2"/>
      <c r="HC365" s="2"/>
      <c r="HD365" s="2"/>
      <c r="HE365" s="2"/>
      <c r="HF365" s="2"/>
      <c r="HG365" s="2"/>
      <c r="HH365" s="2"/>
      <c r="HI365" s="2"/>
      <c r="HJ365" s="2"/>
      <c r="HK365" s="2"/>
      <c r="HL365" s="2"/>
      <c r="HM365" s="2"/>
      <c r="HN365" s="2"/>
      <c r="HO365" s="2"/>
      <c r="HP365" s="2"/>
      <c r="HQ365" s="2"/>
      <c r="HR365" s="2"/>
      <c r="HS365" s="2"/>
      <c r="HT365" s="2"/>
      <c r="HU365" s="2"/>
      <c r="HV365" s="2"/>
      <c r="HW365" s="2"/>
      <c r="HX365" s="2"/>
      <c r="HY365" s="2"/>
      <c r="HZ365" s="2"/>
      <c r="IA365" s="2"/>
      <c r="IB365" s="2"/>
      <c r="IC365" s="2"/>
    </row>
    <row r="366" spans="1:237" x14ac:dyDescent="0.2">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c r="AA366" s="2"/>
      <c r="AB366" s="2"/>
      <c r="AC366" s="2"/>
      <c r="AD366" s="2"/>
      <c r="AE366" s="2"/>
      <c r="AF366" s="2"/>
      <c r="AG366" s="2"/>
      <c r="AH366" s="2"/>
      <c r="AI366" s="2"/>
      <c r="AJ366" s="2"/>
      <c r="AK366" s="2"/>
      <c r="AL366" s="2"/>
      <c r="AM366" s="2"/>
      <c r="AN366" s="2"/>
      <c r="AO366" s="2"/>
      <c r="AP366" s="2"/>
      <c r="AQ366" s="2"/>
      <c r="AR366" s="2"/>
      <c r="AS366" s="2"/>
      <c r="AT366" s="2"/>
      <c r="AU366" s="2"/>
      <c r="AV366" s="2"/>
      <c r="AW366" s="2"/>
      <c r="AX366" s="2"/>
      <c r="AY366" s="2"/>
      <c r="AZ366" s="2"/>
      <c r="BA366" s="2"/>
      <c r="BB366" s="2"/>
      <c r="BC366" s="2"/>
      <c r="BD366" s="2"/>
      <c r="BE366" s="2"/>
      <c r="BF366" s="2"/>
      <c r="BG366" s="2"/>
      <c r="BH366" s="2"/>
      <c r="BI366" s="2"/>
      <c r="BJ366" s="2"/>
      <c r="BK366" s="2"/>
      <c r="BL366" s="2"/>
      <c r="BM366" s="2"/>
      <c r="BN366" s="2"/>
      <c r="BO366" s="2"/>
      <c r="BP366" s="2"/>
      <c r="BQ366" s="2"/>
      <c r="BR366" s="2"/>
      <c r="BS366" s="2"/>
      <c r="BT366" s="2"/>
      <c r="BU366" s="2"/>
      <c r="BV366" s="2"/>
      <c r="BW366" s="2"/>
      <c r="BX366" s="2"/>
      <c r="BY366" s="2"/>
      <c r="BZ366" s="2"/>
      <c r="CA366" s="2"/>
      <c r="CB366" s="2"/>
      <c r="CC366" s="2"/>
      <c r="CD366" s="2"/>
      <c r="CE366" s="2"/>
      <c r="CF366" s="2"/>
      <c r="CG366" s="2"/>
      <c r="CH366" s="2"/>
      <c r="CI366" s="2"/>
      <c r="CJ366" s="2"/>
      <c r="CK366" s="2"/>
      <c r="CL366" s="2"/>
      <c r="CM366" s="2"/>
      <c r="CN366" s="2"/>
      <c r="CO366" s="2"/>
      <c r="CP366" s="2"/>
      <c r="CQ366" s="2"/>
      <c r="CR366" s="2"/>
      <c r="CS366" s="2"/>
      <c r="CT366" s="2"/>
      <c r="CU366" s="2"/>
      <c r="CV366" s="2"/>
      <c r="CW366" s="2"/>
      <c r="CX366" s="2"/>
      <c r="CY366" s="2"/>
      <c r="CZ366" s="2"/>
      <c r="DA366" s="2"/>
      <c r="DB366" s="2"/>
      <c r="DC366" s="2"/>
      <c r="DD366" s="2"/>
      <c r="DE366" s="2"/>
      <c r="DF366" s="2"/>
      <c r="DG366" s="2"/>
      <c r="DH366" s="2"/>
      <c r="DI366" s="2"/>
      <c r="DJ366" s="2"/>
      <c r="DK366" s="2"/>
      <c r="DL366" s="2"/>
      <c r="DM366" s="2"/>
      <c r="DN366" s="2"/>
      <c r="DO366" s="2"/>
      <c r="DP366" s="2"/>
      <c r="DQ366" s="2"/>
      <c r="DR366" s="2"/>
      <c r="DS366" s="2"/>
      <c r="DT366" s="2"/>
      <c r="DU366" s="2"/>
      <c r="DV366" s="2"/>
      <c r="DW366" s="2"/>
      <c r="DX366" s="2"/>
      <c r="DY366" s="2"/>
      <c r="DZ366" s="2"/>
      <c r="EA366" s="2"/>
      <c r="EB366" s="2"/>
      <c r="EC366" s="2"/>
      <c r="ED366" s="2"/>
      <c r="EE366" s="2"/>
      <c r="EF366" s="2"/>
      <c r="EG366" s="2"/>
      <c r="EH366" s="2"/>
      <c r="EI366" s="2"/>
      <c r="EJ366" s="2"/>
      <c r="EK366" s="2"/>
      <c r="EL366" s="2"/>
      <c r="EM366" s="2"/>
      <c r="EN366" s="2"/>
      <c r="EO366" s="2"/>
      <c r="EP366" s="2"/>
      <c r="EQ366" s="2"/>
      <c r="ER366" s="2"/>
      <c r="ES366" s="2"/>
      <c r="ET366" s="2"/>
      <c r="EU366" s="2"/>
      <c r="EV366" s="2"/>
      <c r="EW366" s="2"/>
      <c r="EX366" s="2"/>
      <c r="EY366" s="2"/>
      <c r="EZ366" s="2"/>
      <c r="FA366" s="2"/>
      <c r="FB366" s="2"/>
      <c r="FC366" s="2"/>
      <c r="FD366" s="2"/>
      <c r="FE366" s="2"/>
      <c r="FF366" s="2"/>
      <c r="FG366" s="2"/>
      <c r="FH366" s="2"/>
      <c r="FI366" s="2"/>
      <c r="FJ366" s="2"/>
      <c r="FK366" s="2"/>
      <c r="FL366" s="2"/>
      <c r="FM366" s="2"/>
      <c r="FN366" s="2"/>
      <c r="FO366" s="2"/>
      <c r="FP366" s="2"/>
      <c r="FQ366" s="2"/>
      <c r="FR366" s="2"/>
      <c r="FS366" s="2"/>
      <c r="FT366" s="2"/>
      <c r="FU366" s="2"/>
      <c r="FV366" s="2"/>
      <c r="FW366" s="2"/>
      <c r="FX366" s="2"/>
      <c r="FY366" s="2"/>
      <c r="FZ366" s="2"/>
      <c r="GA366" s="2"/>
      <c r="GB366" s="2"/>
      <c r="GC366" s="2"/>
      <c r="GD366" s="2"/>
      <c r="GE366" s="2"/>
      <c r="GF366" s="2"/>
      <c r="GG366" s="2"/>
      <c r="GH366" s="2"/>
      <c r="GI366" s="2"/>
      <c r="GJ366" s="2"/>
      <c r="GK366" s="2"/>
      <c r="GL366" s="2"/>
      <c r="GM366" s="2"/>
      <c r="GN366" s="2"/>
      <c r="GO366" s="2"/>
      <c r="GP366" s="2"/>
      <c r="GQ366" s="2"/>
      <c r="GR366" s="2"/>
      <c r="GS366" s="2"/>
      <c r="GT366" s="2"/>
      <c r="GU366" s="2"/>
      <c r="GV366" s="2"/>
      <c r="GW366" s="2"/>
      <c r="GX366" s="2"/>
      <c r="GY366" s="2"/>
      <c r="GZ366" s="2"/>
      <c r="HA366" s="2"/>
      <c r="HB366" s="2"/>
      <c r="HC366" s="2"/>
      <c r="HD366" s="2"/>
      <c r="HE366" s="2"/>
      <c r="HF366" s="2"/>
      <c r="HG366" s="2"/>
      <c r="HH366" s="2"/>
      <c r="HI366" s="2"/>
      <c r="HJ366" s="2"/>
      <c r="HK366" s="2"/>
      <c r="HL366" s="2"/>
      <c r="HM366" s="2"/>
      <c r="HN366" s="2"/>
      <c r="HO366" s="2"/>
      <c r="HP366" s="2"/>
      <c r="HQ366" s="2"/>
      <c r="HR366" s="2"/>
      <c r="HS366" s="2"/>
      <c r="HT366" s="2"/>
      <c r="HU366" s="2"/>
      <c r="HV366" s="2"/>
      <c r="HW366" s="2"/>
      <c r="HX366" s="2"/>
      <c r="HY366" s="2"/>
      <c r="HZ366" s="2"/>
      <c r="IA366" s="2"/>
      <c r="IB366" s="2"/>
      <c r="IC366" s="2"/>
    </row>
    <row r="367" spans="1:237" x14ac:dyDescent="0.2">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c r="AA367" s="2"/>
      <c r="AB367" s="2"/>
      <c r="AC367" s="2"/>
      <c r="AD367" s="2"/>
      <c r="AE367" s="2"/>
      <c r="AF367" s="2"/>
      <c r="AG367" s="2"/>
      <c r="AH367" s="2"/>
      <c r="AI367" s="2"/>
      <c r="AJ367" s="2"/>
      <c r="AK367" s="2"/>
      <c r="AL367" s="2"/>
      <c r="AM367" s="2"/>
      <c r="AN367" s="2"/>
      <c r="AO367" s="2"/>
      <c r="AP367" s="2"/>
      <c r="AQ367" s="2"/>
      <c r="AR367" s="2"/>
      <c r="AS367" s="2"/>
      <c r="AT367" s="2"/>
      <c r="AU367" s="2"/>
      <c r="AV367" s="2"/>
      <c r="AW367" s="2"/>
      <c r="AX367" s="2"/>
      <c r="AY367" s="2"/>
      <c r="AZ367" s="2"/>
      <c r="BA367" s="2"/>
      <c r="BB367" s="2"/>
      <c r="BC367" s="2"/>
      <c r="BD367" s="2"/>
      <c r="BE367" s="2"/>
      <c r="BF367" s="2"/>
      <c r="BG367" s="2"/>
      <c r="BH367" s="2"/>
      <c r="BI367" s="2"/>
      <c r="BJ367" s="2"/>
      <c r="BK367" s="2"/>
      <c r="BL367" s="2"/>
      <c r="BM367" s="2"/>
      <c r="BN367" s="2"/>
      <c r="BO367" s="2"/>
      <c r="BP367" s="2"/>
      <c r="BQ367" s="2"/>
      <c r="BR367" s="2"/>
      <c r="BS367" s="2"/>
      <c r="BT367" s="2"/>
      <c r="BU367" s="2"/>
      <c r="BV367" s="2"/>
      <c r="BW367" s="2"/>
      <c r="BX367" s="2"/>
      <c r="BY367" s="2"/>
      <c r="BZ367" s="2"/>
      <c r="CA367" s="2"/>
      <c r="CB367" s="2"/>
      <c r="CC367" s="2"/>
      <c r="CD367" s="2"/>
      <c r="CE367" s="2"/>
      <c r="CF367" s="2"/>
      <c r="CG367" s="2"/>
      <c r="CH367" s="2"/>
      <c r="CI367" s="2"/>
      <c r="CJ367" s="2"/>
      <c r="CK367" s="2"/>
      <c r="CL367" s="2"/>
      <c r="CM367" s="2"/>
      <c r="CN367" s="2"/>
      <c r="CO367" s="2"/>
      <c r="CP367" s="2"/>
      <c r="CQ367" s="2"/>
      <c r="CR367" s="2"/>
      <c r="CS367" s="2"/>
      <c r="CT367" s="2"/>
      <c r="CU367" s="2"/>
      <c r="CV367" s="2"/>
      <c r="CW367" s="2"/>
      <c r="CX367" s="2"/>
      <c r="CY367" s="2"/>
      <c r="CZ367" s="2"/>
      <c r="DA367" s="2"/>
      <c r="DB367" s="2"/>
      <c r="DC367" s="2"/>
      <c r="DD367" s="2"/>
      <c r="DE367" s="2"/>
      <c r="DF367" s="2"/>
      <c r="DG367" s="2"/>
      <c r="DH367" s="2"/>
      <c r="DI367" s="2"/>
      <c r="DJ367" s="2"/>
      <c r="DK367" s="2"/>
      <c r="DL367" s="2"/>
      <c r="DM367" s="2"/>
      <c r="DN367" s="2"/>
      <c r="DO367" s="2"/>
      <c r="DP367" s="2"/>
      <c r="DQ367" s="2"/>
      <c r="DR367" s="2"/>
      <c r="DS367" s="2"/>
      <c r="DT367" s="2"/>
      <c r="DU367" s="2"/>
      <c r="DV367" s="2"/>
      <c r="DW367" s="2"/>
      <c r="DX367" s="2"/>
      <c r="DY367" s="2"/>
      <c r="DZ367" s="2"/>
      <c r="EA367" s="2"/>
      <c r="EB367" s="2"/>
      <c r="EC367" s="2"/>
      <c r="ED367" s="2"/>
      <c r="EE367" s="2"/>
      <c r="EF367" s="2"/>
      <c r="EG367" s="2"/>
      <c r="EH367" s="2"/>
      <c r="EI367" s="2"/>
      <c r="EJ367" s="2"/>
      <c r="EK367" s="2"/>
      <c r="EL367" s="2"/>
      <c r="EM367" s="2"/>
      <c r="EN367" s="2"/>
      <c r="EO367" s="2"/>
      <c r="EP367" s="2"/>
      <c r="EQ367" s="2"/>
      <c r="ER367" s="2"/>
      <c r="ES367" s="2"/>
      <c r="ET367" s="2"/>
      <c r="EU367" s="2"/>
      <c r="EV367" s="2"/>
      <c r="EW367" s="2"/>
      <c r="EX367" s="2"/>
      <c r="EY367" s="2"/>
      <c r="EZ367" s="2"/>
      <c r="FA367" s="2"/>
      <c r="FB367" s="2"/>
      <c r="FC367" s="2"/>
      <c r="FD367" s="2"/>
      <c r="FE367" s="2"/>
      <c r="FF367" s="2"/>
      <c r="FG367" s="2"/>
      <c r="FH367" s="2"/>
      <c r="FI367" s="2"/>
      <c r="FJ367" s="2"/>
      <c r="FK367" s="2"/>
      <c r="FL367" s="2"/>
      <c r="FM367" s="2"/>
      <c r="FN367" s="2"/>
      <c r="FO367" s="2"/>
      <c r="FP367" s="2"/>
      <c r="FQ367" s="2"/>
      <c r="FR367" s="2"/>
      <c r="FS367" s="2"/>
      <c r="FT367" s="2"/>
      <c r="FU367" s="2"/>
      <c r="FV367" s="2"/>
      <c r="FW367" s="2"/>
      <c r="FX367" s="2"/>
      <c r="FY367" s="2"/>
      <c r="FZ367" s="2"/>
      <c r="GA367" s="2"/>
      <c r="GB367" s="2"/>
      <c r="GC367" s="2"/>
      <c r="GD367" s="2"/>
      <c r="GE367" s="2"/>
      <c r="GF367" s="2"/>
      <c r="GG367" s="2"/>
      <c r="GH367" s="2"/>
      <c r="GI367" s="2"/>
      <c r="GJ367" s="2"/>
      <c r="GK367" s="2"/>
      <c r="GL367" s="2"/>
      <c r="GM367" s="2"/>
      <c r="GN367" s="2"/>
      <c r="GO367" s="2"/>
      <c r="GP367" s="2"/>
      <c r="GQ367" s="2"/>
      <c r="GR367" s="2"/>
      <c r="GS367" s="2"/>
      <c r="GT367" s="2"/>
      <c r="GU367" s="2"/>
      <c r="GV367" s="2"/>
      <c r="GW367" s="2"/>
      <c r="GX367" s="2"/>
      <c r="GY367" s="2"/>
      <c r="GZ367" s="2"/>
      <c r="HA367" s="2"/>
      <c r="HB367" s="2"/>
      <c r="HC367" s="2"/>
      <c r="HD367" s="2"/>
      <c r="HE367" s="2"/>
      <c r="HF367" s="2"/>
      <c r="HG367" s="2"/>
      <c r="HH367" s="2"/>
      <c r="HI367" s="2"/>
      <c r="HJ367" s="2"/>
      <c r="HK367" s="2"/>
      <c r="HL367" s="2"/>
      <c r="HM367" s="2"/>
      <c r="HN367" s="2"/>
      <c r="HO367" s="2"/>
      <c r="HP367" s="2"/>
      <c r="HQ367" s="2"/>
      <c r="HR367" s="2"/>
      <c r="HS367" s="2"/>
      <c r="HT367" s="2"/>
      <c r="HU367" s="2"/>
      <c r="HV367" s="2"/>
      <c r="HW367" s="2"/>
      <c r="HX367" s="2"/>
      <c r="HY367" s="2"/>
      <c r="HZ367" s="2"/>
      <c r="IA367" s="2"/>
      <c r="IB367" s="2"/>
      <c r="IC367" s="2"/>
    </row>
    <row r="368" spans="1:237" x14ac:dyDescent="0.2">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c r="AA368" s="2"/>
      <c r="AB368" s="2"/>
      <c r="AC368" s="2"/>
      <c r="AD368" s="2"/>
      <c r="AE368" s="2"/>
      <c r="AF368" s="2"/>
      <c r="AG368" s="2"/>
      <c r="AH368" s="2"/>
      <c r="AI368" s="2"/>
      <c r="AJ368" s="2"/>
      <c r="AK368" s="2"/>
      <c r="AL368" s="2"/>
      <c r="AM368" s="2"/>
      <c r="AN368" s="2"/>
      <c r="AO368" s="2"/>
      <c r="AP368" s="2"/>
      <c r="AQ368" s="2"/>
      <c r="AR368" s="2"/>
      <c r="AS368" s="2"/>
      <c r="AT368" s="2"/>
      <c r="AU368" s="2"/>
      <c r="AV368" s="2"/>
      <c r="AW368" s="2"/>
      <c r="AX368" s="2"/>
      <c r="AY368" s="2"/>
      <c r="AZ368" s="2"/>
      <c r="BA368" s="2"/>
      <c r="BB368" s="2"/>
      <c r="BC368" s="2"/>
      <c r="BD368" s="2"/>
      <c r="BE368" s="2"/>
      <c r="BF368" s="2"/>
      <c r="BG368" s="2"/>
      <c r="BH368" s="2"/>
      <c r="BI368" s="2"/>
      <c r="BJ368" s="2"/>
      <c r="BK368" s="2"/>
      <c r="BL368" s="2"/>
      <c r="BM368" s="2"/>
      <c r="BN368" s="2"/>
      <c r="BO368" s="2"/>
      <c r="BP368" s="2"/>
      <c r="BQ368" s="2"/>
      <c r="BR368" s="2"/>
      <c r="BS368" s="2"/>
      <c r="BT368" s="2"/>
      <c r="BU368" s="2"/>
      <c r="BV368" s="2"/>
      <c r="BW368" s="2"/>
      <c r="BX368" s="2"/>
      <c r="BY368" s="2"/>
      <c r="BZ368" s="2"/>
      <c r="CA368" s="2"/>
      <c r="CB368" s="2"/>
      <c r="CC368" s="2"/>
      <c r="CD368" s="2"/>
      <c r="CE368" s="2"/>
      <c r="CF368" s="2"/>
      <c r="CG368" s="2"/>
      <c r="CH368" s="2"/>
      <c r="CI368" s="2"/>
      <c r="CJ368" s="2"/>
      <c r="CK368" s="2"/>
      <c r="CL368" s="2"/>
      <c r="CM368" s="2"/>
      <c r="CN368" s="2"/>
      <c r="CO368" s="2"/>
      <c r="CP368" s="2"/>
      <c r="CQ368" s="2"/>
      <c r="CR368" s="2"/>
      <c r="CS368" s="2"/>
      <c r="CT368" s="2"/>
      <c r="CU368" s="2"/>
      <c r="CV368" s="2"/>
      <c r="CW368" s="2"/>
      <c r="CX368" s="2"/>
      <c r="CY368" s="2"/>
      <c r="CZ368" s="2"/>
      <c r="DA368" s="2"/>
      <c r="DB368" s="2"/>
      <c r="DC368" s="2"/>
      <c r="DD368" s="2"/>
      <c r="DE368" s="2"/>
      <c r="DF368" s="2"/>
      <c r="DG368" s="2"/>
      <c r="DH368" s="2"/>
      <c r="DI368" s="2"/>
      <c r="DJ368" s="2"/>
      <c r="DK368" s="2"/>
      <c r="DL368" s="2"/>
      <c r="DM368" s="2"/>
      <c r="DN368" s="2"/>
      <c r="DO368" s="2"/>
      <c r="DP368" s="2"/>
      <c r="DQ368" s="2"/>
      <c r="DR368" s="2"/>
      <c r="DS368" s="2"/>
      <c r="DT368" s="2"/>
      <c r="DU368" s="2"/>
      <c r="DV368" s="2"/>
      <c r="DW368" s="2"/>
      <c r="DX368" s="2"/>
      <c r="DY368" s="2"/>
      <c r="DZ368" s="2"/>
      <c r="EA368" s="2"/>
      <c r="EB368" s="2"/>
      <c r="EC368" s="2"/>
      <c r="ED368" s="2"/>
      <c r="EE368" s="2"/>
      <c r="EF368" s="2"/>
      <c r="EG368" s="2"/>
      <c r="EH368" s="2"/>
      <c r="EI368" s="2"/>
      <c r="EJ368" s="2"/>
      <c r="EK368" s="2"/>
      <c r="EL368" s="2"/>
      <c r="EM368" s="2"/>
      <c r="EN368" s="2"/>
      <c r="EO368" s="2"/>
      <c r="EP368" s="2"/>
      <c r="EQ368" s="2"/>
      <c r="ER368" s="2"/>
      <c r="ES368" s="2"/>
      <c r="ET368" s="2"/>
      <c r="EU368" s="2"/>
      <c r="EV368" s="2"/>
      <c r="EW368" s="2"/>
      <c r="EX368" s="2"/>
      <c r="EY368" s="2"/>
      <c r="EZ368" s="2"/>
      <c r="FA368" s="2"/>
      <c r="FB368" s="2"/>
      <c r="FC368" s="2"/>
      <c r="FD368" s="2"/>
      <c r="FE368" s="2"/>
      <c r="FF368" s="2"/>
      <c r="FG368" s="2"/>
      <c r="FH368" s="2"/>
      <c r="FI368" s="2"/>
      <c r="FJ368" s="2"/>
      <c r="FK368" s="2"/>
      <c r="FL368" s="2"/>
      <c r="FM368" s="2"/>
      <c r="FN368" s="2"/>
      <c r="FO368" s="2"/>
      <c r="FP368" s="2"/>
      <c r="FQ368" s="2"/>
      <c r="FR368" s="2"/>
      <c r="FS368" s="2"/>
      <c r="FT368" s="2"/>
      <c r="FU368" s="2"/>
      <c r="FV368" s="2"/>
      <c r="FW368" s="2"/>
      <c r="FX368" s="2"/>
      <c r="FY368" s="2"/>
      <c r="FZ368" s="2"/>
      <c r="GA368" s="2"/>
      <c r="GB368" s="2"/>
      <c r="GC368" s="2"/>
      <c r="GD368" s="2"/>
      <c r="GE368" s="2"/>
      <c r="GF368" s="2"/>
      <c r="GG368" s="2"/>
      <c r="GH368" s="2"/>
      <c r="GI368" s="2"/>
      <c r="GJ368" s="2"/>
      <c r="GK368" s="2"/>
      <c r="GL368" s="2"/>
      <c r="GM368" s="2"/>
      <c r="GN368" s="2"/>
      <c r="GO368" s="2"/>
      <c r="GP368" s="2"/>
      <c r="GQ368" s="2"/>
      <c r="GR368" s="2"/>
      <c r="GS368" s="2"/>
      <c r="GT368" s="2"/>
      <c r="GU368" s="2"/>
      <c r="GV368" s="2"/>
      <c r="GW368" s="2"/>
      <c r="GX368" s="2"/>
      <c r="GY368" s="2"/>
      <c r="GZ368" s="2"/>
      <c r="HA368" s="2"/>
      <c r="HB368" s="2"/>
      <c r="HC368" s="2"/>
      <c r="HD368" s="2"/>
      <c r="HE368" s="2"/>
      <c r="HF368" s="2"/>
      <c r="HG368" s="2"/>
      <c r="HH368" s="2"/>
      <c r="HI368" s="2"/>
      <c r="HJ368" s="2"/>
      <c r="HK368" s="2"/>
      <c r="HL368" s="2"/>
      <c r="HM368" s="2"/>
      <c r="HN368" s="2"/>
      <c r="HO368" s="2"/>
      <c r="HP368" s="2"/>
      <c r="HQ368" s="2"/>
      <c r="HR368" s="2"/>
      <c r="HS368" s="2"/>
      <c r="HT368" s="2"/>
      <c r="HU368" s="2"/>
      <c r="HV368" s="2"/>
      <c r="HW368" s="2"/>
      <c r="HX368" s="2"/>
      <c r="HY368" s="2"/>
      <c r="HZ368" s="2"/>
      <c r="IA368" s="2"/>
      <c r="IB368" s="2"/>
      <c r="IC368" s="2"/>
    </row>
    <row r="369" spans="1:237" x14ac:dyDescent="0.2">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c r="AA369" s="2"/>
      <c r="AB369" s="2"/>
      <c r="AC369" s="2"/>
      <c r="AD369" s="2"/>
      <c r="AE369" s="2"/>
      <c r="AF369" s="2"/>
      <c r="AG369" s="2"/>
      <c r="AH369" s="2"/>
      <c r="AI369" s="2"/>
      <c r="AJ369" s="2"/>
      <c r="AK369" s="2"/>
      <c r="AL369" s="2"/>
      <c r="AM369" s="2"/>
      <c r="AN369" s="2"/>
      <c r="AO369" s="2"/>
      <c r="AP369" s="2"/>
      <c r="AQ369" s="2"/>
      <c r="AR369" s="2"/>
      <c r="AS369" s="2"/>
      <c r="AT369" s="2"/>
      <c r="AU369" s="2"/>
      <c r="AV369" s="2"/>
      <c r="AW369" s="2"/>
      <c r="AX369" s="2"/>
      <c r="AY369" s="2"/>
      <c r="AZ369" s="2"/>
      <c r="BA369" s="2"/>
      <c r="BB369" s="2"/>
      <c r="BC369" s="2"/>
      <c r="BD369" s="2"/>
      <c r="BE369" s="2"/>
      <c r="BF369" s="2"/>
      <c r="BG369" s="2"/>
      <c r="BH369" s="2"/>
      <c r="BI369" s="2"/>
      <c r="BJ369" s="2"/>
      <c r="BK369" s="2"/>
      <c r="BL369" s="2"/>
      <c r="BM369" s="2"/>
      <c r="BN369" s="2"/>
      <c r="BO369" s="2"/>
      <c r="BP369" s="2"/>
      <c r="BQ369" s="2"/>
      <c r="BR369" s="2"/>
      <c r="BS369" s="2"/>
      <c r="BT369" s="2"/>
      <c r="BU369" s="2"/>
      <c r="BV369" s="2"/>
      <c r="BW369" s="2"/>
      <c r="BX369" s="2"/>
      <c r="BY369" s="2"/>
      <c r="BZ369" s="2"/>
      <c r="CA369" s="2"/>
      <c r="CB369" s="2"/>
      <c r="CC369" s="2"/>
      <c r="CD369" s="2"/>
      <c r="CE369" s="2"/>
      <c r="CF369" s="2"/>
      <c r="CG369" s="2"/>
      <c r="CH369" s="2"/>
      <c r="CI369" s="2"/>
      <c r="CJ369" s="2"/>
      <c r="CK369" s="2"/>
      <c r="CL369" s="2"/>
      <c r="CM369" s="2"/>
      <c r="CN369" s="2"/>
      <c r="CO369" s="2"/>
      <c r="CP369" s="2"/>
      <c r="CQ369" s="2"/>
      <c r="CR369" s="2"/>
      <c r="CS369" s="2"/>
      <c r="CT369" s="2"/>
      <c r="CU369" s="2"/>
      <c r="CV369" s="2"/>
      <c r="CW369" s="2"/>
      <c r="CX369" s="2"/>
      <c r="CY369" s="2"/>
      <c r="CZ369" s="2"/>
      <c r="DA369" s="2"/>
      <c r="DB369" s="2"/>
      <c r="DC369" s="2"/>
      <c r="DD369" s="2"/>
      <c r="DE369" s="2"/>
      <c r="DF369" s="2"/>
      <c r="DG369" s="2"/>
      <c r="DH369" s="2"/>
      <c r="DI369" s="2"/>
      <c r="DJ369" s="2"/>
      <c r="DK369" s="2"/>
      <c r="DL369" s="2"/>
      <c r="DM369" s="2"/>
      <c r="DN369" s="2"/>
      <c r="DO369" s="2"/>
      <c r="DP369" s="2"/>
      <c r="DQ369" s="2"/>
      <c r="DR369" s="2"/>
      <c r="DS369" s="2"/>
      <c r="DT369" s="2"/>
      <c r="DU369" s="2"/>
      <c r="DV369" s="2"/>
      <c r="DW369" s="2"/>
      <c r="DX369" s="2"/>
      <c r="DY369" s="2"/>
      <c r="DZ369" s="2"/>
      <c r="EA369" s="2"/>
      <c r="EB369" s="2"/>
      <c r="EC369" s="2"/>
      <c r="ED369" s="2"/>
      <c r="EE369" s="2"/>
      <c r="EF369" s="2"/>
      <c r="EG369" s="2"/>
      <c r="EH369" s="2"/>
      <c r="EI369" s="2"/>
      <c r="EJ369" s="2"/>
      <c r="EK369" s="2"/>
      <c r="EL369" s="2"/>
      <c r="EM369" s="2"/>
      <c r="EN369" s="2"/>
      <c r="EO369" s="2"/>
      <c r="EP369" s="2"/>
      <c r="EQ369" s="2"/>
      <c r="ER369" s="2"/>
      <c r="ES369" s="2"/>
      <c r="ET369" s="2"/>
      <c r="EU369" s="2"/>
      <c r="EV369" s="2"/>
      <c r="EW369" s="2"/>
      <c r="EX369" s="2"/>
      <c r="EY369" s="2"/>
      <c r="EZ369" s="2"/>
      <c r="FA369" s="2"/>
      <c r="FB369" s="2"/>
      <c r="FC369" s="2"/>
      <c r="FD369" s="2"/>
      <c r="FE369" s="2"/>
      <c r="FF369" s="2"/>
      <c r="FG369" s="2"/>
      <c r="FH369" s="2"/>
      <c r="FI369" s="2"/>
      <c r="FJ369" s="2"/>
      <c r="FK369" s="2"/>
      <c r="FL369" s="2"/>
      <c r="FM369" s="2"/>
      <c r="FN369" s="2"/>
      <c r="FO369" s="2"/>
      <c r="FP369" s="2"/>
      <c r="FQ369" s="2"/>
      <c r="FR369" s="2"/>
      <c r="FS369" s="2"/>
      <c r="FT369" s="2"/>
      <c r="FU369" s="2"/>
      <c r="FV369" s="2"/>
      <c r="FW369" s="2"/>
      <c r="FX369" s="2"/>
      <c r="FY369" s="2"/>
      <c r="FZ369" s="2"/>
      <c r="GA369" s="2"/>
      <c r="GB369" s="2"/>
      <c r="GC369" s="2"/>
      <c r="GD369" s="2"/>
      <c r="GE369" s="2"/>
      <c r="GF369" s="2"/>
      <c r="GG369" s="2"/>
      <c r="GH369" s="2"/>
      <c r="GI369" s="2"/>
      <c r="GJ369" s="2"/>
      <c r="GK369" s="2"/>
      <c r="GL369" s="2"/>
      <c r="GM369" s="2"/>
      <c r="GN369" s="2"/>
      <c r="GO369" s="2"/>
      <c r="GP369" s="2"/>
      <c r="GQ369" s="2"/>
      <c r="GR369" s="2"/>
      <c r="GS369" s="2"/>
      <c r="GT369" s="2"/>
      <c r="GU369" s="2"/>
      <c r="GV369" s="2"/>
      <c r="GW369" s="2"/>
      <c r="GX369" s="2"/>
      <c r="GY369" s="2"/>
      <c r="GZ369" s="2"/>
      <c r="HA369" s="2"/>
      <c r="HB369" s="2"/>
      <c r="HC369" s="2"/>
      <c r="HD369" s="2"/>
      <c r="HE369" s="2"/>
      <c r="HF369" s="2"/>
      <c r="HG369" s="2"/>
      <c r="HH369" s="2"/>
      <c r="HI369" s="2"/>
      <c r="HJ369" s="2"/>
      <c r="HK369" s="2"/>
      <c r="HL369" s="2"/>
      <c r="HM369" s="2"/>
      <c r="HN369" s="2"/>
      <c r="HO369" s="2"/>
      <c r="HP369" s="2"/>
      <c r="HQ369" s="2"/>
      <c r="HR369" s="2"/>
      <c r="HS369" s="2"/>
      <c r="HT369" s="2"/>
      <c r="HU369" s="2"/>
      <c r="HV369" s="2"/>
      <c r="HW369" s="2"/>
      <c r="HX369" s="2"/>
      <c r="HY369" s="2"/>
      <c r="HZ369" s="2"/>
      <c r="IA369" s="2"/>
      <c r="IB369" s="2"/>
      <c r="IC369" s="2"/>
    </row>
    <row r="370" spans="1:237" x14ac:dyDescent="0.2">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c r="AA370" s="2"/>
      <c r="AB370" s="2"/>
      <c r="AC370" s="2"/>
      <c r="AD370" s="2"/>
      <c r="AE370" s="2"/>
      <c r="AF370" s="2"/>
      <c r="AG370" s="2"/>
      <c r="AH370" s="2"/>
      <c r="AI370" s="2"/>
      <c r="AJ370" s="2"/>
      <c r="AK370" s="2"/>
      <c r="AL370" s="2"/>
      <c r="AM370" s="2"/>
      <c r="AN370" s="2"/>
      <c r="AO370" s="2"/>
      <c r="AP370" s="2"/>
      <c r="AQ370" s="2"/>
      <c r="AR370" s="2"/>
      <c r="AS370" s="2"/>
      <c r="AT370" s="2"/>
      <c r="AU370" s="2"/>
      <c r="AV370" s="2"/>
      <c r="AW370" s="2"/>
      <c r="AX370" s="2"/>
      <c r="AY370" s="2"/>
      <c r="AZ370" s="2"/>
      <c r="BA370" s="2"/>
      <c r="BB370" s="2"/>
      <c r="BC370" s="2"/>
      <c r="BD370" s="2"/>
      <c r="BE370" s="2"/>
      <c r="BF370" s="2"/>
      <c r="BG370" s="2"/>
      <c r="BH370" s="2"/>
      <c r="BI370" s="2"/>
      <c r="BJ370" s="2"/>
      <c r="BK370" s="2"/>
      <c r="BL370" s="2"/>
      <c r="BM370" s="2"/>
      <c r="BN370" s="2"/>
      <c r="BO370" s="2"/>
      <c r="BP370" s="2"/>
      <c r="BQ370" s="2"/>
      <c r="BR370" s="2"/>
      <c r="BS370" s="2"/>
      <c r="BT370" s="2"/>
      <c r="BU370" s="2"/>
      <c r="BV370" s="2"/>
      <c r="BW370" s="2"/>
      <c r="BX370" s="2"/>
      <c r="BY370" s="2"/>
      <c r="BZ370" s="2"/>
      <c r="CA370" s="2"/>
      <c r="CB370" s="2"/>
      <c r="CC370" s="2"/>
      <c r="CD370" s="2"/>
      <c r="CE370" s="2"/>
      <c r="CF370" s="2"/>
      <c r="CG370" s="2"/>
      <c r="CH370" s="2"/>
      <c r="CI370" s="2"/>
      <c r="CJ370" s="2"/>
      <c r="CK370" s="2"/>
      <c r="CL370" s="2"/>
      <c r="CM370" s="2"/>
      <c r="CN370" s="2"/>
      <c r="CO370" s="2"/>
      <c r="CP370" s="2"/>
      <c r="CQ370" s="2"/>
      <c r="CR370" s="2"/>
      <c r="CS370" s="2"/>
      <c r="CT370" s="2"/>
      <c r="CU370" s="2"/>
      <c r="CV370" s="2"/>
      <c r="CW370" s="2"/>
      <c r="CX370" s="2"/>
      <c r="CY370" s="2"/>
      <c r="CZ370" s="2"/>
      <c r="DA370" s="2"/>
      <c r="DB370" s="2"/>
      <c r="DC370" s="2"/>
      <c r="DD370" s="2"/>
      <c r="DE370" s="2"/>
      <c r="DF370" s="2"/>
      <c r="DG370" s="2"/>
      <c r="DH370" s="2"/>
      <c r="DI370" s="2"/>
      <c r="DJ370" s="2"/>
      <c r="DK370" s="2"/>
      <c r="DL370" s="2"/>
      <c r="DM370" s="2"/>
      <c r="DN370" s="2"/>
      <c r="DO370" s="2"/>
      <c r="DP370" s="2"/>
      <c r="DQ370" s="2"/>
      <c r="DR370" s="2"/>
      <c r="DS370" s="2"/>
      <c r="DT370" s="2"/>
      <c r="DU370" s="2"/>
      <c r="DV370" s="2"/>
      <c r="DW370" s="2"/>
      <c r="DX370" s="2"/>
      <c r="DY370" s="2"/>
      <c r="DZ370" s="2"/>
      <c r="EA370" s="2"/>
      <c r="EB370" s="2"/>
      <c r="EC370" s="2"/>
      <c r="ED370" s="2"/>
      <c r="EE370" s="2"/>
      <c r="EF370" s="2"/>
      <c r="EG370" s="2"/>
      <c r="EH370" s="2"/>
      <c r="EI370" s="2"/>
      <c r="EJ370" s="2"/>
      <c r="EK370" s="2"/>
      <c r="EL370" s="2"/>
      <c r="EM370" s="2"/>
      <c r="EN370" s="2"/>
      <c r="EO370" s="2"/>
      <c r="EP370" s="2"/>
      <c r="EQ370" s="2"/>
      <c r="ER370" s="2"/>
      <c r="ES370" s="2"/>
      <c r="ET370" s="2"/>
      <c r="EU370" s="2"/>
      <c r="EV370" s="2"/>
      <c r="EW370" s="2"/>
      <c r="EX370" s="2"/>
      <c r="EY370" s="2"/>
      <c r="EZ370" s="2"/>
      <c r="FA370" s="2"/>
      <c r="FB370" s="2"/>
      <c r="FC370" s="2"/>
      <c r="FD370" s="2"/>
      <c r="FE370" s="2"/>
      <c r="FF370" s="2"/>
      <c r="FG370" s="2"/>
      <c r="FH370" s="2"/>
      <c r="FI370" s="2"/>
      <c r="FJ370" s="2"/>
      <c r="FK370" s="2"/>
      <c r="FL370" s="2"/>
      <c r="FM370" s="2"/>
      <c r="FN370" s="2"/>
      <c r="FO370" s="2"/>
      <c r="FP370" s="2"/>
      <c r="FQ370" s="2"/>
      <c r="FR370" s="2"/>
      <c r="FS370" s="2"/>
      <c r="FT370" s="2"/>
      <c r="FU370" s="2"/>
      <c r="FV370" s="2"/>
      <c r="FW370" s="2"/>
      <c r="FX370" s="2"/>
      <c r="FY370" s="2"/>
      <c r="FZ370" s="2"/>
      <c r="GA370" s="2"/>
      <c r="GB370" s="2"/>
      <c r="GC370" s="2"/>
      <c r="GD370" s="2"/>
      <c r="GE370" s="2"/>
      <c r="GF370" s="2"/>
      <c r="GG370" s="2"/>
      <c r="GH370" s="2"/>
      <c r="GI370" s="2"/>
      <c r="GJ370" s="2"/>
      <c r="GK370" s="2"/>
      <c r="GL370" s="2"/>
      <c r="GM370" s="2"/>
      <c r="GN370" s="2"/>
      <c r="GO370" s="2"/>
      <c r="GP370" s="2"/>
      <c r="GQ370" s="2"/>
      <c r="GR370" s="2"/>
      <c r="GS370" s="2"/>
      <c r="GT370" s="2"/>
      <c r="GU370" s="2"/>
      <c r="GV370" s="2"/>
      <c r="GW370" s="2"/>
      <c r="GX370" s="2"/>
      <c r="GY370" s="2"/>
      <c r="GZ370" s="2"/>
      <c r="HA370" s="2"/>
      <c r="HB370" s="2"/>
      <c r="HC370" s="2"/>
      <c r="HD370" s="2"/>
      <c r="HE370" s="2"/>
      <c r="HF370" s="2"/>
      <c r="HG370" s="2"/>
      <c r="HH370" s="2"/>
      <c r="HI370" s="2"/>
      <c r="HJ370" s="2"/>
      <c r="HK370" s="2"/>
      <c r="HL370" s="2"/>
      <c r="HM370" s="2"/>
      <c r="HN370" s="2"/>
      <c r="HO370" s="2"/>
      <c r="HP370" s="2"/>
      <c r="HQ370" s="2"/>
      <c r="HR370" s="2"/>
      <c r="HS370" s="2"/>
      <c r="HT370" s="2"/>
      <c r="HU370" s="2"/>
      <c r="HV370" s="2"/>
      <c r="HW370" s="2"/>
      <c r="HX370" s="2"/>
      <c r="HY370" s="2"/>
      <c r="HZ370" s="2"/>
      <c r="IA370" s="2"/>
      <c r="IB370" s="2"/>
      <c r="IC370" s="2"/>
    </row>
    <row r="371" spans="1:237" x14ac:dyDescent="0.2">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c r="AA371" s="2"/>
      <c r="AB371" s="2"/>
      <c r="AC371" s="2"/>
      <c r="AD371" s="2"/>
      <c r="AE371" s="2"/>
      <c r="AF371" s="2"/>
      <c r="AG371" s="2"/>
      <c r="AH371" s="2"/>
      <c r="AI371" s="2"/>
      <c r="AJ371" s="2"/>
      <c r="AK371" s="2"/>
      <c r="AL371" s="2"/>
      <c r="AM371" s="2"/>
      <c r="AN371" s="2"/>
      <c r="AO371" s="2"/>
      <c r="AP371" s="2"/>
      <c r="AQ371" s="2"/>
      <c r="AR371" s="2"/>
      <c r="AS371" s="2"/>
      <c r="AT371" s="2"/>
      <c r="AU371" s="2"/>
      <c r="AV371" s="2"/>
      <c r="AW371" s="2"/>
      <c r="AX371" s="2"/>
      <c r="AY371" s="2"/>
      <c r="AZ371" s="2"/>
      <c r="BA371" s="2"/>
      <c r="BB371" s="2"/>
      <c r="BC371" s="2"/>
      <c r="BD371" s="2"/>
      <c r="BE371" s="2"/>
      <c r="BF371" s="2"/>
      <c r="BG371" s="2"/>
      <c r="BH371" s="2"/>
      <c r="BI371" s="2"/>
      <c r="BJ371" s="2"/>
      <c r="BK371" s="2"/>
      <c r="BL371" s="2"/>
      <c r="BM371" s="2"/>
      <c r="BN371" s="2"/>
      <c r="BO371" s="2"/>
      <c r="BP371" s="2"/>
      <c r="BQ371" s="2"/>
      <c r="BR371" s="2"/>
      <c r="BS371" s="2"/>
      <c r="BT371" s="2"/>
      <c r="BU371" s="2"/>
      <c r="BV371" s="2"/>
      <c r="BW371" s="2"/>
      <c r="BX371" s="2"/>
      <c r="BY371" s="2"/>
      <c r="BZ371" s="2"/>
      <c r="CA371" s="2"/>
      <c r="CB371" s="2"/>
      <c r="CC371" s="2"/>
      <c r="CD371" s="2"/>
      <c r="CE371" s="2"/>
      <c r="CF371" s="2"/>
      <c r="CG371" s="2"/>
      <c r="CH371" s="2"/>
      <c r="CI371" s="2"/>
      <c r="CJ371" s="2"/>
      <c r="CK371" s="2"/>
      <c r="CL371" s="2"/>
      <c r="CM371" s="2"/>
      <c r="CN371" s="2"/>
      <c r="CO371" s="2"/>
      <c r="CP371" s="2"/>
      <c r="CQ371" s="2"/>
      <c r="CR371" s="2"/>
      <c r="CS371" s="2"/>
      <c r="CT371" s="2"/>
      <c r="CU371" s="2"/>
      <c r="CV371" s="2"/>
      <c r="CW371" s="2"/>
      <c r="CX371" s="2"/>
      <c r="CY371" s="2"/>
      <c r="CZ371" s="2"/>
      <c r="DA371" s="2"/>
      <c r="DB371" s="2"/>
      <c r="DC371" s="2"/>
      <c r="DD371" s="2"/>
      <c r="DE371" s="2"/>
      <c r="DF371" s="2"/>
      <c r="DG371" s="2"/>
      <c r="DH371" s="2"/>
      <c r="DI371" s="2"/>
      <c r="DJ371" s="2"/>
      <c r="DK371" s="2"/>
      <c r="DL371" s="2"/>
      <c r="DM371" s="2"/>
      <c r="DN371" s="2"/>
      <c r="DO371" s="2"/>
      <c r="DP371" s="2"/>
      <c r="DQ371" s="2"/>
      <c r="DR371" s="2"/>
      <c r="DS371" s="2"/>
      <c r="DT371" s="2"/>
      <c r="DU371" s="2"/>
      <c r="DV371" s="2"/>
      <c r="DW371" s="2"/>
      <c r="DX371" s="2"/>
      <c r="DY371" s="2"/>
      <c r="DZ371" s="2"/>
      <c r="EA371" s="2"/>
      <c r="EB371" s="2"/>
      <c r="EC371" s="2"/>
      <c r="ED371" s="2"/>
      <c r="EE371" s="2"/>
      <c r="EF371" s="2"/>
      <c r="EG371" s="2"/>
      <c r="EH371" s="2"/>
      <c r="EI371" s="2"/>
      <c r="EJ371" s="2"/>
      <c r="EK371" s="2"/>
      <c r="EL371" s="2"/>
      <c r="EM371" s="2"/>
      <c r="EN371" s="2"/>
      <c r="EO371" s="2"/>
      <c r="EP371" s="2"/>
      <c r="EQ371" s="2"/>
      <c r="ER371" s="2"/>
      <c r="ES371" s="2"/>
      <c r="ET371" s="2"/>
      <c r="EU371" s="2"/>
      <c r="EV371" s="2"/>
      <c r="EW371" s="2"/>
      <c r="EX371" s="2"/>
      <c r="EY371" s="2"/>
      <c r="EZ371" s="2"/>
      <c r="FA371" s="2"/>
      <c r="FB371" s="2"/>
      <c r="FC371" s="2"/>
      <c r="FD371" s="2"/>
      <c r="FE371" s="2"/>
      <c r="FF371" s="2"/>
      <c r="FG371" s="2"/>
      <c r="FH371" s="2"/>
      <c r="FI371" s="2"/>
      <c r="FJ371" s="2"/>
      <c r="FK371" s="2"/>
      <c r="FL371" s="2"/>
      <c r="FM371" s="2"/>
      <c r="FN371" s="2"/>
      <c r="FO371" s="2"/>
      <c r="FP371" s="2"/>
      <c r="FQ371" s="2"/>
      <c r="FR371" s="2"/>
      <c r="FS371" s="2"/>
      <c r="FT371" s="2"/>
      <c r="FU371" s="2"/>
      <c r="FV371" s="2"/>
      <c r="FW371" s="2"/>
      <c r="FX371" s="2"/>
      <c r="FY371" s="2"/>
      <c r="FZ371" s="2"/>
      <c r="GA371" s="2"/>
      <c r="GB371" s="2"/>
      <c r="GC371" s="2"/>
      <c r="GD371" s="2"/>
      <c r="GE371" s="2"/>
      <c r="GF371" s="2"/>
      <c r="GG371" s="2"/>
      <c r="GH371" s="2"/>
      <c r="GI371" s="2"/>
      <c r="GJ371" s="2"/>
      <c r="GK371" s="2"/>
      <c r="GL371" s="2"/>
      <c r="GM371" s="2"/>
      <c r="GN371" s="2"/>
      <c r="GO371" s="2"/>
      <c r="GP371" s="2"/>
      <c r="GQ371" s="2"/>
      <c r="GR371" s="2"/>
      <c r="GS371" s="2"/>
      <c r="GT371" s="2"/>
      <c r="GU371" s="2"/>
      <c r="GV371" s="2"/>
      <c r="GW371" s="2"/>
      <c r="GX371" s="2"/>
      <c r="GY371" s="2"/>
      <c r="GZ371" s="2"/>
      <c r="HA371" s="2"/>
      <c r="HB371" s="2"/>
      <c r="HC371" s="2"/>
      <c r="HD371" s="2"/>
      <c r="HE371" s="2"/>
      <c r="HF371" s="2"/>
      <c r="HG371" s="2"/>
      <c r="HH371" s="2"/>
      <c r="HI371" s="2"/>
      <c r="HJ371" s="2"/>
      <c r="HK371" s="2"/>
      <c r="HL371" s="2"/>
      <c r="HM371" s="2"/>
      <c r="HN371" s="2"/>
      <c r="HO371" s="2"/>
      <c r="HP371" s="2"/>
      <c r="HQ371" s="2"/>
      <c r="HR371" s="2"/>
      <c r="HS371" s="2"/>
      <c r="HT371" s="2"/>
      <c r="HU371" s="2"/>
      <c r="HV371" s="2"/>
      <c r="HW371" s="2"/>
      <c r="HX371" s="2"/>
      <c r="HY371" s="2"/>
      <c r="HZ371" s="2"/>
      <c r="IA371" s="2"/>
      <c r="IB371" s="2"/>
      <c r="IC371" s="2"/>
    </row>
    <row r="372" spans="1:237" x14ac:dyDescent="0.2">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c r="AA372" s="2"/>
      <c r="AB372" s="2"/>
      <c r="AC372" s="2"/>
      <c r="AD372" s="2"/>
      <c r="AE372" s="2"/>
      <c r="AF372" s="2"/>
      <c r="AG372" s="2"/>
      <c r="AH372" s="2"/>
      <c r="AI372" s="2"/>
      <c r="AJ372" s="2"/>
      <c r="AK372" s="2"/>
      <c r="AL372" s="2"/>
      <c r="AM372" s="2"/>
      <c r="AN372" s="2"/>
      <c r="AO372" s="2"/>
      <c r="AP372" s="2"/>
      <c r="AQ372" s="2"/>
      <c r="AR372" s="2"/>
      <c r="AS372" s="2"/>
      <c r="AT372" s="2"/>
      <c r="AU372" s="2"/>
      <c r="AV372" s="2"/>
      <c r="AW372" s="2"/>
      <c r="AX372" s="2"/>
      <c r="AY372" s="2"/>
      <c r="AZ372" s="2"/>
      <c r="BA372" s="2"/>
      <c r="BB372" s="2"/>
      <c r="BC372" s="2"/>
      <c r="BD372" s="2"/>
      <c r="BE372" s="2"/>
      <c r="BF372" s="2"/>
      <c r="BG372" s="2"/>
      <c r="BH372" s="2"/>
      <c r="BI372" s="2"/>
      <c r="BJ372" s="2"/>
      <c r="BK372" s="2"/>
      <c r="BL372" s="2"/>
      <c r="BM372" s="2"/>
      <c r="BN372" s="2"/>
      <c r="BO372" s="2"/>
      <c r="BP372" s="2"/>
      <c r="BQ372" s="2"/>
      <c r="BR372" s="2"/>
      <c r="BS372" s="2"/>
      <c r="BT372" s="2"/>
      <c r="BU372" s="2"/>
      <c r="BV372" s="2"/>
      <c r="BW372" s="2"/>
      <c r="BX372" s="2"/>
      <c r="BY372" s="2"/>
      <c r="BZ372" s="2"/>
      <c r="CA372" s="2"/>
      <c r="CB372" s="2"/>
      <c r="CC372" s="2"/>
      <c r="CD372" s="2"/>
      <c r="CE372" s="2"/>
      <c r="CF372" s="2"/>
      <c r="CG372" s="2"/>
      <c r="CH372" s="2"/>
      <c r="CI372" s="2"/>
      <c r="CJ372" s="2"/>
      <c r="CK372" s="2"/>
      <c r="CL372" s="2"/>
      <c r="CM372" s="2"/>
      <c r="CN372" s="2"/>
      <c r="CO372" s="2"/>
      <c r="CP372" s="2"/>
      <c r="CQ372" s="2"/>
      <c r="CR372" s="2"/>
      <c r="CS372" s="2"/>
      <c r="CT372" s="2"/>
      <c r="CU372" s="2"/>
      <c r="CV372" s="2"/>
      <c r="CW372" s="2"/>
      <c r="CX372" s="2"/>
      <c r="CY372" s="2"/>
      <c r="CZ372" s="2"/>
      <c r="DA372" s="2"/>
      <c r="DB372" s="2"/>
      <c r="DC372" s="2"/>
      <c r="DD372" s="2"/>
      <c r="DE372" s="2"/>
      <c r="DF372" s="2"/>
      <c r="DG372" s="2"/>
      <c r="DH372" s="2"/>
      <c r="DI372" s="2"/>
      <c r="DJ372" s="2"/>
      <c r="DK372" s="2"/>
      <c r="DL372" s="2"/>
      <c r="DM372" s="2"/>
      <c r="DN372" s="2"/>
      <c r="DO372" s="2"/>
      <c r="DP372" s="2"/>
      <c r="DQ372" s="2"/>
      <c r="DR372" s="2"/>
      <c r="DS372" s="2"/>
      <c r="DT372" s="2"/>
      <c r="DU372" s="2"/>
      <c r="DV372" s="2"/>
      <c r="DW372" s="2"/>
      <c r="DX372" s="2"/>
      <c r="DY372" s="2"/>
      <c r="DZ372" s="2"/>
      <c r="EA372" s="2"/>
      <c r="EB372" s="2"/>
      <c r="EC372" s="2"/>
      <c r="ED372" s="2"/>
      <c r="EE372" s="2"/>
      <c r="EF372" s="2"/>
      <c r="EG372" s="2"/>
      <c r="EH372" s="2"/>
      <c r="EI372" s="2"/>
      <c r="EJ372" s="2"/>
      <c r="EK372" s="2"/>
      <c r="EL372" s="2"/>
      <c r="EM372" s="2"/>
      <c r="EN372" s="2"/>
      <c r="EO372" s="2"/>
      <c r="EP372" s="2"/>
      <c r="EQ372" s="2"/>
      <c r="ER372" s="2"/>
      <c r="ES372" s="2"/>
      <c r="ET372" s="2"/>
      <c r="EU372" s="2"/>
      <c r="EV372" s="2"/>
      <c r="EW372" s="2"/>
      <c r="EX372" s="2"/>
      <c r="EY372" s="2"/>
      <c r="EZ372" s="2"/>
      <c r="FA372" s="2"/>
      <c r="FB372" s="2"/>
      <c r="FC372" s="2"/>
      <c r="FD372" s="2"/>
      <c r="FE372" s="2"/>
      <c r="FF372" s="2"/>
      <c r="FG372" s="2"/>
      <c r="FH372" s="2"/>
      <c r="FI372" s="2"/>
      <c r="FJ372" s="2"/>
      <c r="FK372" s="2"/>
      <c r="FL372" s="2"/>
      <c r="FM372" s="2"/>
      <c r="FN372" s="2"/>
      <c r="FO372" s="2"/>
      <c r="FP372" s="2"/>
      <c r="FQ372" s="2"/>
      <c r="FR372" s="2"/>
      <c r="FS372" s="2"/>
      <c r="FT372" s="2"/>
      <c r="FU372" s="2"/>
      <c r="FV372" s="2"/>
      <c r="FW372" s="2"/>
      <c r="FX372" s="2"/>
      <c r="FY372" s="2"/>
      <c r="FZ372" s="2"/>
      <c r="GA372" s="2"/>
      <c r="GB372" s="2"/>
      <c r="GC372" s="2"/>
      <c r="GD372" s="2"/>
      <c r="GE372" s="2"/>
      <c r="GF372" s="2"/>
      <c r="GG372" s="2"/>
      <c r="GH372" s="2"/>
      <c r="GI372" s="2"/>
      <c r="GJ372" s="2"/>
      <c r="GK372" s="2"/>
      <c r="GL372" s="2"/>
      <c r="GM372" s="2"/>
      <c r="GN372" s="2"/>
      <c r="GO372" s="2"/>
      <c r="GP372" s="2"/>
      <c r="GQ372" s="2"/>
      <c r="GR372" s="2"/>
      <c r="GS372" s="2"/>
      <c r="GT372" s="2"/>
      <c r="GU372" s="2"/>
      <c r="GV372" s="2"/>
      <c r="GW372" s="2"/>
      <c r="GX372" s="2"/>
      <c r="GY372" s="2"/>
      <c r="GZ372" s="2"/>
      <c r="HA372" s="2"/>
      <c r="HB372" s="2"/>
      <c r="HC372" s="2"/>
      <c r="HD372" s="2"/>
      <c r="HE372" s="2"/>
      <c r="HF372" s="2"/>
      <c r="HG372" s="2"/>
      <c r="HH372" s="2"/>
      <c r="HI372" s="2"/>
      <c r="HJ372" s="2"/>
      <c r="HK372" s="2"/>
      <c r="HL372" s="2"/>
      <c r="HM372" s="2"/>
      <c r="HN372" s="2"/>
      <c r="HO372" s="2"/>
      <c r="HP372" s="2"/>
      <c r="HQ372" s="2"/>
      <c r="HR372" s="2"/>
      <c r="HS372" s="2"/>
      <c r="HT372" s="2"/>
      <c r="HU372" s="2"/>
      <c r="HV372" s="2"/>
      <c r="HW372" s="2"/>
      <c r="HX372" s="2"/>
      <c r="HY372" s="2"/>
      <c r="HZ372" s="2"/>
      <c r="IA372" s="2"/>
      <c r="IB372" s="2"/>
      <c r="IC372" s="2"/>
    </row>
    <row r="373" spans="1:237" x14ac:dyDescent="0.2">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c r="AA373" s="2"/>
      <c r="AB373" s="2"/>
      <c r="AC373" s="2"/>
      <c r="AD373" s="2"/>
      <c r="AE373" s="2"/>
      <c r="AF373" s="2"/>
      <c r="AG373" s="2"/>
      <c r="AH373" s="2"/>
      <c r="AI373" s="2"/>
      <c r="AJ373" s="2"/>
      <c r="AK373" s="2"/>
      <c r="AL373" s="2"/>
      <c r="AM373" s="2"/>
      <c r="AN373" s="2"/>
      <c r="AO373" s="2"/>
      <c r="AP373" s="2"/>
      <c r="AQ373" s="2"/>
      <c r="AR373" s="2"/>
      <c r="AS373" s="2"/>
      <c r="AT373" s="2"/>
      <c r="AU373" s="2"/>
      <c r="AV373" s="2"/>
      <c r="AW373" s="2"/>
      <c r="AX373" s="2"/>
      <c r="AY373" s="2"/>
      <c r="AZ373" s="2"/>
      <c r="BA373" s="2"/>
      <c r="BB373" s="2"/>
      <c r="BC373" s="2"/>
      <c r="BD373" s="2"/>
      <c r="BE373" s="2"/>
      <c r="BF373" s="2"/>
      <c r="BG373" s="2"/>
      <c r="BH373" s="2"/>
      <c r="BI373" s="2"/>
      <c r="BJ373" s="2"/>
      <c r="BK373" s="2"/>
      <c r="BL373" s="2"/>
      <c r="BM373" s="2"/>
      <c r="BN373" s="2"/>
      <c r="BO373" s="2"/>
      <c r="BP373" s="2"/>
      <c r="BQ373" s="2"/>
      <c r="BR373" s="2"/>
      <c r="BS373" s="2"/>
      <c r="BT373" s="2"/>
      <c r="BU373" s="2"/>
      <c r="BV373" s="2"/>
      <c r="BW373" s="2"/>
      <c r="BX373" s="2"/>
      <c r="BY373" s="2"/>
      <c r="BZ373" s="2"/>
      <c r="CA373" s="2"/>
      <c r="CB373" s="2"/>
      <c r="CC373" s="2"/>
      <c r="CD373" s="2"/>
      <c r="CE373" s="2"/>
      <c r="CF373" s="2"/>
      <c r="CG373" s="2"/>
      <c r="CH373" s="2"/>
      <c r="CI373" s="2"/>
      <c r="CJ373" s="2"/>
      <c r="CK373" s="2"/>
      <c r="CL373" s="2"/>
      <c r="CM373" s="2"/>
      <c r="CN373" s="2"/>
      <c r="CO373" s="2"/>
      <c r="CP373" s="2"/>
      <c r="CQ373" s="2"/>
      <c r="CR373" s="2"/>
      <c r="CS373" s="2"/>
      <c r="CT373" s="2"/>
      <c r="CU373" s="2"/>
      <c r="CV373" s="2"/>
      <c r="CW373" s="2"/>
      <c r="CX373" s="2"/>
      <c r="CY373" s="2"/>
      <c r="CZ373" s="2"/>
      <c r="DA373" s="2"/>
      <c r="DB373" s="2"/>
      <c r="DC373" s="2"/>
      <c r="DD373" s="2"/>
      <c r="DE373" s="2"/>
      <c r="DF373" s="2"/>
      <c r="DG373" s="2"/>
      <c r="DH373" s="2"/>
      <c r="DI373" s="2"/>
      <c r="DJ373" s="2"/>
      <c r="DK373" s="2"/>
      <c r="DL373" s="2"/>
      <c r="DM373" s="2"/>
      <c r="DN373" s="2"/>
      <c r="DO373" s="2"/>
      <c r="DP373" s="2"/>
      <c r="DQ373" s="2"/>
      <c r="DR373" s="2"/>
      <c r="DS373" s="2"/>
      <c r="DT373" s="2"/>
      <c r="DU373" s="2"/>
      <c r="DV373" s="2"/>
      <c r="DW373" s="2"/>
      <c r="DX373" s="2"/>
      <c r="DY373" s="2"/>
      <c r="DZ373" s="2"/>
      <c r="EA373" s="2"/>
      <c r="EB373" s="2"/>
      <c r="EC373" s="2"/>
      <c r="ED373" s="2"/>
      <c r="EE373" s="2"/>
      <c r="EF373" s="2"/>
      <c r="EG373" s="2"/>
      <c r="EH373" s="2"/>
      <c r="EI373" s="2"/>
      <c r="EJ373" s="2"/>
      <c r="EK373" s="2"/>
      <c r="EL373" s="2"/>
      <c r="EM373" s="2"/>
      <c r="EN373" s="2"/>
      <c r="EO373" s="2"/>
      <c r="EP373" s="2"/>
      <c r="EQ373" s="2"/>
      <c r="ER373" s="2"/>
      <c r="ES373" s="2"/>
      <c r="ET373" s="2"/>
      <c r="EU373" s="2"/>
      <c r="EV373" s="2"/>
      <c r="EW373" s="2"/>
      <c r="EX373" s="2"/>
      <c r="EY373" s="2"/>
      <c r="EZ373" s="2"/>
      <c r="FA373" s="2"/>
      <c r="FB373" s="2"/>
      <c r="FC373" s="2"/>
      <c r="FD373" s="2"/>
      <c r="FE373" s="2"/>
      <c r="FF373" s="2"/>
      <c r="FG373" s="2"/>
      <c r="FH373" s="2"/>
      <c r="FI373" s="2"/>
      <c r="FJ373" s="2"/>
      <c r="FK373" s="2"/>
      <c r="FL373" s="2"/>
      <c r="FM373" s="2"/>
      <c r="FN373" s="2"/>
      <c r="FO373" s="2"/>
      <c r="FP373" s="2"/>
      <c r="FQ373" s="2"/>
      <c r="FR373" s="2"/>
      <c r="FS373" s="2"/>
      <c r="FT373" s="2"/>
      <c r="FU373" s="2"/>
      <c r="FV373" s="2"/>
      <c r="FW373" s="2"/>
      <c r="FX373" s="2"/>
      <c r="FY373" s="2"/>
      <c r="FZ373" s="2"/>
      <c r="GA373" s="2"/>
      <c r="GB373" s="2"/>
      <c r="GC373" s="2"/>
      <c r="GD373" s="2"/>
      <c r="GE373" s="2"/>
      <c r="GF373" s="2"/>
      <c r="GG373" s="2"/>
      <c r="GH373" s="2"/>
      <c r="GI373" s="2"/>
      <c r="GJ373" s="2"/>
      <c r="GK373" s="2"/>
      <c r="GL373" s="2"/>
      <c r="GM373" s="2"/>
      <c r="GN373" s="2"/>
      <c r="GO373" s="2"/>
      <c r="GP373" s="2"/>
      <c r="GQ373" s="2"/>
      <c r="GR373" s="2"/>
      <c r="GS373" s="2"/>
      <c r="GT373" s="2"/>
      <c r="GU373" s="2"/>
      <c r="GV373" s="2"/>
      <c r="GW373" s="2"/>
      <c r="GX373" s="2"/>
      <c r="GY373" s="2"/>
      <c r="GZ373" s="2"/>
      <c r="HA373" s="2"/>
      <c r="HB373" s="2"/>
      <c r="HC373" s="2"/>
      <c r="HD373" s="2"/>
      <c r="HE373" s="2"/>
      <c r="HF373" s="2"/>
      <c r="HG373" s="2"/>
      <c r="HH373" s="2"/>
      <c r="HI373" s="2"/>
      <c r="HJ373" s="2"/>
      <c r="HK373" s="2"/>
      <c r="HL373" s="2"/>
      <c r="HM373" s="2"/>
      <c r="HN373" s="2"/>
      <c r="HO373" s="2"/>
      <c r="HP373" s="2"/>
      <c r="HQ373" s="2"/>
      <c r="HR373" s="2"/>
      <c r="HS373" s="2"/>
      <c r="HT373" s="2"/>
      <c r="HU373" s="2"/>
      <c r="HV373" s="2"/>
      <c r="HW373" s="2"/>
      <c r="HX373" s="2"/>
      <c r="HY373" s="2"/>
      <c r="HZ373" s="2"/>
      <c r="IA373" s="2"/>
      <c r="IB373" s="2"/>
      <c r="IC373" s="2"/>
    </row>
    <row r="374" spans="1:237" x14ac:dyDescent="0.2">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c r="AA374" s="2"/>
      <c r="AB374" s="2"/>
      <c r="AC374" s="2"/>
      <c r="AD374" s="2"/>
      <c r="AE374" s="2"/>
      <c r="AF374" s="2"/>
      <c r="AG374" s="2"/>
      <c r="AH374" s="2"/>
      <c r="AI374" s="2"/>
      <c r="AJ374" s="2"/>
      <c r="AK374" s="2"/>
      <c r="AL374" s="2"/>
      <c r="AM374" s="2"/>
      <c r="AN374" s="2"/>
      <c r="AO374" s="2"/>
      <c r="AP374" s="2"/>
      <c r="AQ374" s="2"/>
      <c r="AR374" s="2"/>
      <c r="AS374" s="2"/>
      <c r="AT374" s="2"/>
      <c r="AU374" s="2"/>
      <c r="AV374" s="2"/>
      <c r="AW374" s="2"/>
      <c r="AX374" s="2"/>
      <c r="AY374" s="2"/>
      <c r="AZ374" s="2"/>
      <c r="BA374" s="2"/>
      <c r="BB374" s="2"/>
      <c r="BC374" s="2"/>
      <c r="BD374" s="2"/>
      <c r="BE374" s="2"/>
      <c r="BF374" s="2"/>
      <c r="BG374" s="2"/>
      <c r="BH374" s="2"/>
      <c r="BI374" s="2"/>
      <c r="BJ374" s="2"/>
      <c r="BK374" s="2"/>
      <c r="BL374" s="2"/>
      <c r="BM374" s="2"/>
      <c r="BN374" s="2"/>
      <c r="BO374" s="2"/>
      <c r="BP374" s="2"/>
      <c r="BQ374" s="2"/>
      <c r="BR374" s="2"/>
      <c r="BS374" s="2"/>
      <c r="BT374" s="2"/>
      <c r="BU374" s="2"/>
      <c r="BV374" s="2"/>
      <c r="BW374" s="2"/>
      <c r="BX374" s="2"/>
      <c r="BY374" s="2"/>
      <c r="BZ374" s="2"/>
      <c r="CA374" s="2"/>
      <c r="CB374" s="2"/>
      <c r="CC374" s="2"/>
      <c r="CD374" s="2"/>
      <c r="CE374" s="2"/>
      <c r="CF374" s="2"/>
      <c r="CG374" s="2"/>
      <c r="CH374" s="2"/>
      <c r="CI374" s="2"/>
      <c r="CJ374" s="2"/>
      <c r="CK374" s="2"/>
      <c r="CL374" s="2"/>
      <c r="CM374" s="2"/>
      <c r="CN374" s="2"/>
      <c r="CO374" s="2"/>
      <c r="CP374" s="2"/>
      <c r="CQ374" s="2"/>
      <c r="CR374" s="2"/>
      <c r="CS374" s="2"/>
      <c r="CT374" s="2"/>
      <c r="CU374" s="2"/>
      <c r="CV374" s="2"/>
      <c r="CW374" s="2"/>
      <c r="CX374" s="2"/>
      <c r="CY374" s="2"/>
      <c r="CZ374" s="2"/>
      <c r="DA374" s="2"/>
      <c r="DB374" s="2"/>
      <c r="DC374" s="2"/>
      <c r="DD374" s="2"/>
      <c r="DE374" s="2"/>
      <c r="DF374" s="2"/>
      <c r="DG374" s="2"/>
      <c r="DH374" s="2"/>
      <c r="DI374" s="2"/>
      <c r="DJ374" s="2"/>
      <c r="DK374" s="2"/>
      <c r="DL374" s="2"/>
      <c r="DM374" s="2"/>
      <c r="DN374" s="2"/>
      <c r="DO374" s="2"/>
      <c r="DP374" s="2"/>
      <c r="DQ374" s="2"/>
      <c r="DR374" s="2"/>
      <c r="DS374" s="2"/>
      <c r="DT374" s="2"/>
      <c r="DU374" s="2"/>
      <c r="DV374" s="2"/>
      <c r="DW374" s="2"/>
      <c r="DX374" s="2"/>
      <c r="DY374" s="2"/>
      <c r="DZ374" s="2"/>
      <c r="EA374" s="2"/>
      <c r="EB374" s="2"/>
      <c r="EC374" s="2"/>
      <c r="ED374" s="2"/>
      <c r="EE374" s="2"/>
      <c r="EF374" s="2"/>
      <c r="EG374" s="2"/>
      <c r="EH374" s="2"/>
      <c r="EI374" s="2"/>
      <c r="EJ374" s="2"/>
      <c r="EK374" s="2"/>
      <c r="EL374" s="2"/>
      <c r="EM374" s="2"/>
      <c r="EN374" s="2"/>
      <c r="EO374" s="2"/>
      <c r="EP374" s="2"/>
      <c r="EQ374" s="2"/>
      <c r="ER374" s="2"/>
      <c r="ES374" s="2"/>
      <c r="ET374" s="2"/>
      <c r="EU374" s="2"/>
      <c r="EV374" s="2"/>
      <c r="EW374" s="2"/>
      <c r="EX374" s="2"/>
      <c r="EY374" s="2"/>
      <c r="EZ374" s="2"/>
      <c r="FA374" s="2"/>
      <c r="FB374" s="2"/>
      <c r="FC374" s="2"/>
      <c r="FD374" s="2"/>
      <c r="FE374" s="2"/>
      <c r="FF374" s="2"/>
      <c r="FG374" s="2"/>
      <c r="FH374" s="2"/>
      <c r="FI374" s="2"/>
      <c r="FJ374" s="2"/>
      <c r="FK374" s="2"/>
      <c r="FL374" s="2"/>
      <c r="FM374" s="2"/>
      <c r="FN374" s="2"/>
      <c r="FO374" s="2"/>
      <c r="FP374" s="2"/>
      <c r="FQ374" s="2"/>
      <c r="FR374" s="2"/>
      <c r="FS374" s="2"/>
      <c r="FT374" s="2"/>
      <c r="FU374" s="2"/>
      <c r="FV374" s="2"/>
      <c r="FW374" s="2"/>
      <c r="FX374" s="2"/>
      <c r="FY374" s="2"/>
      <c r="FZ374" s="2"/>
      <c r="GA374" s="2"/>
      <c r="GB374" s="2"/>
      <c r="GC374" s="2"/>
      <c r="GD374" s="2"/>
      <c r="GE374" s="2"/>
      <c r="GF374" s="2"/>
      <c r="GG374" s="2"/>
      <c r="GH374" s="2"/>
      <c r="GI374" s="2"/>
      <c r="GJ374" s="2"/>
      <c r="GK374" s="2"/>
      <c r="GL374" s="2"/>
      <c r="GM374" s="2"/>
      <c r="GN374" s="2"/>
      <c r="GO374" s="2"/>
      <c r="GP374" s="2"/>
      <c r="GQ374" s="2"/>
      <c r="GR374" s="2"/>
      <c r="GS374" s="2"/>
      <c r="GT374" s="2"/>
      <c r="GU374" s="2"/>
      <c r="GV374" s="2"/>
      <c r="GW374" s="2"/>
      <c r="GX374" s="2"/>
      <c r="GY374" s="2"/>
      <c r="GZ374" s="2"/>
      <c r="HA374" s="2"/>
      <c r="HB374" s="2"/>
      <c r="HC374" s="2"/>
      <c r="HD374" s="2"/>
      <c r="HE374" s="2"/>
      <c r="HF374" s="2"/>
      <c r="HG374" s="2"/>
      <c r="HH374" s="2"/>
      <c r="HI374" s="2"/>
      <c r="HJ374" s="2"/>
      <c r="HK374" s="2"/>
      <c r="HL374" s="2"/>
      <c r="HM374" s="2"/>
      <c r="HN374" s="2"/>
      <c r="HO374" s="2"/>
      <c r="HP374" s="2"/>
      <c r="HQ374" s="2"/>
      <c r="HR374" s="2"/>
      <c r="HS374" s="2"/>
      <c r="HT374" s="2"/>
      <c r="HU374" s="2"/>
      <c r="HV374" s="2"/>
      <c r="HW374" s="2"/>
      <c r="HX374" s="2"/>
      <c r="HY374" s="2"/>
      <c r="HZ374" s="2"/>
      <c r="IA374" s="2"/>
      <c r="IB374" s="2"/>
      <c r="IC374" s="2"/>
    </row>
    <row r="375" spans="1:237" x14ac:dyDescent="0.2">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c r="AA375" s="2"/>
      <c r="AB375" s="2"/>
      <c r="AC375" s="2"/>
      <c r="AD375" s="2"/>
      <c r="AE375" s="2"/>
      <c r="AF375" s="2"/>
      <c r="AG375" s="2"/>
      <c r="AH375" s="2"/>
      <c r="AI375" s="2"/>
      <c r="AJ375" s="2"/>
      <c r="AK375" s="2"/>
      <c r="AL375" s="2"/>
      <c r="AM375" s="2"/>
      <c r="AN375" s="2"/>
      <c r="AO375" s="2"/>
      <c r="AP375" s="2"/>
      <c r="AQ375" s="2"/>
      <c r="AR375" s="2"/>
      <c r="AS375" s="2"/>
      <c r="AT375" s="2"/>
      <c r="AU375" s="2"/>
      <c r="AV375" s="2"/>
      <c r="AW375" s="2"/>
      <c r="AX375" s="2"/>
      <c r="AY375" s="2"/>
      <c r="AZ375" s="2"/>
      <c r="BA375" s="2"/>
      <c r="BB375" s="2"/>
      <c r="BC375" s="2"/>
      <c r="BD375" s="2"/>
      <c r="BE375" s="2"/>
      <c r="BF375" s="2"/>
      <c r="BG375" s="2"/>
      <c r="BH375" s="2"/>
      <c r="BI375" s="2"/>
      <c r="BJ375" s="2"/>
      <c r="BK375" s="2"/>
      <c r="BL375" s="2"/>
      <c r="BM375" s="2"/>
      <c r="BN375" s="2"/>
      <c r="BO375" s="2"/>
      <c r="BP375" s="2"/>
      <c r="BQ375" s="2"/>
      <c r="BR375" s="2"/>
      <c r="BS375" s="2"/>
      <c r="BT375" s="2"/>
      <c r="BU375" s="2"/>
      <c r="BV375" s="2"/>
      <c r="BW375" s="2"/>
      <c r="BX375" s="2"/>
      <c r="BY375" s="2"/>
      <c r="BZ375" s="2"/>
      <c r="CA375" s="2"/>
      <c r="CB375" s="2"/>
      <c r="CC375" s="2"/>
      <c r="CD375" s="2"/>
      <c r="CE375" s="2"/>
      <c r="CF375" s="2"/>
      <c r="CG375" s="2"/>
      <c r="CH375" s="2"/>
      <c r="CI375" s="2"/>
      <c r="CJ375" s="2"/>
      <c r="CK375" s="2"/>
      <c r="CL375" s="2"/>
      <c r="CM375" s="2"/>
      <c r="CN375" s="2"/>
      <c r="CO375" s="2"/>
      <c r="CP375" s="2"/>
      <c r="CQ375" s="2"/>
      <c r="CR375" s="2"/>
      <c r="CS375" s="2"/>
      <c r="CT375" s="2"/>
      <c r="CU375" s="2"/>
      <c r="CV375" s="2"/>
      <c r="CW375" s="2"/>
      <c r="CX375" s="2"/>
      <c r="CY375" s="2"/>
      <c r="CZ375" s="2"/>
      <c r="DA375" s="2"/>
      <c r="DB375" s="2"/>
      <c r="DC375" s="2"/>
      <c r="DD375" s="2"/>
      <c r="DE375" s="2"/>
      <c r="DF375" s="2"/>
      <c r="DG375" s="2"/>
      <c r="DH375" s="2"/>
      <c r="DI375" s="2"/>
      <c r="DJ375" s="2"/>
      <c r="DK375" s="2"/>
      <c r="DL375" s="2"/>
      <c r="DM375" s="2"/>
      <c r="DN375" s="2"/>
      <c r="DO375" s="2"/>
      <c r="DP375" s="2"/>
      <c r="DQ375" s="2"/>
      <c r="DR375" s="2"/>
      <c r="DS375" s="2"/>
      <c r="DT375" s="2"/>
      <c r="DU375" s="2"/>
      <c r="DV375" s="2"/>
      <c r="DW375" s="2"/>
      <c r="DX375" s="2"/>
      <c r="DY375" s="2"/>
      <c r="DZ375" s="2"/>
      <c r="EA375" s="2"/>
      <c r="EB375" s="2"/>
      <c r="EC375" s="2"/>
      <c r="ED375" s="2"/>
      <c r="EE375" s="2"/>
      <c r="EF375" s="2"/>
      <c r="EG375" s="2"/>
      <c r="EH375" s="2"/>
      <c r="EI375" s="2"/>
      <c r="EJ375" s="2"/>
      <c r="EK375" s="2"/>
      <c r="EL375" s="2"/>
      <c r="EM375" s="2"/>
      <c r="EN375" s="2"/>
      <c r="EO375" s="2"/>
      <c r="EP375" s="2"/>
      <c r="EQ375" s="2"/>
      <c r="ER375" s="2"/>
      <c r="ES375" s="2"/>
      <c r="ET375" s="2"/>
      <c r="EU375" s="2"/>
      <c r="EV375" s="2"/>
      <c r="EW375" s="2"/>
      <c r="EX375" s="2"/>
      <c r="EY375" s="2"/>
      <c r="EZ375" s="2"/>
      <c r="FA375" s="2"/>
      <c r="FB375" s="2"/>
      <c r="FC375" s="2"/>
      <c r="FD375" s="2"/>
      <c r="FE375" s="2"/>
      <c r="FF375" s="2"/>
      <c r="FG375" s="2"/>
      <c r="FH375" s="2"/>
      <c r="FI375" s="2"/>
      <c r="FJ375" s="2"/>
      <c r="FK375" s="2"/>
      <c r="FL375" s="2"/>
      <c r="FM375" s="2"/>
      <c r="FN375" s="2"/>
      <c r="FO375" s="2"/>
      <c r="FP375" s="2"/>
      <c r="FQ375" s="2"/>
      <c r="FR375" s="2"/>
      <c r="FS375" s="2"/>
      <c r="FT375" s="2"/>
      <c r="FU375" s="2"/>
      <c r="FV375" s="2"/>
      <c r="FW375" s="2"/>
      <c r="FX375" s="2"/>
      <c r="FY375" s="2"/>
      <c r="FZ375" s="2"/>
      <c r="GA375" s="2"/>
      <c r="GB375" s="2"/>
      <c r="GC375" s="2"/>
      <c r="GD375" s="2"/>
      <c r="GE375" s="2"/>
      <c r="GF375" s="2"/>
      <c r="GG375" s="2"/>
      <c r="GH375" s="2"/>
      <c r="GI375" s="2"/>
      <c r="GJ375" s="2"/>
      <c r="GK375" s="2"/>
      <c r="GL375" s="2"/>
      <c r="GM375" s="2"/>
      <c r="GN375" s="2"/>
      <c r="GO375" s="2"/>
      <c r="GP375" s="2"/>
      <c r="GQ375" s="2"/>
      <c r="GR375" s="2"/>
      <c r="GS375" s="2"/>
      <c r="GT375" s="2"/>
      <c r="GU375" s="2"/>
      <c r="GV375" s="2"/>
      <c r="GW375" s="2"/>
      <c r="GX375" s="2"/>
      <c r="GY375" s="2"/>
      <c r="GZ375" s="2"/>
      <c r="HA375" s="2"/>
      <c r="HB375" s="2"/>
      <c r="HC375" s="2"/>
      <c r="HD375" s="2"/>
      <c r="HE375" s="2"/>
      <c r="HF375" s="2"/>
      <c r="HG375" s="2"/>
      <c r="HH375" s="2"/>
      <c r="HI375" s="2"/>
      <c r="HJ375" s="2"/>
      <c r="HK375" s="2"/>
      <c r="HL375" s="2"/>
      <c r="HM375" s="2"/>
      <c r="HN375" s="2"/>
      <c r="HO375" s="2"/>
      <c r="HP375" s="2"/>
      <c r="HQ375" s="2"/>
      <c r="HR375" s="2"/>
      <c r="HS375" s="2"/>
      <c r="HT375" s="2"/>
      <c r="HU375" s="2"/>
      <c r="HV375" s="2"/>
      <c r="HW375" s="2"/>
      <c r="HX375" s="2"/>
      <c r="HY375" s="2"/>
      <c r="HZ375" s="2"/>
      <c r="IA375" s="2"/>
      <c r="IB375" s="2"/>
      <c r="IC375" s="2"/>
    </row>
    <row r="376" spans="1:237" x14ac:dyDescent="0.2">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c r="AA376" s="2"/>
      <c r="AB376" s="2"/>
      <c r="AC376" s="2"/>
      <c r="AD376" s="2"/>
      <c r="AE376" s="2"/>
      <c r="AF376" s="2"/>
      <c r="AG376" s="2"/>
      <c r="AH376" s="2"/>
      <c r="AI376" s="2"/>
      <c r="AJ376" s="2"/>
      <c r="AK376" s="2"/>
      <c r="AL376" s="2"/>
      <c r="AM376" s="2"/>
      <c r="AN376" s="2"/>
      <c r="AO376" s="2"/>
      <c r="AP376" s="2"/>
      <c r="AQ376" s="2"/>
      <c r="AR376" s="2"/>
      <c r="AS376" s="2"/>
      <c r="AT376" s="2"/>
      <c r="AU376" s="2"/>
      <c r="AV376" s="2"/>
      <c r="AW376" s="2"/>
      <c r="AX376" s="2"/>
      <c r="AY376" s="2"/>
      <c r="AZ376" s="2"/>
      <c r="BA376" s="2"/>
      <c r="BB376" s="2"/>
      <c r="BC376" s="2"/>
      <c r="BD376" s="2"/>
      <c r="BE376" s="2"/>
      <c r="BF376" s="2"/>
      <c r="BG376" s="2"/>
      <c r="BH376" s="2"/>
      <c r="BI376" s="2"/>
      <c r="BJ376" s="2"/>
      <c r="BK376" s="2"/>
      <c r="BL376" s="2"/>
      <c r="BM376" s="2"/>
      <c r="BN376" s="2"/>
      <c r="BO376" s="2"/>
      <c r="BP376" s="2"/>
      <c r="BQ376" s="2"/>
      <c r="BR376" s="2"/>
      <c r="BS376" s="2"/>
      <c r="BT376" s="2"/>
      <c r="BU376" s="2"/>
      <c r="BV376" s="2"/>
      <c r="BW376" s="2"/>
      <c r="BX376" s="2"/>
      <c r="BY376" s="2"/>
      <c r="BZ376" s="2"/>
      <c r="CA376" s="2"/>
      <c r="CB376" s="2"/>
      <c r="CC376" s="2"/>
      <c r="CD376" s="2"/>
      <c r="CE376" s="2"/>
      <c r="CF376" s="2"/>
      <c r="CG376" s="2"/>
      <c r="CH376" s="2"/>
      <c r="CI376" s="2"/>
      <c r="CJ376" s="2"/>
      <c r="CK376" s="2"/>
      <c r="CL376" s="2"/>
      <c r="CM376" s="2"/>
      <c r="CN376" s="2"/>
      <c r="CO376" s="2"/>
      <c r="CP376" s="2"/>
      <c r="CQ376" s="2"/>
      <c r="CR376" s="2"/>
      <c r="CS376" s="2"/>
      <c r="CT376" s="2"/>
      <c r="CU376" s="2"/>
      <c r="CV376" s="2"/>
      <c r="CW376" s="2"/>
      <c r="CX376" s="2"/>
      <c r="CY376" s="2"/>
      <c r="CZ376" s="2"/>
      <c r="DA376" s="2"/>
      <c r="DB376" s="2"/>
      <c r="DC376" s="2"/>
      <c r="DD376" s="2"/>
      <c r="DE376" s="2"/>
      <c r="DF376" s="2"/>
      <c r="DG376" s="2"/>
      <c r="DH376" s="2"/>
      <c r="DI376" s="2"/>
      <c r="DJ376" s="2"/>
      <c r="DK376" s="2"/>
      <c r="DL376" s="2"/>
      <c r="DM376" s="2"/>
      <c r="DN376" s="2"/>
      <c r="DO376" s="2"/>
      <c r="DP376" s="2"/>
      <c r="DQ376" s="2"/>
      <c r="DR376" s="2"/>
      <c r="DS376" s="2"/>
      <c r="DT376" s="2"/>
      <c r="DU376" s="2"/>
      <c r="DV376" s="2"/>
      <c r="DW376" s="2"/>
      <c r="DX376" s="2"/>
      <c r="DY376" s="2"/>
      <c r="DZ376" s="2"/>
      <c r="EA376" s="2"/>
      <c r="EB376" s="2"/>
      <c r="EC376" s="2"/>
      <c r="ED376" s="2"/>
      <c r="EE376" s="2"/>
      <c r="EF376" s="2"/>
      <c r="EG376" s="2"/>
      <c r="EH376" s="2"/>
      <c r="EI376" s="2"/>
      <c r="EJ376" s="2"/>
      <c r="EK376" s="2"/>
      <c r="EL376" s="2"/>
      <c r="EM376" s="2"/>
      <c r="EN376" s="2"/>
      <c r="EO376" s="2"/>
      <c r="EP376" s="2"/>
      <c r="EQ376" s="2"/>
      <c r="ER376" s="2"/>
      <c r="ES376" s="2"/>
      <c r="ET376" s="2"/>
      <c r="EU376" s="2"/>
      <c r="EV376" s="2"/>
      <c r="EW376" s="2"/>
      <c r="EX376" s="2"/>
      <c r="EY376" s="2"/>
      <c r="EZ376" s="2"/>
      <c r="FA376" s="2"/>
      <c r="FB376" s="2"/>
      <c r="FC376" s="2"/>
      <c r="FD376" s="2"/>
      <c r="FE376" s="2"/>
      <c r="FF376" s="2"/>
      <c r="FG376" s="2"/>
      <c r="FH376" s="2"/>
      <c r="FI376" s="2"/>
      <c r="FJ376" s="2"/>
      <c r="FK376" s="2"/>
      <c r="FL376" s="2"/>
      <c r="FM376" s="2"/>
      <c r="FN376" s="2"/>
      <c r="FO376" s="2"/>
      <c r="FP376" s="2"/>
      <c r="FQ376" s="2"/>
      <c r="FR376" s="2"/>
      <c r="FS376" s="2"/>
      <c r="FT376" s="2"/>
      <c r="FU376" s="2"/>
      <c r="FV376" s="2"/>
      <c r="FW376" s="2"/>
      <c r="FX376" s="2"/>
      <c r="FY376" s="2"/>
      <c r="FZ376" s="2"/>
      <c r="GA376" s="2"/>
      <c r="GB376" s="2"/>
      <c r="GC376" s="2"/>
      <c r="GD376" s="2"/>
      <c r="GE376" s="2"/>
      <c r="GF376" s="2"/>
      <c r="GG376" s="2"/>
      <c r="GH376" s="2"/>
      <c r="GI376" s="2"/>
      <c r="GJ376" s="2"/>
      <c r="GK376" s="2"/>
      <c r="GL376" s="2"/>
      <c r="GM376" s="2"/>
      <c r="GN376" s="2"/>
      <c r="GO376" s="2"/>
      <c r="GP376" s="2"/>
      <c r="GQ376" s="2"/>
      <c r="GR376" s="2"/>
      <c r="GS376" s="2"/>
      <c r="GT376" s="2"/>
      <c r="GU376" s="2"/>
      <c r="GV376" s="2"/>
      <c r="GW376" s="2"/>
      <c r="GX376" s="2"/>
      <c r="GY376" s="2"/>
      <c r="GZ376" s="2"/>
      <c r="HA376" s="2"/>
      <c r="HB376" s="2"/>
      <c r="HC376" s="2"/>
      <c r="HD376" s="2"/>
      <c r="HE376" s="2"/>
      <c r="HF376" s="2"/>
      <c r="HG376" s="2"/>
      <c r="HH376" s="2"/>
      <c r="HI376" s="2"/>
      <c r="HJ376" s="2"/>
      <c r="HK376" s="2"/>
      <c r="HL376" s="2"/>
      <c r="HM376" s="2"/>
      <c r="HN376" s="2"/>
      <c r="HO376" s="2"/>
      <c r="HP376" s="2"/>
      <c r="HQ376" s="2"/>
      <c r="HR376" s="2"/>
      <c r="HS376" s="2"/>
      <c r="HT376" s="2"/>
      <c r="HU376" s="2"/>
      <c r="HV376" s="2"/>
      <c r="HW376" s="2"/>
      <c r="HX376" s="2"/>
      <c r="HY376" s="2"/>
      <c r="HZ376" s="2"/>
      <c r="IA376" s="2"/>
      <c r="IB376" s="2"/>
      <c r="IC376" s="2"/>
    </row>
    <row r="377" spans="1:237" x14ac:dyDescent="0.2">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c r="AA377" s="2"/>
      <c r="AB377" s="2"/>
      <c r="AC377" s="2"/>
      <c r="AD377" s="2"/>
      <c r="AE377" s="2"/>
      <c r="AF377" s="2"/>
      <c r="AG377" s="2"/>
      <c r="AH377" s="2"/>
      <c r="AI377" s="2"/>
      <c r="AJ377" s="2"/>
      <c r="AK377" s="2"/>
      <c r="AL377" s="2"/>
      <c r="AM377" s="2"/>
      <c r="AN377" s="2"/>
      <c r="AO377" s="2"/>
      <c r="AP377" s="2"/>
      <c r="AQ377" s="2"/>
      <c r="AR377" s="2"/>
      <c r="AS377" s="2"/>
      <c r="AT377" s="2"/>
      <c r="AU377" s="2"/>
      <c r="AV377" s="2"/>
      <c r="AW377" s="2"/>
      <c r="AX377" s="2"/>
      <c r="AY377" s="2"/>
      <c r="AZ377" s="2"/>
      <c r="BA377" s="2"/>
      <c r="BB377" s="2"/>
      <c r="BC377" s="2"/>
      <c r="BD377" s="2"/>
      <c r="BE377" s="2"/>
      <c r="BF377" s="2"/>
      <c r="BG377" s="2"/>
      <c r="BH377" s="2"/>
      <c r="BI377" s="2"/>
      <c r="BJ377" s="2"/>
      <c r="BK377" s="2"/>
      <c r="BL377" s="2"/>
      <c r="BM377" s="2"/>
      <c r="BN377" s="2"/>
      <c r="BO377" s="2"/>
      <c r="BP377" s="2"/>
      <c r="BQ377" s="2"/>
      <c r="BR377" s="2"/>
      <c r="BS377" s="2"/>
      <c r="BT377" s="2"/>
      <c r="BU377" s="2"/>
      <c r="BV377" s="2"/>
      <c r="BW377" s="2"/>
      <c r="BX377" s="2"/>
      <c r="BY377" s="2"/>
      <c r="BZ377" s="2"/>
      <c r="CA377" s="2"/>
      <c r="CB377" s="2"/>
      <c r="CC377" s="2"/>
      <c r="CD377" s="2"/>
      <c r="CE377" s="2"/>
      <c r="CF377" s="2"/>
      <c r="CG377" s="2"/>
      <c r="CH377" s="2"/>
      <c r="CI377" s="2"/>
      <c r="CJ377" s="2"/>
      <c r="CK377" s="2"/>
      <c r="CL377" s="2"/>
      <c r="CM377" s="2"/>
      <c r="CN377" s="2"/>
      <c r="CO377" s="2"/>
      <c r="CP377" s="2"/>
      <c r="CQ377" s="2"/>
      <c r="CR377" s="2"/>
      <c r="CS377" s="2"/>
      <c r="CT377" s="2"/>
      <c r="CU377" s="2"/>
      <c r="CV377" s="2"/>
      <c r="CW377" s="2"/>
      <c r="CX377" s="2"/>
      <c r="CY377" s="2"/>
      <c r="CZ377" s="2"/>
      <c r="DA377" s="2"/>
      <c r="DB377" s="2"/>
      <c r="DC377" s="2"/>
      <c r="DD377" s="2"/>
      <c r="DE377" s="2"/>
      <c r="DF377" s="2"/>
      <c r="DG377" s="2"/>
      <c r="DH377" s="2"/>
      <c r="DI377" s="2"/>
      <c r="DJ377" s="2"/>
      <c r="DK377" s="2"/>
      <c r="DL377" s="2"/>
      <c r="DM377" s="2"/>
      <c r="DN377" s="2"/>
      <c r="DO377" s="2"/>
      <c r="DP377" s="2"/>
      <c r="DQ377" s="2"/>
      <c r="DR377" s="2"/>
      <c r="DS377" s="2"/>
      <c r="DT377" s="2"/>
      <c r="DU377" s="2"/>
      <c r="DV377" s="2"/>
      <c r="DW377" s="2"/>
      <c r="DX377" s="2"/>
      <c r="DY377" s="2"/>
      <c r="DZ377" s="2"/>
      <c r="EA377" s="2"/>
      <c r="EB377" s="2"/>
      <c r="EC377" s="2"/>
      <c r="ED377" s="2"/>
      <c r="EE377" s="2"/>
      <c r="EF377" s="2"/>
      <c r="EG377" s="2"/>
      <c r="EH377" s="2"/>
      <c r="EI377" s="2"/>
      <c r="EJ377" s="2"/>
      <c r="EK377" s="2"/>
      <c r="EL377" s="2"/>
      <c r="EM377" s="2"/>
      <c r="EN377" s="2"/>
      <c r="EO377" s="2"/>
      <c r="EP377" s="2"/>
      <c r="EQ377" s="2"/>
      <c r="ER377" s="2"/>
      <c r="ES377" s="2"/>
      <c r="ET377" s="2"/>
      <c r="EU377" s="2"/>
      <c r="EV377" s="2"/>
      <c r="EW377" s="2"/>
      <c r="EX377" s="2"/>
      <c r="EY377" s="2"/>
      <c r="EZ377" s="2"/>
      <c r="FA377" s="2"/>
      <c r="FB377" s="2"/>
      <c r="FC377" s="2"/>
      <c r="FD377" s="2"/>
      <c r="FE377" s="2"/>
      <c r="FF377" s="2"/>
      <c r="FG377" s="2"/>
      <c r="FH377" s="2"/>
      <c r="FI377" s="2"/>
      <c r="FJ377" s="2"/>
      <c r="FK377" s="2"/>
      <c r="FL377" s="2"/>
      <c r="FM377" s="2"/>
      <c r="FN377" s="2"/>
      <c r="FO377" s="2"/>
      <c r="FP377" s="2"/>
      <c r="FQ377" s="2"/>
      <c r="FR377" s="2"/>
      <c r="FS377" s="2"/>
      <c r="FT377" s="2"/>
      <c r="FU377" s="2"/>
      <c r="FV377" s="2"/>
      <c r="FW377" s="2"/>
      <c r="FX377" s="2"/>
      <c r="FY377" s="2"/>
      <c r="FZ377" s="2"/>
      <c r="GA377" s="2"/>
      <c r="GB377" s="2"/>
      <c r="GC377" s="2"/>
      <c r="GD377" s="2"/>
      <c r="GE377" s="2"/>
      <c r="GF377" s="2"/>
      <c r="GG377" s="2"/>
      <c r="GH377" s="2"/>
      <c r="GI377" s="2"/>
      <c r="GJ377" s="2"/>
      <c r="GK377" s="2"/>
      <c r="GL377" s="2"/>
      <c r="GM377" s="2"/>
      <c r="GN377" s="2"/>
      <c r="GO377" s="2"/>
      <c r="GP377" s="2"/>
      <c r="GQ377" s="2"/>
      <c r="GR377" s="2"/>
      <c r="GS377" s="2"/>
      <c r="GT377" s="2"/>
      <c r="GU377" s="2"/>
      <c r="GV377" s="2"/>
      <c r="GW377" s="2"/>
      <c r="GX377" s="2"/>
      <c r="GY377" s="2"/>
      <c r="GZ377" s="2"/>
      <c r="HA377" s="2"/>
      <c r="HB377" s="2"/>
      <c r="HC377" s="2"/>
      <c r="HD377" s="2"/>
      <c r="HE377" s="2"/>
      <c r="HF377" s="2"/>
      <c r="HG377" s="2"/>
      <c r="HH377" s="2"/>
      <c r="HI377" s="2"/>
      <c r="HJ377" s="2"/>
      <c r="HK377" s="2"/>
      <c r="HL377" s="2"/>
      <c r="HM377" s="2"/>
      <c r="HN377" s="2"/>
      <c r="HO377" s="2"/>
      <c r="HP377" s="2"/>
      <c r="HQ377" s="2"/>
      <c r="HR377" s="2"/>
      <c r="HS377" s="2"/>
      <c r="HT377" s="2"/>
      <c r="HU377" s="2"/>
      <c r="HV377" s="2"/>
      <c r="HW377" s="2"/>
      <c r="HX377" s="2"/>
      <c r="HY377" s="2"/>
      <c r="HZ377" s="2"/>
      <c r="IA377" s="2"/>
      <c r="IB377" s="2"/>
      <c r="IC377" s="2"/>
    </row>
    <row r="378" spans="1:237" x14ac:dyDescent="0.2">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c r="AA378" s="2"/>
      <c r="AB378" s="2"/>
      <c r="AC378" s="2"/>
      <c r="AD378" s="2"/>
      <c r="AE378" s="2"/>
      <c r="AF378" s="2"/>
      <c r="AG378" s="2"/>
      <c r="AH378" s="2"/>
      <c r="AI378" s="2"/>
      <c r="AJ378" s="2"/>
      <c r="AK378" s="2"/>
      <c r="AL378" s="2"/>
      <c r="AM378" s="2"/>
      <c r="AN378" s="2"/>
      <c r="AO378" s="2"/>
      <c r="AP378" s="2"/>
      <c r="AQ378" s="2"/>
      <c r="AR378" s="2"/>
      <c r="AS378" s="2"/>
      <c r="AT378" s="2"/>
      <c r="AU378" s="2"/>
      <c r="AV378" s="2"/>
      <c r="AW378" s="2"/>
      <c r="AX378" s="2"/>
      <c r="AY378" s="2"/>
      <c r="AZ378" s="2"/>
      <c r="BA378" s="2"/>
      <c r="BB378" s="2"/>
      <c r="BC378" s="2"/>
      <c r="BD378" s="2"/>
      <c r="BE378" s="2"/>
      <c r="BF378" s="2"/>
      <c r="BG378" s="2"/>
      <c r="BH378" s="2"/>
      <c r="BI378" s="2"/>
      <c r="BJ378" s="2"/>
      <c r="BK378" s="2"/>
      <c r="BL378" s="2"/>
      <c r="BM378" s="2"/>
      <c r="BN378" s="2"/>
      <c r="BO378" s="2"/>
      <c r="BP378" s="2"/>
      <c r="BQ378" s="2"/>
      <c r="BR378" s="2"/>
      <c r="BS378" s="2"/>
      <c r="BT378" s="2"/>
      <c r="BU378" s="2"/>
      <c r="BV378" s="2"/>
      <c r="BW378" s="2"/>
      <c r="BX378" s="2"/>
      <c r="BY378" s="2"/>
      <c r="BZ378" s="2"/>
      <c r="CA378" s="2"/>
      <c r="CB378" s="2"/>
      <c r="CC378" s="2"/>
      <c r="CD378" s="2"/>
      <c r="CE378" s="2"/>
      <c r="CF378" s="2"/>
      <c r="CG378" s="2"/>
      <c r="CH378" s="2"/>
      <c r="CI378" s="2"/>
      <c r="CJ378" s="2"/>
      <c r="CK378" s="2"/>
      <c r="CL378" s="2"/>
      <c r="CM378" s="2"/>
      <c r="CN378" s="2"/>
      <c r="CO378" s="2"/>
      <c r="CP378" s="2"/>
      <c r="CQ378" s="2"/>
      <c r="CR378" s="2"/>
      <c r="CS378" s="2"/>
      <c r="CT378" s="2"/>
      <c r="CU378" s="2"/>
      <c r="CV378" s="2"/>
      <c r="CW378" s="2"/>
      <c r="CX378" s="2"/>
      <c r="CY378" s="2"/>
      <c r="CZ378" s="2"/>
      <c r="DA378" s="2"/>
      <c r="DB378" s="2"/>
      <c r="DC378" s="2"/>
      <c r="DD378" s="2"/>
      <c r="DE378" s="2"/>
      <c r="DF378" s="2"/>
      <c r="DG378" s="2"/>
      <c r="DH378" s="2"/>
      <c r="DI378" s="2"/>
      <c r="DJ378" s="2"/>
      <c r="DK378" s="2"/>
      <c r="DL378" s="2"/>
      <c r="DM378" s="2"/>
      <c r="DN378" s="2"/>
      <c r="DO378" s="2"/>
      <c r="DP378" s="2"/>
      <c r="DQ378" s="2"/>
      <c r="DR378" s="2"/>
      <c r="DS378" s="2"/>
      <c r="DT378" s="2"/>
      <c r="DU378" s="2"/>
      <c r="DV378" s="2"/>
      <c r="DW378" s="2"/>
      <c r="DX378" s="2"/>
      <c r="DY378" s="2"/>
      <c r="DZ378" s="2"/>
      <c r="EA378" s="2"/>
      <c r="EB378" s="2"/>
      <c r="EC378" s="2"/>
      <c r="ED378" s="2"/>
      <c r="EE378" s="2"/>
      <c r="EF378" s="2"/>
      <c r="EG378" s="2"/>
      <c r="EH378" s="2"/>
      <c r="EI378" s="2"/>
      <c r="EJ378" s="2"/>
      <c r="EK378" s="2"/>
      <c r="EL378" s="2"/>
      <c r="EM378" s="2"/>
      <c r="EN378" s="2"/>
      <c r="EO378" s="2"/>
      <c r="EP378" s="2"/>
      <c r="EQ378" s="2"/>
      <c r="ER378" s="2"/>
      <c r="ES378" s="2"/>
      <c r="ET378" s="2"/>
      <c r="EU378" s="2"/>
      <c r="EV378" s="2"/>
      <c r="EW378" s="2"/>
      <c r="EX378" s="2"/>
      <c r="EY378" s="2"/>
      <c r="EZ378" s="2"/>
      <c r="FA378" s="2"/>
      <c r="FB378" s="2"/>
      <c r="FC378" s="2"/>
      <c r="FD378" s="2"/>
      <c r="FE378" s="2"/>
      <c r="FF378" s="2"/>
      <c r="FG378" s="2"/>
      <c r="FH378" s="2"/>
      <c r="FI378" s="2"/>
      <c r="FJ378" s="2"/>
      <c r="FK378" s="2"/>
      <c r="FL378" s="2"/>
      <c r="FM378" s="2"/>
      <c r="FN378" s="2"/>
      <c r="FO378" s="2"/>
      <c r="FP378" s="2"/>
      <c r="FQ378" s="2"/>
      <c r="FR378" s="2"/>
      <c r="FS378" s="2"/>
      <c r="FT378" s="2"/>
      <c r="FU378" s="2"/>
      <c r="FV378" s="2"/>
      <c r="FW378" s="2"/>
      <c r="FX378" s="2"/>
      <c r="FY378" s="2"/>
      <c r="FZ378" s="2"/>
      <c r="GA378" s="2"/>
      <c r="GB378" s="2"/>
      <c r="GC378" s="2"/>
      <c r="GD378" s="2"/>
      <c r="GE378" s="2"/>
      <c r="GF378" s="2"/>
      <c r="GG378" s="2"/>
      <c r="GH378" s="2"/>
      <c r="GI378" s="2"/>
      <c r="GJ378" s="2"/>
      <c r="GK378" s="2"/>
      <c r="GL378" s="2"/>
      <c r="GM378" s="2"/>
      <c r="GN378" s="2"/>
      <c r="GO378" s="2"/>
      <c r="GP378" s="2"/>
      <c r="GQ378" s="2"/>
      <c r="GR378" s="2"/>
      <c r="GS378" s="2"/>
      <c r="GT378" s="2"/>
      <c r="GU378" s="2"/>
      <c r="GV378" s="2"/>
      <c r="GW378" s="2"/>
      <c r="GX378" s="2"/>
      <c r="GY378" s="2"/>
      <c r="GZ378" s="2"/>
      <c r="HA378" s="2"/>
      <c r="HB378" s="2"/>
      <c r="HC378" s="2"/>
      <c r="HD378" s="2"/>
      <c r="HE378" s="2"/>
      <c r="HF378" s="2"/>
      <c r="HG378" s="2"/>
      <c r="HH378" s="2"/>
      <c r="HI378" s="2"/>
      <c r="HJ378" s="2"/>
      <c r="HK378" s="2"/>
      <c r="HL378" s="2"/>
      <c r="HM378" s="2"/>
      <c r="HN378" s="2"/>
      <c r="HO378" s="2"/>
      <c r="HP378" s="2"/>
      <c r="HQ378" s="2"/>
      <c r="HR378" s="2"/>
      <c r="HS378" s="2"/>
      <c r="HT378" s="2"/>
      <c r="HU378" s="2"/>
      <c r="HV378" s="2"/>
      <c r="HW378" s="2"/>
      <c r="HX378" s="2"/>
      <c r="HY378" s="2"/>
      <c r="HZ378" s="2"/>
      <c r="IA378" s="2"/>
      <c r="IB378" s="2"/>
      <c r="IC378" s="2"/>
    </row>
    <row r="379" spans="1:237" x14ac:dyDescent="0.2">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c r="AA379" s="2"/>
      <c r="AB379" s="2"/>
      <c r="AC379" s="2"/>
      <c r="AD379" s="2"/>
      <c r="AE379" s="2"/>
      <c r="AF379" s="2"/>
      <c r="AG379" s="2"/>
      <c r="AH379" s="2"/>
      <c r="AI379" s="2"/>
      <c r="AJ379" s="2"/>
      <c r="AK379" s="2"/>
      <c r="AL379" s="2"/>
      <c r="AM379" s="2"/>
      <c r="AN379" s="2"/>
      <c r="AO379" s="2"/>
      <c r="AP379" s="2"/>
      <c r="AQ379" s="2"/>
      <c r="AR379" s="2"/>
      <c r="AS379" s="2"/>
      <c r="AT379" s="2"/>
      <c r="AU379" s="2"/>
      <c r="AV379" s="2"/>
      <c r="AW379" s="2"/>
      <c r="AX379" s="2"/>
      <c r="AY379" s="2"/>
      <c r="AZ379" s="2"/>
      <c r="BA379" s="2"/>
      <c r="BB379" s="2"/>
      <c r="BC379" s="2"/>
      <c r="BD379" s="2"/>
      <c r="BE379" s="2"/>
      <c r="BF379" s="2"/>
      <c r="BG379" s="2"/>
      <c r="BH379" s="2"/>
      <c r="BI379" s="2"/>
      <c r="BJ379" s="2"/>
      <c r="BK379" s="2"/>
      <c r="BL379" s="2"/>
      <c r="BM379" s="2"/>
      <c r="BN379" s="2"/>
      <c r="BO379" s="2"/>
      <c r="BP379" s="2"/>
      <c r="BQ379" s="2"/>
      <c r="BR379" s="2"/>
      <c r="BS379" s="2"/>
      <c r="BT379" s="2"/>
      <c r="BU379" s="2"/>
      <c r="BV379" s="2"/>
      <c r="BW379" s="2"/>
      <c r="BX379" s="2"/>
      <c r="BY379" s="2"/>
      <c r="BZ379" s="2"/>
      <c r="CA379" s="2"/>
      <c r="CB379" s="2"/>
      <c r="CC379" s="2"/>
      <c r="CD379" s="2"/>
      <c r="CE379" s="2"/>
      <c r="CF379" s="2"/>
      <c r="CG379" s="2"/>
      <c r="CH379" s="2"/>
      <c r="CI379" s="2"/>
      <c r="CJ379" s="2"/>
      <c r="CK379" s="2"/>
      <c r="CL379" s="2"/>
      <c r="CM379" s="2"/>
      <c r="CN379" s="2"/>
      <c r="CO379" s="2"/>
      <c r="CP379" s="2"/>
      <c r="CQ379" s="2"/>
      <c r="CR379" s="2"/>
      <c r="CS379" s="2"/>
      <c r="CT379" s="2"/>
      <c r="CU379" s="2"/>
      <c r="CV379" s="2"/>
      <c r="CW379" s="2"/>
      <c r="CX379" s="2"/>
      <c r="CY379" s="2"/>
      <c r="CZ379" s="2"/>
      <c r="DA379" s="2"/>
      <c r="DB379" s="2"/>
      <c r="DC379" s="2"/>
      <c r="DD379" s="2"/>
      <c r="DE379" s="2"/>
      <c r="DF379" s="2"/>
      <c r="DG379" s="2"/>
      <c r="DH379" s="2"/>
      <c r="DI379" s="2"/>
      <c r="DJ379" s="2"/>
      <c r="DK379" s="2"/>
      <c r="DL379" s="2"/>
      <c r="DM379" s="2"/>
      <c r="DN379" s="2"/>
      <c r="DO379" s="2"/>
      <c r="DP379" s="2"/>
      <c r="DQ379" s="2"/>
      <c r="DR379" s="2"/>
      <c r="DS379" s="2"/>
      <c r="DT379" s="2"/>
      <c r="DU379" s="2"/>
      <c r="DV379" s="2"/>
      <c r="DW379" s="2"/>
      <c r="DX379" s="2"/>
      <c r="DY379" s="2"/>
      <c r="DZ379" s="2"/>
      <c r="EA379" s="2"/>
      <c r="EB379" s="2"/>
      <c r="EC379" s="2"/>
      <c r="ED379" s="2"/>
      <c r="EE379" s="2"/>
      <c r="EF379" s="2"/>
      <c r="EG379" s="2"/>
      <c r="EH379" s="2"/>
      <c r="EI379" s="2"/>
      <c r="EJ379" s="2"/>
      <c r="EK379" s="2"/>
      <c r="EL379" s="2"/>
      <c r="EM379" s="2"/>
      <c r="EN379" s="2"/>
      <c r="EO379" s="2"/>
      <c r="EP379" s="2"/>
      <c r="EQ379" s="2"/>
      <c r="ER379" s="2"/>
      <c r="ES379" s="2"/>
      <c r="ET379" s="2"/>
      <c r="EU379" s="2"/>
      <c r="EV379" s="2"/>
      <c r="EW379" s="2"/>
      <c r="EX379" s="2"/>
      <c r="EY379" s="2"/>
      <c r="EZ379" s="2"/>
      <c r="FA379" s="2"/>
      <c r="FB379" s="2"/>
      <c r="FC379" s="2"/>
      <c r="FD379" s="2"/>
      <c r="FE379" s="2"/>
      <c r="FF379" s="2"/>
      <c r="FG379" s="2"/>
      <c r="FH379" s="2"/>
      <c r="FI379" s="2"/>
      <c r="FJ379" s="2"/>
      <c r="FK379" s="2"/>
      <c r="FL379" s="2"/>
      <c r="FM379" s="2"/>
      <c r="FN379" s="2"/>
      <c r="FO379" s="2"/>
      <c r="FP379" s="2"/>
      <c r="FQ379" s="2"/>
      <c r="FR379" s="2"/>
      <c r="FS379" s="2"/>
      <c r="FT379" s="2"/>
      <c r="FU379" s="2"/>
      <c r="FV379" s="2"/>
      <c r="FW379" s="2"/>
      <c r="FX379" s="2"/>
      <c r="FY379" s="2"/>
      <c r="FZ379" s="2"/>
      <c r="GA379" s="2"/>
      <c r="GB379" s="2"/>
      <c r="GC379" s="2"/>
      <c r="GD379" s="2"/>
      <c r="GE379" s="2"/>
      <c r="GF379" s="2"/>
      <c r="GG379" s="2"/>
      <c r="GH379" s="2"/>
      <c r="GI379" s="2"/>
      <c r="GJ379" s="2"/>
      <c r="GK379" s="2"/>
      <c r="GL379" s="2"/>
      <c r="GM379" s="2"/>
      <c r="GN379" s="2"/>
      <c r="GO379" s="2"/>
      <c r="GP379" s="2"/>
      <c r="GQ379" s="2"/>
      <c r="GR379" s="2"/>
      <c r="GS379" s="2"/>
      <c r="GT379" s="2"/>
      <c r="GU379" s="2"/>
      <c r="GV379" s="2"/>
      <c r="GW379" s="2"/>
      <c r="GX379" s="2"/>
      <c r="GY379" s="2"/>
      <c r="GZ379" s="2"/>
      <c r="HA379" s="2"/>
      <c r="HB379" s="2"/>
      <c r="HC379" s="2"/>
      <c r="HD379" s="2"/>
      <c r="HE379" s="2"/>
      <c r="HF379" s="2"/>
      <c r="HG379" s="2"/>
      <c r="HH379" s="2"/>
      <c r="HI379" s="2"/>
      <c r="HJ379" s="2"/>
      <c r="HK379" s="2"/>
      <c r="HL379" s="2"/>
      <c r="HM379" s="2"/>
      <c r="HN379" s="2"/>
      <c r="HO379" s="2"/>
      <c r="HP379" s="2"/>
      <c r="HQ379" s="2"/>
      <c r="HR379" s="2"/>
      <c r="HS379" s="2"/>
      <c r="HT379" s="2"/>
      <c r="HU379" s="2"/>
      <c r="HV379" s="2"/>
      <c r="HW379" s="2"/>
      <c r="HX379" s="2"/>
      <c r="HY379" s="2"/>
      <c r="HZ379" s="2"/>
      <c r="IA379" s="2"/>
      <c r="IB379" s="2"/>
      <c r="IC379" s="2"/>
    </row>
    <row r="380" spans="1:237" x14ac:dyDescent="0.2">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c r="AA380" s="2"/>
      <c r="AB380" s="2"/>
      <c r="AC380" s="2"/>
      <c r="AD380" s="2"/>
      <c r="AE380" s="2"/>
      <c r="AF380" s="2"/>
      <c r="AG380" s="2"/>
      <c r="AH380" s="2"/>
      <c r="AI380" s="2"/>
      <c r="AJ380" s="2"/>
      <c r="AK380" s="2"/>
      <c r="AL380" s="2"/>
      <c r="AM380" s="2"/>
      <c r="AN380" s="2"/>
      <c r="AO380" s="2"/>
      <c r="AP380" s="2"/>
      <c r="AQ380" s="2"/>
      <c r="AR380" s="2"/>
      <c r="AS380" s="2"/>
      <c r="AT380" s="2"/>
      <c r="AU380" s="2"/>
      <c r="AV380" s="2"/>
      <c r="AW380" s="2"/>
      <c r="AX380" s="2"/>
      <c r="AY380" s="2"/>
      <c r="AZ380" s="2"/>
      <c r="BA380" s="2"/>
      <c r="BB380" s="2"/>
      <c r="BC380" s="2"/>
      <c r="BD380" s="2"/>
      <c r="BE380" s="2"/>
      <c r="BF380" s="2"/>
      <c r="BG380" s="2"/>
      <c r="BH380" s="2"/>
      <c r="BI380" s="2"/>
      <c r="BJ380" s="2"/>
      <c r="BK380" s="2"/>
      <c r="BL380" s="2"/>
      <c r="BM380" s="2"/>
      <c r="BN380" s="2"/>
      <c r="BO380" s="2"/>
      <c r="BP380" s="2"/>
      <c r="BQ380" s="2"/>
      <c r="BR380" s="2"/>
      <c r="BS380" s="2"/>
      <c r="BT380" s="2"/>
      <c r="BU380" s="2"/>
      <c r="BV380" s="2"/>
      <c r="BW380" s="2"/>
      <c r="BX380" s="2"/>
      <c r="BY380" s="2"/>
      <c r="BZ380" s="2"/>
      <c r="CA380" s="2"/>
      <c r="CB380" s="2"/>
      <c r="CC380" s="2"/>
      <c r="CD380" s="2"/>
      <c r="CE380" s="2"/>
      <c r="CF380" s="2"/>
      <c r="CG380" s="2"/>
      <c r="CH380" s="2"/>
      <c r="CI380" s="2"/>
      <c r="CJ380" s="2"/>
      <c r="CK380" s="2"/>
      <c r="CL380" s="2"/>
      <c r="CM380" s="2"/>
      <c r="CN380" s="2"/>
      <c r="CO380" s="2"/>
      <c r="CP380" s="2"/>
      <c r="CQ380" s="2"/>
      <c r="CR380" s="2"/>
      <c r="CS380" s="2"/>
      <c r="CT380" s="2"/>
      <c r="CU380" s="2"/>
      <c r="CV380" s="2"/>
      <c r="CW380" s="2"/>
      <c r="CX380" s="2"/>
      <c r="CY380" s="2"/>
      <c r="CZ380" s="2"/>
      <c r="DA380" s="2"/>
      <c r="DB380" s="2"/>
      <c r="DC380" s="2"/>
      <c r="DD380" s="2"/>
      <c r="DE380" s="2"/>
      <c r="DF380" s="2"/>
      <c r="DG380" s="2"/>
      <c r="DH380" s="2"/>
      <c r="DI380" s="2"/>
      <c r="DJ380" s="2"/>
      <c r="DK380" s="2"/>
      <c r="DL380" s="2"/>
      <c r="DM380" s="2"/>
      <c r="DN380" s="2"/>
      <c r="DO380" s="2"/>
      <c r="DP380" s="2"/>
      <c r="DQ380" s="2"/>
      <c r="DR380" s="2"/>
      <c r="DS380" s="2"/>
      <c r="DT380" s="2"/>
      <c r="DU380" s="2"/>
      <c r="DV380" s="2"/>
      <c r="DW380" s="2"/>
      <c r="DX380" s="2"/>
      <c r="DY380" s="2"/>
      <c r="DZ380" s="2"/>
      <c r="EA380" s="2"/>
      <c r="EB380" s="2"/>
      <c r="EC380" s="2"/>
      <c r="ED380" s="2"/>
      <c r="EE380" s="2"/>
      <c r="EF380" s="2"/>
      <c r="EG380" s="2"/>
      <c r="EH380" s="2"/>
      <c r="EI380" s="2"/>
      <c r="EJ380" s="2"/>
      <c r="EK380" s="2"/>
      <c r="EL380" s="2"/>
      <c r="EM380" s="2"/>
      <c r="EN380" s="2"/>
      <c r="EO380" s="2"/>
      <c r="EP380" s="2"/>
      <c r="EQ380" s="2"/>
      <c r="ER380" s="2"/>
      <c r="ES380" s="2"/>
      <c r="ET380" s="2"/>
      <c r="EU380" s="2"/>
      <c r="EV380" s="2"/>
      <c r="EW380" s="2"/>
      <c r="EX380" s="2"/>
      <c r="EY380" s="2"/>
      <c r="EZ380" s="2"/>
      <c r="FA380" s="2"/>
      <c r="FB380" s="2"/>
      <c r="FC380" s="2"/>
      <c r="FD380" s="2"/>
      <c r="FE380" s="2"/>
      <c r="FF380" s="2"/>
      <c r="FG380" s="2"/>
      <c r="FH380" s="2"/>
      <c r="FI380" s="2"/>
      <c r="FJ380" s="2"/>
      <c r="FK380" s="2"/>
      <c r="FL380" s="2"/>
      <c r="FM380" s="2"/>
      <c r="FN380" s="2"/>
      <c r="FO380" s="2"/>
      <c r="FP380" s="2"/>
      <c r="FQ380" s="2"/>
      <c r="FR380" s="2"/>
      <c r="FS380" s="2"/>
      <c r="FT380" s="2"/>
      <c r="FU380" s="2"/>
      <c r="FV380" s="2"/>
      <c r="FW380" s="2"/>
      <c r="FX380" s="2"/>
      <c r="FY380" s="2"/>
      <c r="FZ380" s="2"/>
      <c r="GA380" s="2"/>
      <c r="GB380" s="2"/>
      <c r="GC380" s="2"/>
      <c r="GD380" s="2"/>
      <c r="GE380" s="2"/>
      <c r="GF380" s="2"/>
      <c r="GG380" s="2"/>
      <c r="GH380" s="2"/>
      <c r="GI380" s="2"/>
      <c r="GJ380" s="2"/>
      <c r="GK380" s="2"/>
      <c r="GL380" s="2"/>
      <c r="GM380" s="2"/>
      <c r="GN380" s="2"/>
      <c r="GO380" s="2"/>
      <c r="GP380" s="2"/>
      <c r="GQ380" s="2"/>
      <c r="GR380" s="2"/>
      <c r="GS380" s="2"/>
      <c r="GT380" s="2"/>
      <c r="GU380" s="2"/>
      <c r="GV380" s="2"/>
      <c r="GW380" s="2"/>
      <c r="GX380" s="2"/>
      <c r="GY380" s="2"/>
      <c r="GZ380" s="2"/>
      <c r="HA380" s="2"/>
      <c r="HB380" s="2"/>
      <c r="HC380" s="2"/>
      <c r="HD380" s="2"/>
      <c r="HE380" s="2"/>
      <c r="HF380" s="2"/>
      <c r="HG380" s="2"/>
      <c r="HH380" s="2"/>
      <c r="HI380" s="2"/>
      <c r="HJ380" s="2"/>
      <c r="HK380" s="2"/>
      <c r="HL380" s="2"/>
      <c r="HM380" s="2"/>
      <c r="HN380" s="2"/>
      <c r="HO380" s="2"/>
      <c r="HP380" s="2"/>
      <c r="HQ380" s="2"/>
      <c r="HR380" s="2"/>
      <c r="HS380" s="2"/>
      <c r="HT380" s="2"/>
      <c r="HU380" s="2"/>
      <c r="HV380" s="2"/>
      <c r="HW380" s="2"/>
      <c r="HX380" s="2"/>
      <c r="HY380" s="2"/>
      <c r="HZ380" s="2"/>
      <c r="IA380" s="2"/>
      <c r="IB380" s="2"/>
      <c r="IC380" s="2"/>
    </row>
    <row r="381" spans="1:237" x14ac:dyDescent="0.2">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c r="AA381" s="2"/>
      <c r="AB381" s="2"/>
      <c r="AC381" s="2"/>
      <c r="AD381" s="2"/>
      <c r="AE381" s="2"/>
      <c r="AF381" s="2"/>
      <c r="AG381" s="2"/>
      <c r="AH381" s="2"/>
      <c r="AI381" s="2"/>
      <c r="AJ381" s="2"/>
      <c r="AK381" s="2"/>
      <c r="AL381" s="2"/>
      <c r="AM381" s="2"/>
      <c r="AN381" s="2"/>
      <c r="AO381" s="2"/>
      <c r="AP381" s="2"/>
      <c r="AQ381" s="2"/>
      <c r="AR381" s="2"/>
      <c r="AS381" s="2"/>
      <c r="AT381" s="2"/>
      <c r="AU381" s="2"/>
      <c r="AV381" s="2"/>
      <c r="AW381" s="2"/>
      <c r="AX381" s="2"/>
      <c r="AY381" s="2"/>
      <c r="AZ381" s="2"/>
      <c r="BA381" s="2"/>
      <c r="BB381" s="2"/>
      <c r="BC381" s="2"/>
      <c r="BD381" s="2"/>
      <c r="BE381" s="2"/>
      <c r="BF381" s="2"/>
      <c r="BG381" s="2"/>
      <c r="BH381" s="2"/>
      <c r="BI381" s="2"/>
      <c r="BJ381" s="2"/>
      <c r="BK381" s="2"/>
      <c r="BL381" s="2"/>
      <c r="BM381" s="2"/>
      <c r="BN381" s="2"/>
      <c r="BO381" s="2"/>
      <c r="BP381" s="2"/>
      <c r="BQ381" s="2"/>
      <c r="BR381" s="2"/>
      <c r="BS381" s="2"/>
      <c r="BT381" s="2"/>
      <c r="BU381" s="2"/>
      <c r="BV381" s="2"/>
      <c r="BW381" s="2"/>
      <c r="BX381" s="2"/>
      <c r="BY381" s="2"/>
      <c r="BZ381" s="2"/>
      <c r="CA381" s="2"/>
      <c r="CB381" s="2"/>
      <c r="CC381" s="2"/>
      <c r="CD381" s="2"/>
      <c r="CE381" s="2"/>
      <c r="CF381" s="2"/>
      <c r="CG381" s="2"/>
      <c r="CH381" s="2"/>
      <c r="CI381" s="2"/>
      <c r="CJ381" s="2"/>
      <c r="CK381" s="2"/>
      <c r="CL381" s="2"/>
      <c r="CM381" s="2"/>
      <c r="CN381" s="2"/>
      <c r="CO381" s="2"/>
      <c r="CP381" s="2"/>
      <c r="CQ381" s="2"/>
      <c r="CR381" s="2"/>
      <c r="CS381" s="2"/>
      <c r="CT381" s="2"/>
      <c r="CU381" s="2"/>
      <c r="CV381" s="2"/>
      <c r="CW381" s="2"/>
      <c r="CX381" s="2"/>
      <c r="CY381" s="2"/>
      <c r="CZ381" s="2"/>
      <c r="DA381" s="2"/>
      <c r="DB381" s="2"/>
      <c r="DC381" s="2"/>
      <c r="DD381" s="2"/>
      <c r="DE381" s="2"/>
      <c r="DF381" s="2"/>
      <c r="DG381" s="2"/>
      <c r="DH381" s="2"/>
      <c r="DI381" s="2"/>
      <c r="DJ381" s="2"/>
      <c r="DK381" s="2"/>
      <c r="DL381" s="2"/>
      <c r="DM381" s="2"/>
      <c r="DN381" s="2"/>
      <c r="DO381" s="2"/>
      <c r="DP381" s="2"/>
      <c r="DQ381" s="2"/>
      <c r="DR381" s="2"/>
      <c r="DS381" s="2"/>
      <c r="DT381" s="2"/>
      <c r="DU381" s="2"/>
      <c r="DV381" s="2"/>
      <c r="DW381" s="2"/>
      <c r="DX381" s="2"/>
      <c r="DY381" s="2"/>
      <c r="DZ381" s="2"/>
      <c r="EA381" s="2"/>
      <c r="EB381" s="2"/>
      <c r="EC381" s="2"/>
      <c r="ED381" s="2"/>
      <c r="EE381" s="2"/>
      <c r="EF381" s="2"/>
      <c r="EG381" s="2"/>
      <c r="EH381" s="2"/>
      <c r="EI381" s="2"/>
      <c r="EJ381" s="2"/>
      <c r="EK381" s="2"/>
      <c r="EL381" s="2"/>
      <c r="EM381" s="2"/>
      <c r="EN381" s="2"/>
      <c r="EO381" s="2"/>
      <c r="EP381" s="2"/>
      <c r="EQ381" s="2"/>
      <c r="ER381" s="2"/>
      <c r="ES381" s="2"/>
      <c r="ET381" s="2"/>
      <c r="EU381" s="2"/>
      <c r="EV381" s="2"/>
      <c r="EW381" s="2"/>
      <c r="EX381" s="2"/>
      <c r="EY381" s="2"/>
      <c r="EZ381" s="2"/>
      <c r="FA381" s="2"/>
      <c r="FB381" s="2"/>
      <c r="FC381" s="2"/>
      <c r="FD381" s="2"/>
      <c r="FE381" s="2"/>
      <c r="FF381" s="2"/>
      <c r="FG381" s="2"/>
      <c r="FH381" s="2"/>
      <c r="FI381" s="2"/>
      <c r="FJ381" s="2"/>
      <c r="FK381" s="2"/>
      <c r="FL381" s="2"/>
      <c r="FM381" s="2"/>
      <c r="FN381" s="2"/>
      <c r="FO381" s="2"/>
      <c r="FP381" s="2"/>
      <c r="FQ381" s="2"/>
      <c r="FR381" s="2"/>
      <c r="FS381" s="2"/>
      <c r="FT381" s="2"/>
      <c r="FU381" s="2"/>
      <c r="FV381" s="2"/>
      <c r="FW381" s="2"/>
      <c r="FX381" s="2"/>
      <c r="FY381" s="2"/>
      <c r="FZ381" s="2"/>
      <c r="GA381" s="2"/>
      <c r="GB381" s="2"/>
      <c r="GC381" s="2"/>
      <c r="GD381" s="2"/>
      <c r="GE381" s="2"/>
      <c r="GF381" s="2"/>
      <c r="GG381" s="2"/>
      <c r="GH381" s="2"/>
      <c r="GI381" s="2"/>
      <c r="GJ381" s="2"/>
      <c r="GK381" s="2"/>
      <c r="GL381" s="2"/>
      <c r="GM381" s="2"/>
      <c r="GN381" s="2"/>
      <c r="GO381" s="2"/>
      <c r="GP381" s="2"/>
      <c r="GQ381" s="2"/>
      <c r="GR381" s="2"/>
      <c r="GS381" s="2"/>
      <c r="GT381" s="2"/>
      <c r="GU381" s="2"/>
      <c r="GV381" s="2"/>
      <c r="GW381" s="2"/>
      <c r="GX381" s="2"/>
      <c r="GY381" s="2"/>
      <c r="GZ381" s="2"/>
      <c r="HA381" s="2"/>
      <c r="HB381" s="2"/>
      <c r="HC381" s="2"/>
      <c r="HD381" s="2"/>
      <c r="HE381" s="2"/>
      <c r="HF381" s="2"/>
      <c r="HG381" s="2"/>
      <c r="HH381" s="2"/>
      <c r="HI381" s="2"/>
      <c r="HJ381" s="2"/>
      <c r="HK381" s="2"/>
      <c r="HL381" s="2"/>
      <c r="HM381" s="2"/>
      <c r="HN381" s="2"/>
      <c r="HO381" s="2"/>
      <c r="HP381" s="2"/>
      <c r="HQ381" s="2"/>
      <c r="HR381" s="2"/>
      <c r="HS381" s="2"/>
      <c r="HT381" s="2"/>
      <c r="HU381" s="2"/>
      <c r="HV381" s="2"/>
      <c r="HW381" s="2"/>
      <c r="HX381" s="2"/>
      <c r="HY381" s="2"/>
      <c r="HZ381" s="2"/>
      <c r="IA381" s="2"/>
      <c r="IB381" s="2"/>
      <c r="IC381" s="2"/>
    </row>
    <row r="382" spans="1:237" x14ac:dyDescent="0.2">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c r="AA382" s="2"/>
      <c r="AB382" s="2"/>
      <c r="AC382" s="2"/>
      <c r="AD382" s="2"/>
      <c r="AE382" s="2"/>
      <c r="AF382" s="2"/>
      <c r="AG382" s="2"/>
      <c r="AH382" s="2"/>
      <c r="AI382" s="2"/>
      <c r="AJ382" s="2"/>
      <c r="AK382" s="2"/>
      <c r="AL382" s="2"/>
      <c r="AM382" s="2"/>
      <c r="AN382" s="2"/>
      <c r="AO382" s="2"/>
      <c r="AP382" s="2"/>
      <c r="AQ382" s="2"/>
      <c r="AR382" s="2"/>
      <c r="AS382" s="2"/>
      <c r="AT382" s="2"/>
      <c r="AU382" s="2"/>
      <c r="AV382" s="2"/>
      <c r="AW382" s="2"/>
      <c r="AX382" s="2"/>
      <c r="AY382" s="2"/>
      <c r="AZ382" s="2"/>
      <c r="BA382" s="2"/>
      <c r="BB382" s="2"/>
      <c r="BC382" s="2"/>
      <c r="BD382" s="2"/>
      <c r="BE382" s="2"/>
      <c r="BF382" s="2"/>
      <c r="BG382" s="2"/>
      <c r="BH382" s="2"/>
      <c r="BI382" s="2"/>
      <c r="BJ382" s="2"/>
      <c r="BK382" s="2"/>
      <c r="BL382" s="2"/>
      <c r="BM382" s="2"/>
      <c r="BN382" s="2"/>
      <c r="BO382" s="2"/>
      <c r="BP382" s="2"/>
      <c r="BQ382" s="2"/>
      <c r="BR382" s="2"/>
      <c r="BS382" s="2"/>
      <c r="BT382" s="2"/>
      <c r="BU382" s="2"/>
      <c r="BV382" s="2"/>
      <c r="BW382" s="2"/>
      <c r="BX382" s="2"/>
      <c r="BY382" s="2"/>
      <c r="BZ382" s="2"/>
      <c r="CA382" s="2"/>
      <c r="CB382" s="2"/>
      <c r="CC382" s="2"/>
      <c r="CD382" s="2"/>
      <c r="CE382" s="2"/>
      <c r="CF382" s="2"/>
      <c r="CG382" s="2"/>
      <c r="CH382" s="2"/>
      <c r="CI382" s="2"/>
      <c r="CJ382" s="2"/>
      <c r="CK382" s="2"/>
      <c r="CL382" s="2"/>
      <c r="CM382" s="2"/>
      <c r="CN382" s="2"/>
      <c r="CO382" s="2"/>
      <c r="CP382" s="2"/>
      <c r="CQ382" s="2"/>
      <c r="CR382" s="2"/>
      <c r="CS382" s="2"/>
      <c r="CT382" s="2"/>
      <c r="CU382" s="2"/>
      <c r="CV382" s="2"/>
      <c r="CW382" s="2"/>
      <c r="CX382" s="2"/>
      <c r="CY382" s="2"/>
      <c r="CZ382" s="2"/>
      <c r="DA382" s="2"/>
      <c r="DB382" s="2"/>
      <c r="DC382" s="2"/>
      <c r="DD382" s="2"/>
      <c r="DE382" s="2"/>
      <c r="DF382" s="2"/>
      <c r="DG382" s="2"/>
      <c r="DH382" s="2"/>
      <c r="DI382" s="2"/>
      <c r="DJ382" s="2"/>
      <c r="DK382" s="2"/>
      <c r="DL382" s="2"/>
      <c r="DM382" s="2"/>
      <c r="DN382" s="2"/>
      <c r="DO382" s="2"/>
      <c r="DP382" s="2"/>
      <c r="DQ382" s="2"/>
      <c r="DR382" s="2"/>
      <c r="DS382" s="2"/>
      <c r="DT382" s="2"/>
      <c r="DU382" s="2"/>
      <c r="DV382" s="2"/>
      <c r="DW382" s="2"/>
      <c r="DX382" s="2"/>
      <c r="DY382" s="2"/>
      <c r="DZ382" s="2"/>
      <c r="EA382" s="2"/>
      <c r="EB382" s="2"/>
      <c r="EC382" s="2"/>
      <c r="ED382" s="2"/>
      <c r="EE382" s="2"/>
      <c r="EF382" s="2"/>
      <c r="EG382" s="2"/>
      <c r="EH382" s="2"/>
      <c r="EI382" s="2"/>
      <c r="EJ382" s="2"/>
      <c r="EK382" s="2"/>
      <c r="EL382" s="2"/>
      <c r="EM382" s="2"/>
      <c r="EN382" s="2"/>
      <c r="EO382" s="2"/>
      <c r="EP382" s="2"/>
      <c r="EQ382" s="2"/>
      <c r="ER382" s="2"/>
      <c r="ES382" s="2"/>
      <c r="ET382" s="2"/>
      <c r="EU382" s="2"/>
      <c r="EV382" s="2"/>
      <c r="EW382" s="2"/>
      <c r="EX382" s="2"/>
      <c r="EY382" s="2"/>
      <c r="EZ382" s="2"/>
      <c r="FA382" s="2"/>
      <c r="FB382" s="2"/>
      <c r="FC382" s="2"/>
      <c r="FD382" s="2"/>
      <c r="FE382" s="2"/>
      <c r="FF382" s="2"/>
      <c r="FG382" s="2"/>
      <c r="FH382" s="2"/>
      <c r="FI382" s="2"/>
      <c r="FJ382" s="2"/>
      <c r="FK382" s="2"/>
      <c r="FL382" s="2"/>
      <c r="FM382" s="2"/>
      <c r="FN382" s="2"/>
      <c r="FO382" s="2"/>
      <c r="FP382" s="2"/>
      <c r="FQ382" s="2"/>
      <c r="FR382" s="2"/>
      <c r="FS382" s="2"/>
      <c r="FT382" s="2"/>
      <c r="FU382" s="2"/>
      <c r="FV382" s="2"/>
      <c r="FW382" s="2"/>
      <c r="FX382" s="2"/>
      <c r="FY382" s="2"/>
      <c r="FZ382" s="2"/>
      <c r="GA382" s="2"/>
      <c r="GB382" s="2"/>
      <c r="GC382" s="2"/>
      <c r="GD382" s="2"/>
      <c r="GE382" s="2"/>
      <c r="GF382" s="2"/>
      <c r="GG382" s="2"/>
      <c r="GH382" s="2"/>
      <c r="GI382" s="2"/>
      <c r="GJ382" s="2"/>
      <c r="GK382" s="2"/>
      <c r="GL382" s="2"/>
      <c r="GM382" s="2"/>
      <c r="GN382" s="2"/>
      <c r="GO382" s="2"/>
      <c r="GP382" s="2"/>
      <c r="GQ382" s="2"/>
      <c r="GR382" s="2"/>
      <c r="GS382" s="2"/>
      <c r="GT382" s="2"/>
      <c r="GU382" s="2"/>
      <c r="GV382" s="2"/>
      <c r="GW382" s="2"/>
      <c r="GX382" s="2"/>
      <c r="GY382" s="2"/>
      <c r="GZ382" s="2"/>
      <c r="HA382" s="2"/>
      <c r="HB382" s="2"/>
      <c r="HC382" s="2"/>
      <c r="HD382" s="2"/>
      <c r="HE382" s="2"/>
      <c r="HF382" s="2"/>
      <c r="HG382" s="2"/>
      <c r="HH382" s="2"/>
      <c r="HI382" s="2"/>
      <c r="HJ382" s="2"/>
      <c r="HK382" s="2"/>
      <c r="HL382" s="2"/>
      <c r="HM382" s="2"/>
      <c r="HN382" s="2"/>
      <c r="HO382" s="2"/>
      <c r="HP382" s="2"/>
      <c r="HQ382" s="2"/>
      <c r="HR382" s="2"/>
      <c r="HS382" s="2"/>
      <c r="HT382" s="2"/>
      <c r="HU382" s="2"/>
      <c r="HV382" s="2"/>
      <c r="HW382" s="2"/>
      <c r="HX382" s="2"/>
      <c r="HY382" s="2"/>
      <c r="HZ382" s="2"/>
      <c r="IA382" s="2"/>
      <c r="IB382" s="2"/>
      <c r="IC382" s="2"/>
    </row>
    <row r="383" spans="1:237" x14ac:dyDescent="0.2">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c r="AA383" s="2"/>
      <c r="AB383" s="2"/>
      <c r="AC383" s="2"/>
      <c r="AD383" s="2"/>
      <c r="AE383" s="2"/>
      <c r="AF383" s="2"/>
      <c r="AG383" s="2"/>
      <c r="AH383" s="2"/>
      <c r="AI383" s="2"/>
      <c r="AJ383" s="2"/>
      <c r="AK383" s="2"/>
      <c r="AL383" s="2"/>
      <c r="AM383" s="2"/>
      <c r="AN383" s="2"/>
      <c r="AO383" s="2"/>
      <c r="AP383" s="2"/>
      <c r="AQ383" s="2"/>
      <c r="AR383" s="2"/>
      <c r="AS383" s="2"/>
      <c r="AT383" s="2"/>
      <c r="AU383" s="2"/>
      <c r="AV383" s="2"/>
      <c r="AW383" s="2"/>
      <c r="AX383" s="2"/>
      <c r="AY383" s="2"/>
      <c r="AZ383" s="2"/>
      <c r="BA383" s="2"/>
      <c r="BB383" s="2"/>
      <c r="BC383" s="2"/>
      <c r="BD383" s="2"/>
      <c r="BE383" s="2"/>
      <c r="BF383" s="2"/>
      <c r="BG383" s="2"/>
      <c r="BH383" s="2"/>
      <c r="BI383" s="2"/>
      <c r="BJ383" s="2"/>
      <c r="BK383" s="2"/>
      <c r="BL383" s="2"/>
      <c r="BM383" s="2"/>
      <c r="BN383" s="2"/>
      <c r="BO383" s="2"/>
      <c r="BP383" s="2"/>
      <c r="BQ383" s="2"/>
      <c r="BR383" s="2"/>
      <c r="BS383" s="2"/>
      <c r="BT383" s="2"/>
      <c r="BU383" s="2"/>
      <c r="BV383" s="2"/>
      <c r="BW383" s="2"/>
      <c r="BX383" s="2"/>
      <c r="BY383" s="2"/>
      <c r="BZ383" s="2"/>
      <c r="CA383" s="2"/>
      <c r="CB383" s="2"/>
      <c r="CC383" s="2"/>
      <c r="CD383" s="2"/>
      <c r="CE383" s="2"/>
      <c r="CF383" s="2"/>
      <c r="CG383" s="2"/>
      <c r="CH383" s="2"/>
      <c r="CI383" s="2"/>
      <c r="CJ383" s="2"/>
      <c r="CK383" s="2"/>
      <c r="CL383" s="2"/>
      <c r="CM383" s="2"/>
      <c r="CN383" s="2"/>
      <c r="CO383" s="2"/>
      <c r="CP383" s="2"/>
      <c r="CQ383" s="2"/>
      <c r="CR383" s="2"/>
      <c r="CS383" s="2"/>
      <c r="CT383" s="2"/>
      <c r="CU383" s="2"/>
      <c r="CV383" s="2"/>
      <c r="CW383" s="2"/>
      <c r="CX383" s="2"/>
      <c r="CY383" s="2"/>
      <c r="CZ383" s="2"/>
      <c r="DA383" s="2"/>
      <c r="DB383" s="2"/>
      <c r="DC383" s="2"/>
      <c r="DD383" s="2"/>
      <c r="DE383" s="2"/>
      <c r="DF383" s="2"/>
      <c r="DG383" s="2"/>
      <c r="DH383" s="2"/>
      <c r="DI383" s="2"/>
      <c r="DJ383" s="2"/>
      <c r="DK383" s="2"/>
      <c r="DL383" s="2"/>
      <c r="DM383" s="2"/>
      <c r="DN383" s="2"/>
      <c r="DO383" s="2"/>
      <c r="DP383" s="2"/>
      <c r="DQ383" s="2"/>
      <c r="DR383" s="2"/>
      <c r="DS383" s="2"/>
      <c r="DT383" s="2"/>
      <c r="DU383" s="2"/>
      <c r="DV383" s="2"/>
      <c r="DW383" s="2"/>
      <c r="DX383" s="2"/>
      <c r="DY383" s="2"/>
      <c r="DZ383" s="2"/>
      <c r="EA383" s="2"/>
      <c r="EB383" s="2"/>
      <c r="EC383" s="2"/>
      <c r="ED383" s="2"/>
      <c r="EE383" s="2"/>
      <c r="EF383" s="2"/>
      <c r="EG383" s="2"/>
      <c r="EH383" s="2"/>
      <c r="EI383" s="2"/>
      <c r="EJ383" s="2"/>
      <c r="EK383" s="2"/>
      <c r="EL383" s="2"/>
      <c r="EM383" s="2"/>
      <c r="EN383" s="2"/>
      <c r="EO383" s="2"/>
      <c r="EP383" s="2"/>
      <c r="EQ383" s="2"/>
      <c r="ER383" s="2"/>
      <c r="ES383" s="2"/>
      <c r="ET383" s="2"/>
      <c r="EU383" s="2"/>
      <c r="EV383" s="2"/>
      <c r="EW383" s="2"/>
      <c r="EX383" s="2"/>
      <c r="EY383" s="2"/>
      <c r="EZ383" s="2"/>
      <c r="FA383" s="2"/>
      <c r="FB383" s="2"/>
      <c r="FC383" s="2"/>
      <c r="FD383" s="2"/>
      <c r="FE383" s="2"/>
      <c r="FF383" s="2"/>
      <c r="FG383" s="2"/>
      <c r="FH383" s="2"/>
      <c r="FI383" s="2"/>
      <c r="FJ383" s="2"/>
      <c r="FK383" s="2"/>
      <c r="FL383" s="2"/>
      <c r="FM383" s="2"/>
      <c r="FN383" s="2"/>
      <c r="FO383" s="2"/>
      <c r="FP383" s="2"/>
      <c r="FQ383" s="2"/>
      <c r="FR383" s="2"/>
      <c r="FS383" s="2"/>
      <c r="FT383" s="2"/>
      <c r="FU383" s="2"/>
      <c r="FV383" s="2"/>
      <c r="FW383" s="2"/>
      <c r="FX383" s="2"/>
      <c r="FY383" s="2"/>
      <c r="FZ383" s="2"/>
      <c r="GA383" s="2"/>
      <c r="GB383" s="2"/>
      <c r="GC383" s="2"/>
      <c r="GD383" s="2"/>
      <c r="GE383" s="2"/>
      <c r="GF383" s="2"/>
      <c r="GG383" s="2"/>
      <c r="GH383" s="2"/>
      <c r="GI383" s="2"/>
      <c r="GJ383" s="2"/>
      <c r="GK383" s="2"/>
      <c r="GL383" s="2"/>
      <c r="GM383" s="2"/>
      <c r="GN383" s="2"/>
      <c r="GO383" s="2"/>
      <c r="GP383" s="2"/>
      <c r="GQ383" s="2"/>
      <c r="GR383" s="2"/>
      <c r="GS383" s="2"/>
      <c r="GT383" s="2"/>
      <c r="GU383" s="2"/>
      <c r="GV383" s="2"/>
      <c r="GW383" s="2"/>
      <c r="GX383" s="2"/>
      <c r="GY383" s="2"/>
      <c r="GZ383" s="2"/>
      <c r="HA383" s="2"/>
      <c r="HB383" s="2"/>
      <c r="HC383" s="2"/>
      <c r="HD383" s="2"/>
      <c r="HE383" s="2"/>
      <c r="HF383" s="2"/>
      <c r="HG383" s="2"/>
      <c r="HH383" s="2"/>
      <c r="HI383" s="2"/>
      <c r="HJ383" s="2"/>
      <c r="HK383" s="2"/>
      <c r="HL383" s="2"/>
      <c r="HM383" s="2"/>
      <c r="HN383" s="2"/>
      <c r="HO383" s="2"/>
      <c r="HP383" s="2"/>
      <c r="HQ383" s="2"/>
      <c r="HR383" s="2"/>
      <c r="HS383" s="2"/>
      <c r="HT383" s="2"/>
      <c r="HU383" s="2"/>
      <c r="HV383" s="2"/>
      <c r="HW383" s="2"/>
      <c r="HX383" s="2"/>
      <c r="HY383" s="2"/>
      <c r="HZ383" s="2"/>
      <c r="IA383" s="2"/>
      <c r="IB383" s="2"/>
      <c r="IC383" s="2"/>
    </row>
    <row r="384" spans="1:237" x14ac:dyDescent="0.2">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c r="AA384" s="2"/>
      <c r="AB384" s="2"/>
      <c r="AC384" s="2"/>
      <c r="AD384" s="2"/>
      <c r="AE384" s="2"/>
      <c r="AF384" s="2"/>
      <c r="AG384" s="2"/>
      <c r="AH384" s="2"/>
      <c r="AI384" s="2"/>
      <c r="AJ384" s="2"/>
      <c r="AK384" s="2"/>
      <c r="AL384" s="2"/>
      <c r="AM384" s="2"/>
      <c r="AN384" s="2"/>
      <c r="AO384" s="2"/>
      <c r="AP384" s="2"/>
      <c r="AQ384" s="2"/>
      <c r="AR384" s="2"/>
      <c r="AS384" s="2"/>
      <c r="AT384" s="2"/>
      <c r="AU384" s="2"/>
      <c r="AV384" s="2"/>
      <c r="AW384" s="2"/>
      <c r="AX384" s="2"/>
      <c r="AY384" s="2"/>
      <c r="AZ384" s="2"/>
      <c r="BA384" s="2"/>
      <c r="BB384" s="2"/>
      <c r="BC384" s="2"/>
      <c r="BD384" s="2"/>
      <c r="BE384" s="2"/>
      <c r="BF384" s="2"/>
      <c r="BG384" s="2"/>
      <c r="BH384" s="2"/>
      <c r="BI384" s="2"/>
      <c r="BJ384" s="2"/>
      <c r="BK384" s="2"/>
      <c r="BL384" s="2"/>
      <c r="BM384" s="2"/>
      <c r="BN384" s="2"/>
      <c r="BO384" s="2"/>
      <c r="BP384" s="2"/>
      <c r="BQ384" s="2"/>
      <c r="BR384" s="2"/>
      <c r="BS384" s="2"/>
      <c r="BT384" s="2"/>
      <c r="BU384" s="2"/>
      <c r="BV384" s="2"/>
      <c r="BW384" s="2"/>
      <c r="BX384" s="2"/>
      <c r="BY384" s="2"/>
      <c r="BZ384" s="2"/>
      <c r="CA384" s="2"/>
      <c r="CB384" s="2"/>
      <c r="CC384" s="2"/>
      <c r="CD384" s="2"/>
      <c r="CE384" s="2"/>
      <c r="CF384" s="2"/>
      <c r="CG384" s="2"/>
      <c r="CH384" s="2"/>
      <c r="CI384" s="2"/>
      <c r="CJ384" s="2"/>
      <c r="CK384" s="2"/>
      <c r="CL384" s="2"/>
      <c r="CM384" s="2"/>
      <c r="CN384" s="2"/>
      <c r="CO384" s="2"/>
      <c r="CP384" s="2"/>
      <c r="CQ384" s="2"/>
      <c r="CR384" s="2"/>
      <c r="CS384" s="2"/>
      <c r="CT384" s="2"/>
      <c r="CU384" s="2"/>
      <c r="CV384" s="2"/>
      <c r="CW384" s="2"/>
      <c r="CX384" s="2"/>
      <c r="CY384" s="2"/>
      <c r="CZ384" s="2"/>
      <c r="DA384" s="2"/>
      <c r="DB384" s="2"/>
      <c r="DC384" s="2"/>
      <c r="DD384" s="2"/>
      <c r="DE384" s="2"/>
      <c r="DF384" s="2"/>
      <c r="DG384" s="2"/>
      <c r="DH384" s="2"/>
      <c r="DI384" s="2"/>
      <c r="DJ384" s="2"/>
      <c r="DK384" s="2"/>
      <c r="DL384" s="2"/>
      <c r="DM384" s="2"/>
      <c r="DN384" s="2"/>
      <c r="DO384" s="2"/>
      <c r="DP384" s="2"/>
      <c r="DQ384" s="2"/>
      <c r="DR384" s="2"/>
      <c r="DS384" s="2"/>
      <c r="DT384" s="2"/>
      <c r="DU384" s="2"/>
      <c r="DV384" s="2"/>
      <c r="DW384" s="2"/>
      <c r="DX384" s="2"/>
      <c r="DY384" s="2"/>
      <c r="DZ384" s="2"/>
      <c r="EA384" s="2"/>
      <c r="EB384" s="2"/>
      <c r="EC384" s="2"/>
      <c r="ED384" s="2"/>
      <c r="EE384" s="2"/>
      <c r="EF384" s="2"/>
      <c r="EG384" s="2"/>
      <c r="EH384" s="2"/>
      <c r="EI384" s="2"/>
      <c r="EJ384" s="2"/>
      <c r="EK384" s="2"/>
      <c r="EL384" s="2"/>
      <c r="EM384" s="2"/>
      <c r="EN384" s="2"/>
      <c r="EO384" s="2"/>
      <c r="EP384" s="2"/>
      <c r="EQ384" s="2"/>
      <c r="ER384" s="2"/>
      <c r="ES384" s="2"/>
      <c r="ET384" s="2"/>
      <c r="EU384" s="2"/>
      <c r="EV384" s="2"/>
      <c r="EW384" s="2"/>
      <c r="EX384" s="2"/>
      <c r="EY384" s="2"/>
      <c r="EZ384" s="2"/>
      <c r="FA384" s="2"/>
      <c r="FB384" s="2"/>
      <c r="FC384" s="2"/>
      <c r="FD384" s="2"/>
      <c r="FE384" s="2"/>
      <c r="FF384" s="2"/>
      <c r="FG384" s="2"/>
      <c r="FH384" s="2"/>
      <c r="FI384" s="2"/>
      <c r="FJ384" s="2"/>
      <c r="FK384" s="2"/>
      <c r="FL384" s="2"/>
      <c r="FM384" s="2"/>
      <c r="FN384" s="2"/>
      <c r="FO384" s="2"/>
      <c r="FP384" s="2"/>
      <c r="FQ384" s="2"/>
      <c r="FR384" s="2"/>
      <c r="FS384" s="2"/>
      <c r="FT384" s="2"/>
      <c r="FU384" s="2"/>
      <c r="FV384" s="2"/>
      <c r="FW384" s="2"/>
      <c r="FX384" s="2"/>
      <c r="FY384" s="2"/>
      <c r="FZ384" s="2"/>
      <c r="GA384" s="2"/>
      <c r="GB384" s="2"/>
      <c r="GC384" s="2"/>
      <c r="GD384" s="2"/>
      <c r="GE384" s="2"/>
      <c r="GF384" s="2"/>
      <c r="GG384" s="2"/>
      <c r="GH384" s="2"/>
      <c r="GI384" s="2"/>
      <c r="GJ384" s="2"/>
      <c r="GK384" s="2"/>
      <c r="GL384" s="2"/>
      <c r="GM384" s="2"/>
      <c r="GN384" s="2"/>
      <c r="GO384" s="2"/>
      <c r="GP384" s="2"/>
      <c r="GQ384" s="2"/>
      <c r="GR384" s="2"/>
      <c r="GS384" s="2"/>
      <c r="GT384" s="2"/>
      <c r="GU384" s="2"/>
      <c r="GV384" s="2"/>
      <c r="GW384" s="2"/>
      <c r="GX384" s="2"/>
      <c r="GY384" s="2"/>
      <c r="GZ384" s="2"/>
      <c r="HA384" s="2"/>
      <c r="HB384" s="2"/>
      <c r="HC384" s="2"/>
      <c r="HD384" s="2"/>
      <c r="HE384" s="2"/>
      <c r="HF384" s="2"/>
      <c r="HG384" s="2"/>
      <c r="HH384" s="2"/>
      <c r="HI384" s="2"/>
      <c r="HJ384" s="2"/>
      <c r="HK384" s="2"/>
      <c r="HL384" s="2"/>
      <c r="HM384" s="2"/>
      <c r="HN384" s="2"/>
      <c r="HO384" s="2"/>
      <c r="HP384" s="2"/>
      <c r="HQ384" s="2"/>
      <c r="HR384" s="2"/>
      <c r="HS384" s="2"/>
      <c r="HT384" s="2"/>
      <c r="HU384" s="2"/>
      <c r="HV384" s="2"/>
      <c r="HW384" s="2"/>
      <c r="HX384" s="2"/>
      <c r="HY384" s="2"/>
      <c r="HZ384" s="2"/>
      <c r="IA384" s="2"/>
      <c r="IB384" s="2"/>
      <c r="IC384" s="2"/>
    </row>
    <row r="385" spans="1:237" x14ac:dyDescent="0.2">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c r="AA385" s="2"/>
      <c r="AB385" s="2"/>
      <c r="AC385" s="2"/>
      <c r="AD385" s="2"/>
      <c r="AE385" s="2"/>
      <c r="AF385" s="2"/>
      <c r="AG385" s="2"/>
      <c r="AH385" s="2"/>
      <c r="AI385" s="2"/>
      <c r="AJ385" s="2"/>
      <c r="AK385" s="2"/>
      <c r="AL385" s="2"/>
      <c r="AM385" s="2"/>
      <c r="AN385" s="2"/>
      <c r="AO385" s="2"/>
      <c r="AP385" s="2"/>
      <c r="AQ385" s="2"/>
      <c r="AR385" s="2"/>
      <c r="AS385" s="2"/>
      <c r="AT385" s="2"/>
      <c r="AU385" s="2"/>
      <c r="AV385" s="2"/>
      <c r="AW385" s="2"/>
      <c r="AX385" s="2"/>
      <c r="AY385" s="2"/>
      <c r="AZ385" s="2"/>
      <c r="BA385" s="2"/>
      <c r="BB385" s="2"/>
      <c r="BC385" s="2"/>
      <c r="BD385" s="2"/>
      <c r="BE385" s="2"/>
      <c r="BF385" s="2"/>
      <c r="BG385" s="2"/>
      <c r="BH385" s="2"/>
      <c r="BI385" s="2"/>
      <c r="BJ385" s="2"/>
      <c r="BK385" s="2"/>
      <c r="BL385" s="2"/>
      <c r="BM385" s="2"/>
      <c r="BN385" s="2"/>
      <c r="BO385" s="2"/>
      <c r="BP385" s="2"/>
      <c r="BQ385" s="2"/>
      <c r="BR385" s="2"/>
      <c r="BS385" s="2"/>
      <c r="BT385" s="2"/>
      <c r="BU385" s="2"/>
      <c r="BV385" s="2"/>
      <c r="BW385" s="2"/>
      <c r="BX385" s="2"/>
      <c r="BY385" s="2"/>
      <c r="BZ385" s="2"/>
      <c r="CA385" s="2"/>
      <c r="CB385" s="2"/>
      <c r="CC385" s="2"/>
      <c r="CD385" s="2"/>
      <c r="CE385" s="2"/>
      <c r="CF385" s="2"/>
      <c r="CG385" s="2"/>
      <c r="CH385" s="2"/>
      <c r="CI385" s="2"/>
      <c r="CJ385" s="2"/>
      <c r="CK385" s="2"/>
      <c r="CL385" s="2"/>
      <c r="CM385" s="2"/>
      <c r="CN385" s="2"/>
      <c r="CO385" s="2"/>
      <c r="CP385" s="2"/>
      <c r="CQ385" s="2"/>
      <c r="CR385" s="2"/>
      <c r="CS385" s="2"/>
      <c r="CT385" s="2"/>
      <c r="CU385" s="2"/>
      <c r="CV385" s="2"/>
      <c r="CW385" s="2"/>
      <c r="CX385" s="2"/>
      <c r="CY385" s="2"/>
      <c r="CZ385" s="2"/>
      <c r="DA385" s="2"/>
      <c r="DB385" s="2"/>
      <c r="DC385" s="2"/>
      <c r="DD385" s="2"/>
      <c r="DE385" s="2"/>
      <c r="DF385" s="2"/>
      <c r="DG385" s="2"/>
      <c r="DH385" s="2"/>
      <c r="DI385" s="2"/>
      <c r="DJ385" s="2"/>
      <c r="DK385" s="2"/>
      <c r="DL385" s="2"/>
      <c r="DM385" s="2"/>
      <c r="DN385" s="2"/>
      <c r="DO385" s="2"/>
      <c r="DP385" s="2"/>
      <c r="DQ385" s="2"/>
      <c r="DR385" s="2"/>
      <c r="DS385" s="2"/>
      <c r="DT385" s="2"/>
      <c r="DU385" s="2"/>
      <c r="DV385" s="2"/>
      <c r="DW385" s="2"/>
      <c r="DX385" s="2"/>
      <c r="DY385" s="2"/>
      <c r="DZ385" s="2"/>
      <c r="EA385" s="2"/>
      <c r="EB385" s="2"/>
      <c r="EC385" s="2"/>
      <c r="ED385" s="2"/>
      <c r="EE385" s="2"/>
      <c r="EF385" s="2"/>
      <c r="EG385" s="2"/>
      <c r="EH385" s="2"/>
      <c r="EI385" s="2"/>
      <c r="EJ385" s="2"/>
      <c r="EK385" s="2"/>
      <c r="EL385" s="2"/>
      <c r="EM385" s="2"/>
      <c r="EN385" s="2"/>
      <c r="EO385" s="2"/>
      <c r="EP385" s="2"/>
      <c r="EQ385" s="2"/>
      <c r="ER385" s="2"/>
      <c r="ES385" s="2"/>
      <c r="ET385" s="2"/>
      <c r="EU385" s="2"/>
      <c r="EV385" s="2"/>
      <c r="EW385" s="2"/>
      <c r="EX385" s="2"/>
      <c r="EY385" s="2"/>
      <c r="EZ385" s="2"/>
      <c r="FA385" s="2"/>
      <c r="FB385" s="2"/>
      <c r="FC385" s="2"/>
      <c r="FD385" s="2"/>
      <c r="FE385" s="2"/>
      <c r="FF385" s="2"/>
      <c r="FG385" s="2"/>
      <c r="FH385" s="2"/>
      <c r="FI385" s="2"/>
      <c r="FJ385" s="2"/>
      <c r="FK385" s="2"/>
      <c r="FL385" s="2"/>
      <c r="FM385" s="2"/>
      <c r="FN385" s="2"/>
      <c r="FO385" s="2"/>
      <c r="FP385" s="2"/>
      <c r="FQ385" s="2"/>
      <c r="FR385" s="2"/>
      <c r="FS385" s="2"/>
      <c r="FT385" s="2"/>
      <c r="FU385" s="2"/>
      <c r="FV385" s="2"/>
      <c r="FW385" s="2"/>
      <c r="FX385" s="2"/>
      <c r="FY385" s="2"/>
      <c r="FZ385" s="2"/>
      <c r="GA385" s="2"/>
      <c r="GB385" s="2"/>
      <c r="GC385" s="2"/>
      <c r="GD385" s="2"/>
      <c r="GE385" s="2"/>
      <c r="GF385" s="2"/>
      <c r="GG385" s="2"/>
      <c r="GH385" s="2"/>
      <c r="GI385" s="2"/>
      <c r="GJ385" s="2"/>
      <c r="GK385" s="2"/>
      <c r="GL385" s="2"/>
      <c r="GM385" s="2"/>
      <c r="GN385" s="2"/>
      <c r="GO385" s="2"/>
      <c r="GP385" s="2"/>
      <c r="GQ385" s="2"/>
      <c r="GR385" s="2"/>
      <c r="GS385" s="2"/>
      <c r="GT385" s="2"/>
      <c r="GU385" s="2"/>
      <c r="GV385" s="2"/>
      <c r="GW385" s="2"/>
      <c r="GX385" s="2"/>
      <c r="GY385" s="2"/>
      <c r="GZ385" s="2"/>
      <c r="HA385" s="2"/>
      <c r="HB385" s="2"/>
      <c r="HC385" s="2"/>
      <c r="HD385" s="2"/>
      <c r="HE385" s="2"/>
      <c r="HF385" s="2"/>
      <c r="HG385" s="2"/>
      <c r="HH385" s="2"/>
      <c r="HI385" s="2"/>
      <c r="HJ385" s="2"/>
      <c r="HK385" s="2"/>
      <c r="HL385" s="2"/>
      <c r="HM385" s="2"/>
      <c r="HN385" s="2"/>
      <c r="HO385" s="2"/>
      <c r="HP385" s="2"/>
      <c r="HQ385" s="2"/>
      <c r="HR385" s="2"/>
      <c r="HS385" s="2"/>
      <c r="HT385" s="2"/>
      <c r="HU385" s="2"/>
      <c r="HV385" s="2"/>
      <c r="HW385" s="2"/>
      <c r="HX385" s="2"/>
      <c r="HY385" s="2"/>
      <c r="HZ385" s="2"/>
      <c r="IA385" s="2"/>
      <c r="IB385" s="2"/>
      <c r="IC385" s="2"/>
    </row>
    <row r="386" spans="1:237" x14ac:dyDescent="0.2">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c r="AA386" s="2"/>
      <c r="AB386" s="2"/>
      <c r="AC386" s="2"/>
      <c r="AD386" s="2"/>
      <c r="AE386" s="2"/>
      <c r="AF386" s="2"/>
      <c r="AG386" s="2"/>
      <c r="AH386" s="2"/>
      <c r="AI386" s="2"/>
      <c r="AJ386" s="2"/>
      <c r="AK386" s="2"/>
      <c r="AL386" s="2"/>
      <c r="AM386" s="2"/>
      <c r="AN386" s="2"/>
      <c r="AO386" s="2"/>
      <c r="AP386" s="2"/>
      <c r="AQ386" s="2"/>
      <c r="AR386" s="2"/>
      <c r="AS386" s="2"/>
      <c r="AT386" s="2"/>
      <c r="AU386" s="2"/>
      <c r="AV386" s="2"/>
      <c r="AW386" s="2"/>
      <c r="AX386" s="2"/>
      <c r="AY386" s="2"/>
      <c r="AZ386" s="2"/>
      <c r="BA386" s="2"/>
      <c r="BB386" s="2"/>
      <c r="BC386" s="2"/>
      <c r="BD386" s="2"/>
      <c r="BE386" s="2"/>
      <c r="BF386" s="2"/>
      <c r="BG386" s="2"/>
      <c r="BH386" s="2"/>
      <c r="BI386" s="2"/>
      <c r="BJ386" s="2"/>
      <c r="BK386" s="2"/>
      <c r="BL386" s="2"/>
      <c r="BM386" s="2"/>
      <c r="BN386" s="2"/>
      <c r="BO386" s="2"/>
      <c r="BP386" s="2"/>
      <c r="BQ386" s="2"/>
      <c r="BR386" s="2"/>
      <c r="BS386" s="2"/>
      <c r="BT386" s="2"/>
      <c r="BU386" s="2"/>
      <c r="BV386" s="2"/>
      <c r="BW386" s="2"/>
      <c r="BX386" s="2"/>
      <c r="BY386" s="2"/>
      <c r="BZ386" s="2"/>
      <c r="CA386" s="2"/>
      <c r="CB386" s="2"/>
      <c r="CC386" s="2"/>
      <c r="CD386" s="2"/>
      <c r="CE386" s="2"/>
      <c r="CF386" s="2"/>
      <c r="CG386" s="2"/>
      <c r="CH386" s="2"/>
      <c r="CI386" s="2"/>
      <c r="CJ386" s="2"/>
      <c r="CK386" s="2"/>
      <c r="CL386" s="2"/>
      <c r="CM386" s="2"/>
      <c r="CN386" s="2"/>
      <c r="CO386" s="2"/>
      <c r="CP386" s="2"/>
      <c r="CQ386" s="2"/>
      <c r="CR386" s="2"/>
      <c r="CS386" s="2"/>
      <c r="CT386" s="2"/>
      <c r="CU386" s="2"/>
      <c r="CV386" s="2"/>
      <c r="CW386" s="2"/>
      <c r="CX386" s="2"/>
      <c r="CY386" s="2"/>
      <c r="CZ386" s="2"/>
      <c r="DA386" s="2"/>
      <c r="DB386" s="2"/>
      <c r="DC386" s="2"/>
      <c r="DD386" s="2"/>
      <c r="DE386" s="2"/>
      <c r="DF386" s="2"/>
      <c r="DG386" s="2"/>
      <c r="DH386" s="2"/>
      <c r="DI386" s="2"/>
      <c r="DJ386" s="2"/>
      <c r="DK386" s="2"/>
      <c r="DL386" s="2"/>
      <c r="DM386" s="2"/>
      <c r="DN386" s="2"/>
      <c r="DO386" s="2"/>
      <c r="DP386" s="2"/>
      <c r="DQ386" s="2"/>
      <c r="DR386" s="2"/>
      <c r="DS386" s="2"/>
      <c r="DT386" s="2"/>
      <c r="DU386" s="2"/>
      <c r="DV386" s="2"/>
      <c r="DW386" s="2"/>
      <c r="DX386" s="2"/>
      <c r="DY386" s="2"/>
      <c r="DZ386" s="2"/>
      <c r="EA386" s="2"/>
      <c r="EB386" s="2"/>
      <c r="EC386" s="2"/>
      <c r="ED386" s="2"/>
      <c r="EE386" s="2"/>
      <c r="EF386" s="2"/>
      <c r="EG386" s="2"/>
      <c r="EH386" s="2"/>
      <c r="EI386" s="2"/>
      <c r="EJ386" s="2"/>
      <c r="EK386" s="2"/>
      <c r="EL386" s="2"/>
      <c r="EM386" s="2"/>
      <c r="EN386" s="2"/>
      <c r="EO386" s="2"/>
      <c r="EP386" s="2"/>
      <c r="EQ386" s="2"/>
      <c r="ER386" s="2"/>
      <c r="ES386" s="2"/>
      <c r="ET386" s="2"/>
      <c r="EU386" s="2"/>
      <c r="EV386" s="2"/>
      <c r="EW386" s="2"/>
      <c r="EX386" s="2"/>
      <c r="EY386" s="2"/>
      <c r="EZ386" s="2"/>
      <c r="FA386" s="2"/>
      <c r="FB386" s="2"/>
      <c r="FC386" s="2"/>
      <c r="FD386" s="2"/>
      <c r="FE386" s="2"/>
      <c r="FF386" s="2"/>
      <c r="FG386" s="2"/>
      <c r="FH386" s="2"/>
      <c r="FI386" s="2"/>
      <c r="FJ386" s="2"/>
      <c r="FK386" s="2"/>
      <c r="FL386" s="2"/>
      <c r="FM386" s="2"/>
      <c r="FN386" s="2"/>
      <c r="FO386" s="2"/>
      <c r="FP386" s="2"/>
      <c r="FQ386" s="2"/>
      <c r="FR386" s="2"/>
      <c r="FS386" s="2"/>
      <c r="FT386" s="2"/>
      <c r="FU386" s="2"/>
      <c r="FV386" s="2"/>
      <c r="FW386" s="2"/>
      <c r="FX386" s="2"/>
      <c r="FY386" s="2"/>
      <c r="FZ386" s="2"/>
      <c r="GA386" s="2"/>
      <c r="GB386" s="2"/>
      <c r="GC386" s="2"/>
      <c r="GD386" s="2"/>
      <c r="GE386" s="2"/>
      <c r="GF386" s="2"/>
      <c r="GG386" s="2"/>
      <c r="GH386" s="2"/>
      <c r="GI386" s="2"/>
      <c r="GJ386" s="2"/>
      <c r="GK386" s="2"/>
      <c r="GL386" s="2"/>
      <c r="GM386" s="2"/>
      <c r="GN386" s="2"/>
      <c r="GO386" s="2"/>
      <c r="GP386" s="2"/>
      <c r="GQ386" s="2"/>
      <c r="GR386" s="2"/>
      <c r="GS386" s="2"/>
      <c r="GT386" s="2"/>
      <c r="GU386" s="2"/>
      <c r="GV386" s="2"/>
      <c r="GW386" s="2"/>
      <c r="GX386" s="2"/>
      <c r="GY386" s="2"/>
      <c r="GZ386" s="2"/>
      <c r="HA386" s="2"/>
      <c r="HB386" s="2"/>
      <c r="HC386" s="2"/>
      <c r="HD386" s="2"/>
      <c r="HE386" s="2"/>
      <c r="HF386" s="2"/>
      <c r="HG386" s="2"/>
      <c r="HH386" s="2"/>
      <c r="HI386" s="2"/>
      <c r="HJ386" s="2"/>
      <c r="HK386" s="2"/>
      <c r="HL386" s="2"/>
      <c r="HM386" s="2"/>
      <c r="HN386" s="2"/>
      <c r="HO386" s="2"/>
      <c r="HP386" s="2"/>
      <c r="HQ386" s="2"/>
      <c r="HR386" s="2"/>
      <c r="HS386" s="2"/>
      <c r="HT386" s="2"/>
      <c r="HU386" s="2"/>
      <c r="HV386" s="2"/>
      <c r="HW386" s="2"/>
      <c r="HX386" s="2"/>
      <c r="HY386" s="2"/>
      <c r="HZ386" s="2"/>
      <c r="IA386" s="2"/>
      <c r="IB386" s="2"/>
      <c r="IC386" s="2"/>
    </row>
    <row r="387" spans="1:237" x14ac:dyDescent="0.2">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c r="AA387" s="2"/>
      <c r="AB387" s="2"/>
      <c r="AC387" s="2"/>
      <c r="AD387" s="2"/>
      <c r="AE387" s="2"/>
      <c r="AF387" s="2"/>
      <c r="AG387" s="2"/>
      <c r="AH387" s="2"/>
      <c r="AI387" s="2"/>
      <c r="AJ387" s="2"/>
      <c r="AK387" s="2"/>
      <c r="AL387" s="2"/>
      <c r="AM387" s="2"/>
      <c r="AN387" s="2"/>
      <c r="AO387" s="2"/>
      <c r="AP387" s="2"/>
      <c r="AQ387" s="2"/>
      <c r="AR387" s="2"/>
      <c r="AS387" s="2"/>
      <c r="AT387" s="2"/>
      <c r="AU387" s="2"/>
      <c r="AV387" s="2"/>
      <c r="AW387" s="2"/>
      <c r="AX387" s="2"/>
      <c r="AY387" s="2"/>
      <c r="AZ387" s="2"/>
      <c r="BA387" s="2"/>
      <c r="BB387" s="2"/>
      <c r="BC387" s="2"/>
      <c r="BD387" s="2"/>
      <c r="BE387" s="2"/>
      <c r="BF387" s="2"/>
      <c r="BG387" s="2"/>
      <c r="BH387" s="2"/>
      <c r="BI387" s="2"/>
      <c r="BJ387" s="2"/>
      <c r="BK387" s="2"/>
      <c r="BL387" s="2"/>
      <c r="BM387" s="2"/>
      <c r="BN387" s="2"/>
      <c r="BO387" s="2"/>
      <c r="BP387" s="2"/>
      <c r="BQ387" s="2"/>
      <c r="BR387" s="2"/>
      <c r="BS387" s="2"/>
      <c r="BT387" s="2"/>
      <c r="BU387" s="2"/>
      <c r="BV387" s="2"/>
      <c r="BW387" s="2"/>
      <c r="BX387" s="2"/>
      <c r="BY387" s="2"/>
      <c r="BZ387" s="2"/>
      <c r="CA387" s="2"/>
      <c r="CB387" s="2"/>
      <c r="CC387" s="2"/>
      <c r="CD387" s="2"/>
      <c r="CE387" s="2"/>
      <c r="CF387" s="2"/>
      <c r="CG387" s="2"/>
      <c r="CH387" s="2"/>
      <c r="CI387" s="2"/>
      <c r="CJ387" s="2"/>
      <c r="CK387" s="2"/>
      <c r="CL387" s="2"/>
      <c r="CM387" s="2"/>
      <c r="CN387" s="2"/>
      <c r="CO387" s="2"/>
      <c r="CP387" s="2"/>
      <c r="CQ387" s="2"/>
      <c r="CR387" s="2"/>
      <c r="CS387" s="2"/>
      <c r="CT387" s="2"/>
      <c r="CU387" s="2"/>
      <c r="CV387" s="2"/>
      <c r="CW387" s="2"/>
      <c r="CX387" s="2"/>
      <c r="CY387" s="2"/>
      <c r="CZ387" s="2"/>
      <c r="DA387" s="2"/>
      <c r="DB387" s="2"/>
      <c r="DC387" s="2"/>
      <c r="DD387" s="2"/>
      <c r="DE387" s="2"/>
      <c r="DF387" s="2"/>
      <c r="DG387" s="2"/>
      <c r="DH387" s="2"/>
      <c r="DI387" s="2"/>
      <c r="DJ387" s="2"/>
      <c r="DK387" s="2"/>
      <c r="DL387" s="2"/>
      <c r="DM387" s="2"/>
      <c r="DN387" s="2"/>
      <c r="DO387" s="2"/>
      <c r="DP387" s="2"/>
      <c r="DQ387" s="2"/>
      <c r="DR387" s="2"/>
      <c r="DS387" s="2"/>
      <c r="DT387" s="2"/>
      <c r="DU387" s="2"/>
      <c r="DV387" s="2"/>
      <c r="DW387" s="2"/>
      <c r="DX387" s="2"/>
      <c r="DY387" s="2"/>
      <c r="DZ387" s="2"/>
      <c r="EA387" s="2"/>
      <c r="EB387" s="2"/>
      <c r="EC387" s="2"/>
      <c r="ED387" s="2"/>
      <c r="EE387" s="2"/>
      <c r="EF387" s="2"/>
      <c r="EG387" s="2"/>
      <c r="EH387" s="2"/>
      <c r="EI387" s="2"/>
      <c r="EJ387" s="2"/>
      <c r="EK387" s="2"/>
      <c r="EL387" s="2"/>
      <c r="EM387" s="2"/>
      <c r="EN387" s="2"/>
      <c r="EO387" s="2"/>
      <c r="EP387" s="2"/>
      <c r="EQ387" s="2"/>
      <c r="ER387" s="2"/>
      <c r="ES387" s="2"/>
      <c r="ET387" s="2"/>
      <c r="EU387" s="2"/>
      <c r="EV387" s="2"/>
      <c r="EW387" s="2"/>
      <c r="EX387" s="2"/>
      <c r="EY387" s="2"/>
      <c r="EZ387" s="2"/>
      <c r="FA387" s="2"/>
      <c r="FB387" s="2"/>
      <c r="FC387" s="2"/>
      <c r="FD387" s="2"/>
      <c r="FE387" s="2"/>
      <c r="FF387" s="2"/>
      <c r="FG387" s="2"/>
      <c r="FH387" s="2"/>
      <c r="FI387" s="2"/>
      <c r="FJ387" s="2"/>
      <c r="FK387" s="2"/>
      <c r="FL387" s="2"/>
      <c r="FM387" s="2"/>
      <c r="FN387" s="2"/>
      <c r="FO387" s="2"/>
      <c r="FP387" s="2"/>
      <c r="FQ387" s="2"/>
      <c r="FR387" s="2"/>
      <c r="FS387" s="2"/>
      <c r="FT387" s="2"/>
      <c r="FU387" s="2"/>
      <c r="FV387" s="2"/>
      <c r="FW387" s="2"/>
      <c r="FX387" s="2"/>
      <c r="FY387" s="2"/>
      <c r="FZ387" s="2"/>
      <c r="GA387" s="2"/>
      <c r="GB387" s="2"/>
      <c r="GC387" s="2"/>
      <c r="GD387" s="2"/>
      <c r="GE387" s="2"/>
      <c r="GF387" s="2"/>
      <c r="GG387" s="2"/>
      <c r="GH387" s="2"/>
      <c r="GI387" s="2"/>
      <c r="GJ387" s="2"/>
      <c r="GK387" s="2"/>
      <c r="GL387" s="2"/>
      <c r="GM387" s="2"/>
      <c r="GN387" s="2"/>
      <c r="GO387" s="2"/>
      <c r="GP387" s="2"/>
      <c r="GQ387" s="2"/>
      <c r="GR387" s="2"/>
      <c r="GS387" s="2"/>
      <c r="GT387" s="2"/>
      <c r="GU387" s="2"/>
      <c r="GV387" s="2"/>
      <c r="GW387" s="2"/>
      <c r="GX387" s="2"/>
      <c r="GY387" s="2"/>
      <c r="GZ387" s="2"/>
      <c r="HA387" s="2"/>
      <c r="HB387" s="2"/>
      <c r="HC387" s="2"/>
      <c r="HD387" s="2"/>
      <c r="HE387" s="2"/>
      <c r="HF387" s="2"/>
      <c r="HG387" s="2"/>
      <c r="HH387" s="2"/>
      <c r="HI387" s="2"/>
      <c r="HJ387" s="2"/>
      <c r="HK387" s="2"/>
      <c r="HL387" s="2"/>
      <c r="HM387" s="2"/>
      <c r="HN387" s="2"/>
      <c r="HO387" s="2"/>
      <c r="HP387" s="2"/>
      <c r="HQ387" s="2"/>
      <c r="HR387" s="2"/>
      <c r="HS387" s="2"/>
      <c r="HT387" s="2"/>
      <c r="HU387" s="2"/>
      <c r="HV387" s="2"/>
      <c r="HW387" s="2"/>
      <c r="HX387" s="2"/>
      <c r="HY387" s="2"/>
      <c r="HZ387" s="2"/>
      <c r="IA387" s="2"/>
      <c r="IB387" s="2"/>
      <c r="IC387" s="2"/>
    </row>
    <row r="388" spans="1:237" x14ac:dyDescent="0.2">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c r="AA388" s="2"/>
      <c r="AB388" s="2"/>
      <c r="AC388" s="2"/>
      <c r="AD388" s="2"/>
      <c r="AE388" s="2"/>
      <c r="AF388" s="2"/>
      <c r="AG388" s="2"/>
      <c r="AH388" s="2"/>
      <c r="AI388" s="2"/>
      <c r="AJ388" s="2"/>
      <c r="AK388" s="2"/>
      <c r="AL388" s="2"/>
      <c r="AM388" s="2"/>
      <c r="AN388" s="2"/>
      <c r="AO388" s="2"/>
      <c r="AP388" s="2"/>
      <c r="AQ388" s="2"/>
      <c r="AR388" s="2"/>
      <c r="AS388" s="2"/>
      <c r="AT388" s="2"/>
      <c r="AU388" s="2"/>
      <c r="AV388" s="2"/>
      <c r="AW388" s="2"/>
      <c r="AX388" s="2"/>
      <c r="AY388" s="2"/>
      <c r="AZ388" s="2"/>
      <c r="BA388" s="2"/>
      <c r="BB388" s="2"/>
      <c r="BC388" s="2"/>
      <c r="BD388" s="2"/>
      <c r="BE388" s="2"/>
      <c r="BF388" s="2"/>
      <c r="BG388" s="2"/>
      <c r="BH388" s="2"/>
      <c r="BI388" s="2"/>
      <c r="BJ388" s="2"/>
      <c r="BK388" s="2"/>
      <c r="BL388" s="2"/>
      <c r="BM388" s="2"/>
      <c r="BN388" s="2"/>
      <c r="BO388" s="2"/>
      <c r="BP388" s="2"/>
      <c r="BQ388" s="2"/>
      <c r="BR388" s="2"/>
      <c r="BS388" s="2"/>
      <c r="BT388" s="2"/>
      <c r="BU388" s="2"/>
      <c r="BV388" s="2"/>
      <c r="BW388" s="2"/>
      <c r="BX388" s="2"/>
      <c r="BY388" s="2"/>
      <c r="BZ388" s="2"/>
      <c r="CA388" s="2"/>
      <c r="CB388" s="2"/>
      <c r="CC388" s="2"/>
      <c r="CD388" s="2"/>
      <c r="CE388" s="2"/>
      <c r="CF388" s="2"/>
      <c r="CG388" s="2"/>
      <c r="CH388" s="2"/>
      <c r="CI388" s="2"/>
      <c r="CJ388" s="2"/>
      <c r="CK388" s="2"/>
      <c r="CL388" s="2"/>
      <c r="CM388" s="2"/>
      <c r="CN388" s="2"/>
      <c r="CO388" s="2"/>
      <c r="CP388" s="2"/>
      <c r="CQ388" s="2"/>
      <c r="CR388" s="2"/>
      <c r="CS388" s="2"/>
      <c r="CT388" s="2"/>
      <c r="CU388" s="2"/>
      <c r="CV388" s="2"/>
      <c r="CW388" s="2"/>
      <c r="CX388" s="2"/>
      <c r="CY388" s="2"/>
      <c r="CZ388" s="2"/>
      <c r="DA388" s="2"/>
      <c r="DB388" s="2"/>
      <c r="DC388" s="2"/>
      <c r="DD388" s="2"/>
      <c r="DE388" s="2"/>
      <c r="DF388" s="2"/>
      <c r="DG388" s="2"/>
      <c r="DH388" s="2"/>
      <c r="DI388" s="2"/>
      <c r="DJ388" s="2"/>
      <c r="DK388" s="2"/>
      <c r="DL388" s="2"/>
      <c r="DM388" s="2"/>
      <c r="DN388" s="2"/>
      <c r="DO388" s="2"/>
      <c r="DP388" s="2"/>
      <c r="DQ388" s="2"/>
      <c r="DR388" s="2"/>
      <c r="DS388" s="2"/>
      <c r="DT388" s="2"/>
      <c r="DU388" s="2"/>
      <c r="DV388" s="2"/>
      <c r="DW388" s="2"/>
      <c r="DX388" s="2"/>
      <c r="DY388" s="2"/>
      <c r="DZ388" s="2"/>
      <c r="EA388" s="2"/>
      <c r="EB388" s="2"/>
      <c r="EC388" s="2"/>
      <c r="ED388" s="2"/>
      <c r="EE388" s="2"/>
      <c r="EF388" s="2"/>
      <c r="EG388" s="2"/>
      <c r="EH388" s="2"/>
      <c r="EI388" s="2"/>
      <c r="EJ388" s="2"/>
      <c r="EK388" s="2"/>
      <c r="EL388" s="2"/>
      <c r="EM388" s="2"/>
      <c r="EN388" s="2"/>
      <c r="EO388" s="2"/>
      <c r="EP388" s="2"/>
      <c r="EQ388" s="2"/>
      <c r="ER388" s="2"/>
      <c r="ES388" s="2"/>
      <c r="ET388" s="2"/>
      <c r="EU388" s="2"/>
      <c r="EV388" s="2"/>
      <c r="EW388" s="2"/>
      <c r="EX388" s="2"/>
      <c r="EY388" s="2"/>
      <c r="EZ388" s="2"/>
      <c r="FA388" s="2"/>
      <c r="FB388" s="2"/>
      <c r="FC388" s="2"/>
      <c r="FD388" s="2"/>
      <c r="FE388" s="2"/>
      <c r="FF388" s="2"/>
      <c r="FG388" s="2"/>
      <c r="FH388" s="2"/>
      <c r="FI388" s="2"/>
      <c r="FJ388" s="2"/>
      <c r="FK388" s="2"/>
      <c r="FL388" s="2"/>
      <c r="FM388" s="2"/>
      <c r="FN388" s="2"/>
      <c r="FO388" s="2"/>
      <c r="FP388" s="2"/>
      <c r="FQ388" s="2"/>
      <c r="FR388" s="2"/>
      <c r="FS388" s="2"/>
      <c r="FT388" s="2"/>
      <c r="FU388" s="2"/>
      <c r="FV388" s="2"/>
      <c r="FW388" s="2"/>
      <c r="FX388" s="2"/>
      <c r="FY388" s="2"/>
      <c r="FZ388" s="2"/>
      <c r="GA388" s="2"/>
      <c r="GB388" s="2"/>
      <c r="GC388" s="2"/>
      <c r="GD388" s="2"/>
      <c r="GE388" s="2"/>
      <c r="GF388" s="2"/>
      <c r="GG388" s="2"/>
      <c r="GH388" s="2"/>
      <c r="GI388" s="2"/>
      <c r="GJ388" s="2"/>
      <c r="GK388" s="2"/>
      <c r="GL388" s="2"/>
      <c r="GM388" s="2"/>
      <c r="GN388" s="2"/>
      <c r="GO388" s="2"/>
      <c r="GP388" s="2"/>
      <c r="GQ388" s="2"/>
      <c r="GR388" s="2"/>
      <c r="GS388" s="2"/>
      <c r="GT388" s="2"/>
      <c r="GU388" s="2"/>
      <c r="GV388" s="2"/>
      <c r="GW388" s="2"/>
      <c r="GX388" s="2"/>
      <c r="GY388" s="2"/>
      <c r="GZ388" s="2"/>
      <c r="HA388" s="2"/>
      <c r="HB388" s="2"/>
      <c r="HC388" s="2"/>
      <c r="HD388" s="2"/>
      <c r="HE388" s="2"/>
      <c r="HF388" s="2"/>
      <c r="HG388" s="2"/>
      <c r="HH388" s="2"/>
      <c r="HI388" s="2"/>
      <c r="HJ388" s="2"/>
      <c r="HK388" s="2"/>
      <c r="HL388" s="2"/>
      <c r="HM388" s="2"/>
      <c r="HN388" s="2"/>
      <c r="HO388" s="2"/>
      <c r="HP388" s="2"/>
      <c r="HQ388" s="2"/>
      <c r="HR388" s="2"/>
      <c r="HS388" s="2"/>
      <c r="HT388" s="2"/>
      <c r="HU388" s="2"/>
      <c r="HV388" s="2"/>
      <c r="HW388" s="2"/>
      <c r="HX388" s="2"/>
      <c r="HY388" s="2"/>
      <c r="HZ388" s="2"/>
      <c r="IA388" s="2"/>
      <c r="IB388" s="2"/>
      <c r="IC388" s="2"/>
    </row>
    <row r="389" spans="1:237" x14ac:dyDescent="0.2">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c r="AA389" s="2"/>
      <c r="AB389" s="2"/>
      <c r="AC389" s="2"/>
      <c r="AD389" s="2"/>
      <c r="AE389" s="2"/>
      <c r="AF389" s="2"/>
      <c r="AG389" s="2"/>
      <c r="AH389" s="2"/>
      <c r="AI389" s="2"/>
      <c r="AJ389" s="2"/>
      <c r="AK389" s="2"/>
      <c r="AL389" s="2"/>
      <c r="AM389" s="2"/>
      <c r="AN389" s="2"/>
      <c r="AO389" s="2"/>
      <c r="AP389" s="2"/>
      <c r="AQ389" s="2"/>
      <c r="AR389" s="2"/>
      <c r="AS389" s="2"/>
      <c r="AT389" s="2"/>
      <c r="AU389" s="2"/>
      <c r="AV389" s="2"/>
      <c r="AW389" s="2"/>
      <c r="AX389" s="2"/>
      <c r="AY389" s="2"/>
      <c r="AZ389" s="2"/>
      <c r="BA389" s="2"/>
      <c r="BB389" s="2"/>
      <c r="BC389" s="2"/>
      <c r="BD389" s="2"/>
      <c r="BE389" s="2"/>
      <c r="BF389" s="2"/>
      <c r="BG389" s="2"/>
      <c r="BH389" s="2"/>
      <c r="BI389" s="2"/>
      <c r="BJ389" s="2"/>
      <c r="BK389" s="2"/>
      <c r="BL389" s="2"/>
      <c r="BM389" s="2"/>
      <c r="BN389" s="2"/>
      <c r="BO389" s="2"/>
      <c r="BP389" s="2"/>
      <c r="BQ389" s="2"/>
      <c r="BR389" s="2"/>
      <c r="BS389" s="2"/>
      <c r="BT389" s="2"/>
      <c r="BU389" s="2"/>
      <c r="BV389" s="2"/>
      <c r="BW389" s="2"/>
      <c r="BX389" s="2"/>
      <c r="BY389" s="2"/>
      <c r="BZ389" s="2"/>
      <c r="CA389" s="2"/>
      <c r="CB389" s="2"/>
      <c r="CC389" s="2"/>
      <c r="CD389" s="2"/>
      <c r="CE389" s="2"/>
      <c r="CF389" s="2"/>
      <c r="CG389" s="2"/>
      <c r="CH389" s="2"/>
      <c r="CI389" s="2"/>
      <c r="CJ389" s="2"/>
      <c r="CK389" s="2"/>
      <c r="CL389" s="2"/>
      <c r="CM389" s="2"/>
      <c r="CN389" s="2"/>
      <c r="CO389" s="2"/>
      <c r="CP389" s="2"/>
      <c r="CQ389" s="2"/>
      <c r="CR389" s="2"/>
      <c r="CS389" s="2"/>
      <c r="CT389" s="2"/>
      <c r="CU389" s="2"/>
      <c r="CV389" s="2"/>
      <c r="CW389" s="2"/>
      <c r="CX389" s="2"/>
      <c r="CY389" s="2"/>
      <c r="CZ389" s="2"/>
      <c r="DA389" s="2"/>
      <c r="DB389" s="2"/>
      <c r="DC389" s="2"/>
      <c r="DD389" s="2"/>
      <c r="DE389" s="2"/>
      <c r="DF389" s="2"/>
      <c r="DG389" s="2"/>
      <c r="DH389" s="2"/>
      <c r="DI389" s="2"/>
      <c r="DJ389" s="2"/>
      <c r="DK389" s="2"/>
      <c r="DL389" s="2"/>
      <c r="DM389" s="2"/>
      <c r="DN389" s="2"/>
      <c r="DO389" s="2"/>
      <c r="DP389" s="2"/>
      <c r="DQ389" s="2"/>
      <c r="DR389" s="2"/>
      <c r="DS389" s="2"/>
      <c r="DT389" s="2"/>
      <c r="DU389" s="2"/>
      <c r="DV389" s="2"/>
      <c r="DW389" s="2"/>
      <c r="DX389" s="2"/>
      <c r="DY389" s="2"/>
      <c r="DZ389" s="2"/>
      <c r="EA389" s="2"/>
      <c r="EB389" s="2"/>
      <c r="EC389" s="2"/>
      <c r="ED389" s="2"/>
      <c r="EE389" s="2"/>
      <c r="EF389" s="2"/>
      <c r="EG389" s="2"/>
      <c r="EH389" s="2"/>
      <c r="EI389" s="2"/>
      <c r="EJ389" s="2"/>
      <c r="EK389" s="2"/>
      <c r="EL389" s="2"/>
      <c r="EM389" s="2"/>
      <c r="EN389" s="2"/>
      <c r="EO389" s="2"/>
      <c r="EP389" s="2"/>
      <c r="EQ389" s="2"/>
      <c r="ER389" s="2"/>
      <c r="ES389" s="2"/>
      <c r="ET389" s="2"/>
      <c r="EU389" s="2"/>
      <c r="EV389" s="2"/>
      <c r="EW389" s="2"/>
      <c r="EX389" s="2"/>
      <c r="EY389" s="2"/>
      <c r="EZ389" s="2"/>
      <c r="FA389" s="2"/>
      <c r="FB389" s="2"/>
      <c r="FC389" s="2"/>
      <c r="FD389" s="2"/>
      <c r="FE389" s="2"/>
      <c r="FF389" s="2"/>
      <c r="FG389" s="2"/>
      <c r="FH389" s="2"/>
      <c r="FI389" s="2"/>
      <c r="FJ389" s="2"/>
      <c r="FK389" s="2"/>
      <c r="FL389" s="2"/>
      <c r="FM389" s="2"/>
      <c r="FN389" s="2"/>
      <c r="FO389" s="2"/>
      <c r="FP389" s="2"/>
      <c r="FQ389" s="2"/>
      <c r="FR389" s="2"/>
      <c r="FS389" s="2"/>
      <c r="FT389" s="2"/>
      <c r="FU389" s="2"/>
      <c r="FV389" s="2"/>
      <c r="FW389" s="2"/>
      <c r="FX389" s="2"/>
      <c r="FY389" s="2"/>
      <c r="FZ389" s="2"/>
      <c r="GA389" s="2"/>
      <c r="GB389" s="2"/>
      <c r="GC389" s="2"/>
      <c r="GD389" s="2"/>
      <c r="GE389" s="2"/>
      <c r="GF389" s="2"/>
      <c r="GG389" s="2"/>
      <c r="GH389" s="2"/>
      <c r="GI389" s="2"/>
      <c r="GJ389" s="2"/>
      <c r="GK389" s="2"/>
      <c r="GL389" s="2"/>
      <c r="GM389" s="2"/>
      <c r="GN389" s="2"/>
      <c r="GO389" s="2"/>
      <c r="GP389" s="2"/>
      <c r="GQ389" s="2"/>
      <c r="GR389" s="2"/>
      <c r="GS389" s="2"/>
      <c r="GT389" s="2"/>
      <c r="GU389" s="2"/>
      <c r="GV389" s="2"/>
      <c r="GW389" s="2"/>
      <c r="GX389" s="2"/>
      <c r="GY389" s="2"/>
      <c r="GZ389" s="2"/>
      <c r="HA389" s="2"/>
      <c r="HB389" s="2"/>
      <c r="HC389" s="2"/>
      <c r="HD389" s="2"/>
      <c r="HE389" s="2"/>
      <c r="HF389" s="2"/>
      <c r="HG389" s="2"/>
      <c r="HH389" s="2"/>
      <c r="HI389" s="2"/>
      <c r="HJ389" s="2"/>
      <c r="HK389" s="2"/>
      <c r="HL389" s="2"/>
      <c r="HM389" s="2"/>
      <c r="HN389" s="2"/>
      <c r="HO389" s="2"/>
      <c r="HP389" s="2"/>
      <c r="HQ389" s="2"/>
      <c r="HR389" s="2"/>
      <c r="HS389" s="2"/>
      <c r="HT389" s="2"/>
      <c r="HU389" s="2"/>
      <c r="HV389" s="2"/>
      <c r="HW389" s="2"/>
      <c r="HX389" s="2"/>
      <c r="HY389" s="2"/>
      <c r="HZ389" s="2"/>
      <c r="IA389" s="2"/>
      <c r="IB389" s="2"/>
      <c r="IC389" s="2"/>
    </row>
    <row r="390" spans="1:237" x14ac:dyDescent="0.2">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c r="AA390" s="2"/>
      <c r="AB390" s="2"/>
      <c r="AC390" s="2"/>
      <c r="AD390" s="2"/>
      <c r="AE390" s="2"/>
      <c r="AF390" s="2"/>
      <c r="AG390" s="2"/>
      <c r="AH390" s="2"/>
      <c r="AI390" s="2"/>
      <c r="AJ390" s="2"/>
      <c r="AK390" s="2"/>
      <c r="AL390" s="2"/>
      <c r="AM390" s="2"/>
      <c r="AN390" s="2"/>
      <c r="AO390" s="2"/>
      <c r="AP390" s="2"/>
      <c r="AQ390" s="2"/>
      <c r="AR390" s="2"/>
      <c r="AS390" s="2"/>
      <c r="AT390" s="2"/>
      <c r="AU390" s="2"/>
      <c r="AV390" s="2"/>
      <c r="AW390" s="2"/>
      <c r="AX390" s="2"/>
      <c r="AY390" s="2"/>
      <c r="AZ390" s="2"/>
      <c r="BA390" s="2"/>
      <c r="BB390" s="2"/>
      <c r="BC390" s="2"/>
      <c r="BD390" s="2"/>
      <c r="BE390" s="2"/>
      <c r="BF390" s="2"/>
      <c r="BG390" s="2"/>
      <c r="BH390" s="2"/>
      <c r="BI390" s="2"/>
      <c r="BJ390" s="2"/>
      <c r="BK390" s="2"/>
      <c r="BL390" s="2"/>
      <c r="BM390" s="2"/>
      <c r="BN390" s="2"/>
      <c r="BO390" s="2"/>
      <c r="BP390" s="2"/>
      <c r="BQ390" s="2"/>
      <c r="BR390" s="2"/>
      <c r="BS390" s="2"/>
      <c r="BT390" s="2"/>
      <c r="BU390" s="2"/>
      <c r="BV390" s="2"/>
      <c r="BW390" s="2"/>
      <c r="BX390" s="2"/>
      <c r="BY390" s="2"/>
      <c r="BZ390" s="2"/>
      <c r="CA390" s="2"/>
      <c r="CB390" s="2"/>
      <c r="CC390" s="2"/>
      <c r="CD390" s="2"/>
      <c r="CE390" s="2"/>
      <c r="CF390" s="2"/>
      <c r="CG390" s="2"/>
      <c r="CH390" s="2"/>
      <c r="CI390" s="2"/>
      <c r="CJ390" s="2"/>
      <c r="CK390" s="2"/>
      <c r="CL390" s="2"/>
      <c r="CM390" s="2"/>
      <c r="CN390" s="2"/>
      <c r="CO390" s="2"/>
      <c r="CP390" s="2"/>
      <c r="CQ390" s="2"/>
      <c r="CR390" s="2"/>
      <c r="CS390" s="2"/>
      <c r="CT390" s="2"/>
      <c r="CU390" s="2"/>
      <c r="CV390" s="2"/>
      <c r="CW390" s="2"/>
      <c r="CX390" s="2"/>
      <c r="CY390" s="2"/>
      <c r="CZ390" s="2"/>
      <c r="DA390" s="2"/>
      <c r="DB390" s="2"/>
      <c r="DC390" s="2"/>
      <c r="DD390" s="2"/>
      <c r="DE390" s="2"/>
      <c r="DF390" s="2"/>
      <c r="DG390" s="2"/>
      <c r="DH390" s="2"/>
      <c r="DI390" s="2"/>
      <c r="DJ390" s="2"/>
      <c r="DK390" s="2"/>
      <c r="DL390" s="2"/>
      <c r="DM390" s="2"/>
      <c r="DN390" s="2"/>
      <c r="DO390" s="2"/>
      <c r="DP390" s="2"/>
      <c r="DQ390" s="2"/>
      <c r="DR390" s="2"/>
      <c r="DS390" s="2"/>
      <c r="DT390" s="2"/>
      <c r="DU390" s="2"/>
      <c r="DV390" s="2"/>
      <c r="DW390" s="2"/>
      <c r="DX390" s="2"/>
      <c r="DY390" s="2"/>
      <c r="DZ390" s="2"/>
      <c r="EA390" s="2"/>
      <c r="EB390" s="2"/>
      <c r="EC390" s="2"/>
      <c r="ED390" s="2"/>
      <c r="EE390" s="2"/>
      <c r="EF390" s="2"/>
      <c r="EG390" s="2"/>
      <c r="EH390" s="2"/>
      <c r="EI390" s="2"/>
      <c r="EJ390" s="2"/>
      <c r="EK390" s="2"/>
      <c r="EL390" s="2"/>
      <c r="EM390" s="2"/>
      <c r="EN390" s="2"/>
      <c r="EO390" s="2"/>
      <c r="EP390" s="2"/>
      <c r="EQ390" s="2"/>
      <c r="ER390" s="2"/>
      <c r="ES390" s="2"/>
      <c r="ET390" s="2"/>
      <c r="EU390" s="2"/>
      <c r="EV390" s="2"/>
      <c r="EW390" s="2"/>
      <c r="EX390" s="2"/>
      <c r="EY390" s="2"/>
      <c r="EZ390" s="2"/>
      <c r="FA390" s="2"/>
      <c r="FB390" s="2"/>
      <c r="FC390" s="2"/>
      <c r="FD390" s="2"/>
      <c r="FE390" s="2"/>
      <c r="FF390" s="2"/>
      <c r="FG390" s="2"/>
      <c r="FH390" s="2"/>
      <c r="FI390" s="2"/>
      <c r="FJ390" s="2"/>
      <c r="FK390" s="2"/>
      <c r="FL390" s="2"/>
      <c r="FM390" s="2"/>
      <c r="FN390" s="2"/>
      <c r="FO390" s="2"/>
      <c r="FP390" s="2"/>
      <c r="FQ390" s="2"/>
      <c r="FR390" s="2"/>
      <c r="FS390" s="2"/>
      <c r="FT390" s="2"/>
      <c r="FU390" s="2"/>
      <c r="FV390" s="2"/>
      <c r="FW390" s="2"/>
      <c r="FX390" s="2"/>
      <c r="FY390" s="2"/>
      <c r="FZ390" s="2"/>
      <c r="GA390" s="2"/>
      <c r="GB390" s="2"/>
      <c r="GC390" s="2"/>
      <c r="GD390" s="2"/>
      <c r="GE390" s="2"/>
      <c r="GF390" s="2"/>
      <c r="GG390" s="2"/>
      <c r="GH390" s="2"/>
      <c r="GI390" s="2"/>
      <c r="GJ390" s="2"/>
      <c r="GK390" s="2"/>
      <c r="GL390" s="2"/>
      <c r="GM390" s="2"/>
      <c r="GN390" s="2"/>
      <c r="GO390" s="2"/>
      <c r="GP390" s="2"/>
      <c r="GQ390" s="2"/>
      <c r="GR390" s="2"/>
      <c r="GS390" s="2"/>
      <c r="GT390" s="2"/>
      <c r="GU390" s="2"/>
      <c r="GV390" s="2"/>
      <c r="GW390" s="2"/>
      <c r="GX390" s="2"/>
      <c r="GY390" s="2"/>
      <c r="GZ390" s="2"/>
      <c r="HA390" s="2"/>
      <c r="HB390" s="2"/>
      <c r="HC390" s="2"/>
      <c r="HD390" s="2"/>
      <c r="HE390" s="2"/>
      <c r="HF390" s="2"/>
      <c r="HG390" s="2"/>
      <c r="HH390" s="2"/>
      <c r="HI390" s="2"/>
      <c r="HJ390" s="2"/>
      <c r="HK390" s="2"/>
      <c r="HL390" s="2"/>
      <c r="HM390" s="2"/>
      <c r="HN390" s="2"/>
      <c r="HO390" s="2"/>
      <c r="HP390" s="2"/>
      <c r="HQ390" s="2"/>
      <c r="HR390" s="2"/>
      <c r="HS390" s="2"/>
      <c r="HT390" s="2"/>
      <c r="HU390" s="2"/>
      <c r="HV390" s="2"/>
      <c r="HW390" s="2"/>
      <c r="HX390" s="2"/>
      <c r="HY390" s="2"/>
      <c r="HZ390" s="2"/>
      <c r="IA390" s="2"/>
      <c r="IB390" s="2"/>
      <c r="IC390" s="2"/>
    </row>
    <row r="391" spans="1:237" x14ac:dyDescent="0.2">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c r="AA391" s="2"/>
      <c r="AB391" s="2"/>
      <c r="AC391" s="2"/>
      <c r="AD391" s="2"/>
      <c r="AE391" s="2"/>
      <c r="AF391" s="2"/>
      <c r="AG391" s="2"/>
      <c r="AH391" s="2"/>
      <c r="AI391" s="2"/>
      <c r="AJ391" s="2"/>
      <c r="AK391" s="2"/>
      <c r="AL391" s="2"/>
      <c r="AM391" s="2"/>
      <c r="AN391" s="2"/>
      <c r="AO391" s="2"/>
      <c r="AP391" s="2"/>
      <c r="AQ391" s="2"/>
      <c r="AR391" s="2"/>
      <c r="AS391" s="2"/>
      <c r="AT391" s="2"/>
      <c r="AU391" s="2"/>
      <c r="AV391" s="2"/>
      <c r="AW391" s="2"/>
      <c r="AX391" s="2"/>
      <c r="AY391" s="2"/>
      <c r="AZ391" s="2"/>
      <c r="BA391" s="2"/>
      <c r="BB391" s="2"/>
      <c r="BC391" s="2"/>
      <c r="BD391" s="2"/>
      <c r="BE391" s="2"/>
      <c r="BF391" s="2"/>
      <c r="BG391" s="2"/>
      <c r="BH391" s="2"/>
      <c r="BI391" s="2"/>
      <c r="BJ391" s="2"/>
      <c r="BK391" s="2"/>
      <c r="BL391" s="2"/>
      <c r="BM391" s="2"/>
      <c r="BN391" s="2"/>
      <c r="BO391" s="2"/>
      <c r="BP391" s="2"/>
      <c r="BQ391" s="2"/>
      <c r="BR391" s="2"/>
      <c r="BS391" s="2"/>
      <c r="BT391" s="2"/>
      <c r="BU391" s="2"/>
      <c r="BV391" s="2"/>
      <c r="BW391" s="2"/>
      <c r="BX391" s="2"/>
      <c r="BY391" s="2"/>
      <c r="BZ391" s="2"/>
      <c r="CA391" s="2"/>
      <c r="CB391" s="2"/>
      <c r="CC391" s="2"/>
      <c r="CD391" s="2"/>
      <c r="CE391" s="2"/>
      <c r="CF391" s="2"/>
      <c r="CG391" s="2"/>
      <c r="CH391" s="2"/>
      <c r="CI391" s="2"/>
      <c r="CJ391" s="2"/>
      <c r="CK391" s="2"/>
      <c r="CL391" s="2"/>
      <c r="CM391" s="2"/>
      <c r="CN391" s="2"/>
      <c r="CO391" s="2"/>
      <c r="CP391" s="2"/>
      <c r="CQ391" s="2"/>
      <c r="CR391" s="2"/>
      <c r="CS391" s="2"/>
      <c r="CT391" s="2"/>
      <c r="CU391" s="2"/>
      <c r="CV391" s="2"/>
      <c r="CW391" s="2"/>
      <c r="CX391" s="2"/>
      <c r="CY391" s="2"/>
      <c r="CZ391" s="2"/>
      <c r="DA391" s="2"/>
      <c r="DB391" s="2"/>
      <c r="DC391" s="2"/>
      <c r="DD391" s="2"/>
      <c r="DE391" s="2"/>
      <c r="DF391" s="2"/>
      <c r="DG391" s="2"/>
      <c r="DH391" s="2"/>
      <c r="DI391" s="2"/>
      <c r="DJ391" s="2"/>
      <c r="DK391" s="2"/>
      <c r="DL391" s="2"/>
      <c r="DM391" s="2"/>
      <c r="DN391" s="2"/>
      <c r="DO391" s="2"/>
      <c r="DP391" s="2"/>
      <c r="DQ391" s="2"/>
      <c r="DR391" s="2"/>
      <c r="DS391" s="2"/>
      <c r="DT391" s="2"/>
      <c r="DU391" s="2"/>
      <c r="DV391" s="2"/>
      <c r="DW391" s="2"/>
      <c r="DX391" s="2"/>
      <c r="DY391" s="2"/>
      <c r="DZ391" s="2"/>
      <c r="EA391" s="2"/>
      <c r="EB391" s="2"/>
      <c r="EC391" s="2"/>
      <c r="ED391" s="2"/>
      <c r="EE391" s="2"/>
      <c r="EF391" s="2"/>
      <c r="EG391" s="2"/>
      <c r="EH391" s="2"/>
      <c r="EI391" s="2"/>
      <c r="EJ391" s="2"/>
      <c r="EK391" s="2"/>
      <c r="EL391" s="2"/>
      <c r="EM391" s="2"/>
      <c r="EN391" s="2"/>
      <c r="EO391" s="2"/>
      <c r="EP391" s="2"/>
      <c r="EQ391" s="2"/>
      <c r="ER391" s="2"/>
      <c r="ES391" s="2"/>
      <c r="ET391" s="2"/>
      <c r="EU391" s="2"/>
      <c r="EV391" s="2"/>
      <c r="EW391" s="2"/>
      <c r="EX391" s="2"/>
      <c r="EY391" s="2"/>
      <c r="EZ391" s="2"/>
      <c r="FA391" s="2"/>
      <c r="FB391" s="2"/>
      <c r="FC391" s="2"/>
      <c r="FD391" s="2"/>
      <c r="FE391" s="2"/>
      <c r="FF391" s="2"/>
      <c r="FG391" s="2"/>
      <c r="FH391" s="2"/>
      <c r="FI391" s="2"/>
      <c r="FJ391" s="2"/>
      <c r="FK391" s="2"/>
      <c r="FL391" s="2"/>
      <c r="FM391" s="2"/>
      <c r="FN391" s="2"/>
      <c r="FO391" s="2"/>
      <c r="FP391" s="2"/>
      <c r="FQ391" s="2"/>
      <c r="FR391" s="2"/>
      <c r="FS391" s="2"/>
      <c r="FT391" s="2"/>
      <c r="FU391" s="2"/>
      <c r="FV391" s="2"/>
      <c r="FW391" s="2"/>
      <c r="FX391" s="2"/>
      <c r="FY391" s="2"/>
      <c r="FZ391" s="2"/>
      <c r="GA391" s="2"/>
      <c r="GB391" s="2"/>
      <c r="GC391" s="2"/>
      <c r="GD391" s="2"/>
      <c r="GE391" s="2"/>
      <c r="GF391" s="2"/>
      <c r="GG391" s="2"/>
      <c r="GH391" s="2"/>
      <c r="GI391" s="2"/>
      <c r="GJ391" s="2"/>
      <c r="GK391" s="2"/>
      <c r="GL391" s="2"/>
      <c r="GM391" s="2"/>
      <c r="GN391" s="2"/>
      <c r="GO391" s="2"/>
      <c r="GP391" s="2"/>
      <c r="GQ391" s="2"/>
      <c r="GR391" s="2"/>
      <c r="GS391" s="2"/>
      <c r="GT391" s="2"/>
      <c r="GU391" s="2"/>
      <c r="GV391" s="2"/>
      <c r="GW391" s="2"/>
      <c r="GX391" s="2"/>
      <c r="GY391" s="2"/>
      <c r="GZ391" s="2"/>
      <c r="HA391" s="2"/>
      <c r="HB391" s="2"/>
      <c r="HC391" s="2"/>
      <c r="HD391" s="2"/>
      <c r="HE391" s="2"/>
      <c r="HF391" s="2"/>
      <c r="HG391" s="2"/>
      <c r="HH391" s="2"/>
      <c r="HI391" s="2"/>
      <c r="HJ391" s="2"/>
      <c r="HK391" s="2"/>
      <c r="HL391" s="2"/>
      <c r="HM391" s="2"/>
      <c r="HN391" s="2"/>
      <c r="HO391" s="2"/>
      <c r="HP391" s="2"/>
      <c r="HQ391" s="2"/>
      <c r="HR391" s="2"/>
      <c r="HS391" s="2"/>
      <c r="HT391" s="2"/>
      <c r="HU391" s="2"/>
      <c r="HV391" s="2"/>
      <c r="HW391" s="2"/>
      <c r="HX391" s="2"/>
      <c r="HY391" s="2"/>
      <c r="HZ391" s="2"/>
      <c r="IA391" s="2"/>
      <c r="IB391" s="2"/>
      <c r="IC391" s="2"/>
    </row>
    <row r="392" spans="1:237" x14ac:dyDescent="0.2">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c r="AA392" s="2"/>
      <c r="AB392" s="2"/>
      <c r="AC392" s="2"/>
      <c r="AD392" s="2"/>
      <c r="AE392" s="2"/>
      <c r="AF392" s="2"/>
      <c r="AG392" s="2"/>
      <c r="AH392" s="2"/>
      <c r="AI392" s="2"/>
      <c r="AJ392" s="2"/>
      <c r="AK392" s="2"/>
      <c r="AL392" s="2"/>
      <c r="AM392" s="2"/>
      <c r="AN392" s="2"/>
      <c r="AO392" s="2"/>
      <c r="AP392" s="2"/>
      <c r="AQ392" s="2"/>
      <c r="AR392" s="2"/>
      <c r="AS392" s="2"/>
      <c r="AT392" s="2"/>
      <c r="AU392" s="2"/>
      <c r="AV392" s="2"/>
      <c r="AW392" s="2"/>
      <c r="AX392" s="2"/>
      <c r="AY392" s="2"/>
      <c r="AZ392" s="2"/>
      <c r="BA392" s="2"/>
      <c r="BB392" s="2"/>
      <c r="BC392" s="2"/>
      <c r="BD392" s="2"/>
      <c r="BE392" s="2"/>
      <c r="BF392" s="2"/>
      <c r="BG392" s="2"/>
      <c r="BH392" s="2"/>
      <c r="BI392" s="2"/>
      <c r="BJ392" s="2"/>
      <c r="BK392" s="2"/>
      <c r="BL392" s="2"/>
      <c r="BM392" s="2"/>
      <c r="BN392" s="2"/>
      <c r="BO392" s="2"/>
      <c r="BP392" s="2"/>
      <c r="BQ392" s="2"/>
      <c r="BR392" s="2"/>
      <c r="BS392" s="2"/>
      <c r="BT392" s="2"/>
      <c r="BU392" s="2"/>
      <c r="BV392" s="2"/>
      <c r="BW392" s="2"/>
      <c r="BX392" s="2"/>
      <c r="BY392" s="2"/>
      <c r="BZ392" s="2"/>
      <c r="CA392" s="2"/>
      <c r="CB392" s="2"/>
      <c r="CC392" s="2"/>
      <c r="CD392" s="2"/>
      <c r="CE392" s="2"/>
      <c r="CF392" s="2"/>
      <c r="CG392" s="2"/>
      <c r="CH392" s="2"/>
      <c r="CI392" s="2"/>
      <c r="CJ392" s="2"/>
      <c r="CK392" s="2"/>
      <c r="CL392" s="2"/>
      <c r="CM392" s="2"/>
      <c r="CN392" s="2"/>
      <c r="CO392" s="2"/>
      <c r="CP392" s="2"/>
      <c r="CQ392" s="2"/>
      <c r="CR392" s="2"/>
      <c r="CS392" s="2"/>
      <c r="CT392" s="2"/>
      <c r="CU392" s="2"/>
      <c r="CV392" s="2"/>
      <c r="CW392" s="2"/>
      <c r="CX392" s="2"/>
      <c r="CY392" s="2"/>
      <c r="CZ392" s="2"/>
      <c r="DA392" s="2"/>
      <c r="DB392" s="2"/>
      <c r="DC392" s="2"/>
      <c r="DD392" s="2"/>
      <c r="DE392" s="2"/>
      <c r="DF392" s="2"/>
      <c r="DG392" s="2"/>
      <c r="DH392" s="2"/>
      <c r="DI392" s="2"/>
      <c r="DJ392" s="2"/>
      <c r="DK392" s="2"/>
      <c r="DL392" s="2"/>
      <c r="DM392" s="2"/>
      <c r="DN392" s="2"/>
      <c r="DO392" s="2"/>
      <c r="DP392" s="2"/>
      <c r="DQ392" s="2"/>
      <c r="DR392" s="2"/>
      <c r="DS392" s="2"/>
      <c r="DT392" s="2"/>
      <c r="DU392" s="2"/>
      <c r="DV392" s="2"/>
      <c r="DW392" s="2"/>
      <c r="DX392" s="2"/>
      <c r="DY392" s="2"/>
      <c r="DZ392" s="2"/>
      <c r="EA392" s="2"/>
      <c r="EB392" s="2"/>
      <c r="EC392" s="2"/>
      <c r="ED392" s="2"/>
      <c r="EE392" s="2"/>
      <c r="EF392" s="2"/>
      <c r="EG392" s="2"/>
      <c r="EH392" s="2"/>
      <c r="EI392" s="2"/>
      <c r="EJ392" s="2"/>
      <c r="EK392" s="2"/>
      <c r="EL392" s="2"/>
      <c r="EM392" s="2"/>
      <c r="EN392" s="2"/>
      <c r="EO392" s="2"/>
      <c r="EP392" s="2"/>
      <c r="EQ392" s="2"/>
      <c r="ER392" s="2"/>
      <c r="ES392" s="2"/>
      <c r="ET392" s="2"/>
      <c r="EU392" s="2"/>
      <c r="EV392" s="2"/>
      <c r="EW392" s="2"/>
      <c r="EX392" s="2"/>
      <c r="EY392" s="2"/>
      <c r="EZ392" s="2"/>
      <c r="FA392" s="2"/>
      <c r="FB392" s="2"/>
      <c r="FC392" s="2"/>
      <c r="FD392" s="2"/>
      <c r="FE392" s="2"/>
      <c r="FF392" s="2"/>
      <c r="FG392" s="2"/>
      <c r="FH392" s="2"/>
      <c r="FI392" s="2"/>
      <c r="FJ392" s="2"/>
      <c r="FK392" s="2"/>
      <c r="FL392" s="2"/>
      <c r="FM392" s="2"/>
      <c r="FN392" s="2"/>
      <c r="FO392" s="2"/>
      <c r="FP392" s="2"/>
      <c r="FQ392" s="2"/>
      <c r="FR392" s="2"/>
      <c r="FS392" s="2"/>
      <c r="FT392" s="2"/>
      <c r="FU392" s="2"/>
      <c r="FV392" s="2"/>
      <c r="FW392" s="2"/>
      <c r="FX392" s="2"/>
      <c r="FY392" s="2"/>
      <c r="FZ392" s="2"/>
      <c r="GA392" s="2"/>
      <c r="GB392" s="2"/>
      <c r="GC392" s="2"/>
      <c r="GD392" s="2"/>
      <c r="GE392" s="2"/>
      <c r="GF392" s="2"/>
      <c r="GG392" s="2"/>
      <c r="GH392" s="2"/>
      <c r="GI392" s="2"/>
      <c r="GJ392" s="2"/>
      <c r="GK392" s="2"/>
      <c r="GL392" s="2"/>
      <c r="GM392" s="2"/>
      <c r="GN392" s="2"/>
      <c r="GO392" s="2"/>
      <c r="GP392" s="2"/>
      <c r="GQ392" s="2"/>
      <c r="GR392" s="2"/>
      <c r="GS392" s="2"/>
      <c r="GT392" s="2"/>
      <c r="GU392" s="2"/>
      <c r="GV392" s="2"/>
      <c r="GW392" s="2"/>
      <c r="GX392" s="2"/>
      <c r="GY392" s="2"/>
      <c r="GZ392" s="2"/>
      <c r="HA392" s="2"/>
      <c r="HB392" s="2"/>
      <c r="HC392" s="2"/>
      <c r="HD392" s="2"/>
      <c r="HE392" s="2"/>
      <c r="HF392" s="2"/>
      <c r="HG392" s="2"/>
      <c r="HH392" s="2"/>
      <c r="HI392" s="2"/>
      <c r="HJ392" s="2"/>
      <c r="HK392" s="2"/>
      <c r="HL392" s="2"/>
      <c r="HM392" s="2"/>
      <c r="HN392" s="2"/>
      <c r="HO392" s="2"/>
      <c r="HP392" s="2"/>
      <c r="HQ392" s="2"/>
      <c r="HR392" s="2"/>
      <c r="HS392" s="2"/>
      <c r="HT392" s="2"/>
      <c r="HU392" s="2"/>
      <c r="HV392" s="2"/>
      <c r="HW392" s="2"/>
      <c r="HX392" s="2"/>
      <c r="HY392" s="2"/>
      <c r="HZ392" s="2"/>
      <c r="IA392" s="2"/>
      <c r="IB392" s="2"/>
      <c r="IC392" s="2"/>
    </row>
    <row r="393" spans="1:237" x14ac:dyDescent="0.2">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c r="AA393" s="2"/>
      <c r="AB393" s="2"/>
      <c r="AC393" s="2"/>
      <c r="AD393" s="2"/>
      <c r="AE393" s="2"/>
      <c r="AF393" s="2"/>
      <c r="AG393" s="2"/>
      <c r="AH393" s="2"/>
      <c r="AI393" s="2"/>
      <c r="AJ393" s="2"/>
      <c r="AK393" s="2"/>
      <c r="AL393" s="2"/>
      <c r="AM393" s="2"/>
      <c r="AN393" s="2"/>
      <c r="AO393" s="2"/>
      <c r="AP393" s="2"/>
      <c r="AQ393" s="2"/>
      <c r="AR393" s="2"/>
      <c r="AS393" s="2"/>
      <c r="AT393" s="2"/>
      <c r="AU393" s="2"/>
      <c r="AV393" s="2"/>
      <c r="AW393" s="2"/>
      <c r="AX393" s="2"/>
      <c r="AY393" s="2"/>
      <c r="AZ393" s="2"/>
      <c r="BA393" s="2"/>
      <c r="BB393" s="2"/>
      <c r="BC393" s="2"/>
      <c r="BD393" s="2"/>
      <c r="BE393" s="2"/>
      <c r="BF393" s="2"/>
      <c r="BG393" s="2"/>
      <c r="BH393" s="2"/>
      <c r="BI393" s="2"/>
      <c r="BJ393" s="2"/>
      <c r="BK393" s="2"/>
      <c r="BL393" s="2"/>
      <c r="BM393" s="2"/>
      <c r="BN393" s="2"/>
      <c r="BO393" s="2"/>
      <c r="BP393" s="2"/>
      <c r="BQ393" s="2"/>
      <c r="BR393" s="2"/>
      <c r="BS393" s="2"/>
      <c r="BT393" s="2"/>
      <c r="BU393" s="2"/>
      <c r="BV393" s="2"/>
      <c r="BW393" s="2"/>
      <c r="BX393" s="2"/>
      <c r="BY393" s="2"/>
      <c r="BZ393" s="2"/>
      <c r="CA393" s="2"/>
      <c r="CB393" s="2"/>
      <c r="CC393" s="2"/>
      <c r="CD393" s="2"/>
      <c r="CE393" s="2"/>
      <c r="CF393" s="2"/>
      <c r="CG393" s="2"/>
      <c r="CH393" s="2"/>
      <c r="CI393" s="2"/>
      <c r="CJ393" s="2"/>
      <c r="CK393" s="2"/>
      <c r="CL393" s="2"/>
      <c r="CM393" s="2"/>
      <c r="CN393" s="2"/>
      <c r="CO393" s="2"/>
      <c r="CP393" s="2"/>
      <c r="CQ393" s="2"/>
      <c r="CR393" s="2"/>
      <c r="CS393" s="2"/>
      <c r="CT393" s="2"/>
      <c r="CU393" s="2"/>
      <c r="CV393" s="2"/>
      <c r="CW393" s="2"/>
      <c r="CX393" s="2"/>
      <c r="CY393" s="2"/>
      <c r="CZ393" s="2"/>
      <c r="DA393" s="2"/>
      <c r="DB393" s="2"/>
      <c r="DC393" s="2"/>
      <c r="DD393" s="2"/>
      <c r="DE393" s="2"/>
      <c r="DF393" s="2"/>
      <c r="DG393" s="2"/>
      <c r="DH393" s="2"/>
      <c r="DI393" s="2"/>
      <c r="DJ393" s="2"/>
      <c r="DK393" s="2"/>
      <c r="DL393" s="2"/>
      <c r="DM393" s="2"/>
      <c r="DN393" s="2"/>
      <c r="DO393" s="2"/>
      <c r="DP393" s="2"/>
      <c r="DQ393" s="2"/>
      <c r="DR393" s="2"/>
      <c r="DS393" s="2"/>
      <c r="DT393" s="2"/>
      <c r="DU393" s="2"/>
      <c r="DV393" s="2"/>
      <c r="DW393" s="2"/>
      <c r="DX393" s="2"/>
      <c r="DY393" s="2"/>
      <c r="DZ393" s="2"/>
      <c r="EA393" s="2"/>
      <c r="EB393" s="2"/>
      <c r="EC393" s="2"/>
      <c r="ED393" s="2"/>
      <c r="EE393" s="2"/>
      <c r="EF393" s="2"/>
      <c r="EG393" s="2"/>
      <c r="EH393" s="2"/>
      <c r="EI393" s="2"/>
      <c r="EJ393" s="2"/>
      <c r="EK393" s="2"/>
      <c r="EL393" s="2"/>
      <c r="EM393" s="2"/>
      <c r="EN393" s="2"/>
      <c r="EO393" s="2"/>
      <c r="EP393" s="2"/>
      <c r="EQ393" s="2"/>
      <c r="ER393" s="2"/>
      <c r="ES393" s="2"/>
      <c r="ET393" s="2"/>
      <c r="EU393" s="2"/>
      <c r="EV393" s="2"/>
      <c r="EW393" s="2"/>
      <c r="EX393" s="2"/>
      <c r="EY393" s="2"/>
      <c r="EZ393" s="2"/>
      <c r="FA393" s="2"/>
      <c r="FB393" s="2"/>
      <c r="FC393" s="2"/>
      <c r="FD393" s="2"/>
      <c r="FE393" s="2"/>
      <c r="FF393" s="2"/>
      <c r="FG393" s="2"/>
      <c r="FH393" s="2"/>
      <c r="FI393" s="2"/>
      <c r="FJ393" s="2"/>
      <c r="FK393" s="2"/>
      <c r="FL393" s="2"/>
      <c r="FM393" s="2"/>
      <c r="FN393" s="2"/>
      <c r="FO393" s="2"/>
      <c r="FP393" s="2"/>
      <c r="FQ393" s="2"/>
      <c r="FR393" s="2"/>
      <c r="FS393" s="2"/>
      <c r="FT393" s="2"/>
      <c r="FU393" s="2"/>
      <c r="FV393" s="2"/>
      <c r="FW393" s="2"/>
      <c r="FX393" s="2"/>
      <c r="FY393" s="2"/>
      <c r="FZ393" s="2"/>
      <c r="GA393" s="2"/>
      <c r="GB393" s="2"/>
      <c r="GC393" s="2"/>
      <c r="GD393" s="2"/>
      <c r="GE393" s="2"/>
      <c r="GF393" s="2"/>
      <c r="GG393" s="2"/>
      <c r="GH393" s="2"/>
      <c r="GI393" s="2"/>
      <c r="GJ393" s="2"/>
      <c r="GK393" s="2"/>
      <c r="GL393" s="2"/>
      <c r="GM393" s="2"/>
      <c r="GN393" s="2"/>
      <c r="GO393" s="2"/>
      <c r="GP393" s="2"/>
      <c r="GQ393" s="2"/>
      <c r="GR393" s="2"/>
      <c r="GS393" s="2"/>
      <c r="GT393" s="2"/>
      <c r="GU393" s="2"/>
      <c r="GV393" s="2"/>
      <c r="GW393" s="2"/>
      <c r="GX393" s="2"/>
      <c r="GY393" s="2"/>
      <c r="GZ393" s="2"/>
      <c r="HA393" s="2"/>
      <c r="HB393" s="2"/>
      <c r="HC393" s="2"/>
      <c r="HD393" s="2"/>
      <c r="HE393" s="2"/>
      <c r="HF393" s="2"/>
      <c r="HG393" s="2"/>
      <c r="HH393" s="2"/>
      <c r="HI393" s="2"/>
      <c r="HJ393" s="2"/>
      <c r="HK393" s="2"/>
      <c r="HL393" s="2"/>
      <c r="HM393" s="2"/>
      <c r="HN393" s="2"/>
      <c r="HO393" s="2"/>
      <c r="HP393" s="2"/>
      <c r="HQ393" s="2"/>
      <c r="HR393" s="2"/>
      <c r="HS393" s="2"/>
      <c r="HT393" s="2"/>
      <c r="HU393" s="2"/>
      <c r="HV393" s="2"/>
      <c r="HW393" s="2"/>
      <c r="HX393" s="2"/>
      <c r="HY393" s="2"/>
      <c r="HZ393" s="2"/>
      <c r="IA393" s="2"/>
      <c r="IB393" s="2"/>
      <c r="IC393" s="2"/>
    </row>
    <row r="394" spans="1:237" x14ac:dyDescent="0.2">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c r="AA394" s="2"/>
      <c r="AB394" s="2"/>
      <c r="AC394" s="2"/>
      <c r="AD394" s="2"/>
      <c r="AE394" s="2"/>
      <c r="AF394" s="2"/>
      <c r="AG394" s="2"/>
      <c r="AH394" s="2"/>
      <c r="AI394" s="2"/>
      <c r="AJ394" s="2"/>
      <c r="AK394" s="2"/>
      <c r="AL394" s="2"/>
      <c r="AM394" s="2"/>
      <c r="AN394" s="2"/>
      <c r="AO394" s="2"/>
      <c r="AP394" s="2"/>
      <c r="AQ394" s="2"/>
      <c r="AR394" s="2"/>
      <c r="AS394" s="2"/>
      <c r="AT394" s="2"/>
      <c r="AU394" s="2"/>
      <c r="AV394" s="2"/>
      <c r="AW394" s="2"/>
      <c r="AX394" s="2"/>
      <c r="AY394" s="2"/>
      <c r="AZ394" s="2"/>
      <c r="BA394" s="2"/>
      <c r="BB394" s="2"/>
      <c r="BC394" s="2"/>
      <c r="BD394" s="2"/>
      <c r="BE394" s="2"/>
      <c r="BF394" s="2"/>
      <c r="BG394" s="2"/>
      <c r="BH394" s="2"/>
      <c r="BI394" s="2"/>
      <c r="BJ394" s="2"/>
      <c r="BK394" s="2"/>
      <c r="BL394" s="2"/>
      <c r="BM394" s="2"/>
      <c r="BN394" s="2"/>
      <c r="BO394" s="2"/>
      <c r="BP394" s="2"/>
      <c r="BQ394" s="2"/>
      <c r="BR394" s="2"/>
      <c r="BS394" s="2"/>
      <c r="BT394" s="2"/>
      <c r="BU394" s="2"/>
      <c r="BV394" s="2"/>
      <c r="BW394" s="2"/>
      <c r="BX394" s="2"/>
      <c r="BY394" s="2"/>
      <c r="BZ394" s="2"/>
      <c r="CA394" s="2"/>
      <c r="CB394" s="2"/>
      <c r="CC394" s="2"/>
      <c r="CD394" s="2"/>
      <c r="CE394" s="2"/>
      <c r="CF394" s="2"/>
      <c r="CG394" s="2"/>
      <c r="CH394" s="2"/>
      <c r="CI394" s="2"/>
      <c r="CJ394" s="2"/>
      <c r="CK394" s="2"/>
      <c r="CL394" s="2"/>
      <c r="CM394" s="2"/>
      <c r="CN394" s="2"/>
      <c r="CO394" s="2"/>
      <c r="CP394" s="2"/>
      <c r="CQ394" s="2"/>
      <c r="CR394" s="2"/>
      <c r="CS394" s="2"/>
      <c r="CT394" s="2"/>
      <c r="CU394" s="2"/>
      <c r="CV394" s="2"/>
      <c r="CW394" s="2"/>
      <c r="CX394" s="2"/>
      <c r="CY394" s="2"/>
      <c r="CZ394" s="2"/>
      <c r="DA394" s="2"/>
      <c r="DB394" s="2"/>
      <c r="DC394" s="2"/>
      <c r="DD394" s="2"/>
      <c r="DE394" s="2"/>
      <c r="DF394" s="2"/>
      <c r="DG394" s="2"/>
      <c r="DH394" s="2"/>
      <c r="DI394" s="2"/>
      <c r="DJ394" s="2"/>
      <c r="DK394" s="2"/>
      <c r="DL394" s="2"/>
      <c r="DM394" s="2"/>
      <c r="DN394" s="2"/>
      <c r="DO394" s="2"/>
      <c r="DP394" s="2"/>
      <c r="DQ394" s="2"/>
      <c r="DR394" s="2"/>
      <c r="DS394" s="2"/>
      <c r="DT394" s="2"/>
      <c r="DU394" s="2"/>
      <c r="DV394" s="2"/>
      <c r="DW394" s="2"/>
      <c r="DX394" s="2"/>
      <c r="DY394" s="2"/>
      <c r="DZ394" s="2"/>
      <c r="EA394" s="2"/>
      <c r="EB394" s="2"/>
      <c r="EC394" s="2"/>
      <c r="ED394" s="2"/>
      <c r="EE394" s="2"/>
      <c r="EF394" s="2"/>
      <c r="EG394" s="2"/>
      <c r="EH394" s="2"/>
      <c r="EI394" s="2"/>
      <c r="EJ394" s="2"/>
      <c r="EK394" s="2"/>
      <c r="EL394" s="2"/>
      <c r="EM394" s="2"/>
      <c r="EN394" s="2"/>
      <c r="EO394" s="2"/>
      <c r="EP394" s="2"/>
      <c r="EQ394" s="2"/>
      <c r="ER394" s="2"/>
      <c r="ES394" s="2"/>
      <c r="ET394" s="2"/>
      <c r="EU394" s="2"/>
      <c r="EV394" s="2"/>
      <c r="EW394" s="2"/>
      <c r="EX394" s="2"/>
      <c r="EY394" s="2"/>
      <c r="EZ394" s="2"/>
      <c r="FA394" s="2"/>
      <c r="FB394" s="2"/>
      <c r="FC394" s="2"/>
      <c r="FD394" s="2"/>
      <c r="FE394" s="2"/>
      <c r="FF394" s="2"/>
      <c r="FG394" s="2"/>
      <c r="FH394" s="2"/>
      <c r="FI394" s="2"/>
      <c r="FJ394" s="2"/>
      <c r="FK394" s="2"/>
      <c r="FL394" s="2"/>
      <c r="FM394" s="2"/>
      <c r="FN394" s="2"/>
      <c r="FO394" s="2"/>
      <c r="FP394" s="2"/>
      <c r="FQ394" s="2"/>
      <c r="FR394" s="2"/>
      <c r="FS394" s="2"/>
      <c r="FT394" s="2"/>
      <c r="FU394" s="2"/>
      <c r="FV394" s="2"/>
      <c r="FW394" s="2"/>
      <c r="FX394" s="2"/>
      <c r="FY394" s="2"/>
      <c r="FZ394" s="2"/>
      <c r="GA394" s="2"/>
      <c r="GB394" s="2"/>
      <c r="GC394" s="2"/>
      <c r="GD394" s="2"/>
      <c r="GE394" s="2"/>
      <c r="GF394" s="2"/>
      <c r="GG394" s="2"/>
      <c r="GH394" s="2"/>
      <c r="GI394" s="2"/>
      <c r="GJ394" s="2"/>
      <c r="GK394" s="2"/>
      <c r="GL394" s="2"/>
      <c r="GM394" s="2"/>
      <c r="GN394" s="2"/>
      <c r="GO394" s="2"/>
      <c r="GP394" s="2"/>
      <c r="GQ394" s="2"/>
      <c r="GR394" s="2"/>
      <c r="GS394" s="2"/>
      <c r="GT394" s="2"/>
      <c r="GU394" s="2"/>
      <c r="GV394" s="2"/>
      <c r="GW394" s="2"/>
      <c r="GX394" s="2"/>
      <c r="GY394" s="2"/>
      <c r="GZ394" s="2"/>
      <c r="HA394" s="2"/>
      <c r="HB394" s="2"/>
      <c r="HC394" s="2"/>
      <c r="HD394" s="2"/>
      <c r="HE394" s="2"/>
      <c r="HF394" s="2"/>
      <c r="HG394" s="2"/>
      <c r="HH394" s="2"/>
      <c r="HI394" s="2"/>
      <c r="HJ394" s="2"/>
      <c r="HK394" s="2"/>
      <c r="HL394" s="2"/>
      <c r="HM394" s="2"/>
      <c r="HN394" s="2"/>
      <c r="HO394" s="2"/>
      <c r="HP394" s="2"/>
      <c r="HQ394" s="2"/>
      <c r="HR394" s="2"/>
      <c r="HS394" s="2"/>
      <c r="HT394" s="2"/>
      <c r="HU394" s="2"/>
      <c r="HV394" s="2"/>
      <c r="HW394" s="2"/>
      <c r="HX394" s="2"/>
      <c r="HY394" s="2"/>
      <c r="HZ394" s="2"/>
      <c r="IA394" s="2"/>
      <c r="IB394" s="2"/>
      <c r="IC394" s="2"/>
    </row>
    <row r="395" spans="1:237" x14ac:dyDescent="0.2">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c r="AA395" s="2"/>
      <c r="AB395" s="2"/>
      <c r="AC395" s="2"/>
      <c r="AD395" s="2"/>
      <c r="AE395" s="2"/>
      <c r="AF395" s="2"/>
      <c r="AG395" s="2"/>
      <c r="AH395" s="2"/>
      <c r="AI395" s="2"/>
      <c r="AJ395" s="2"/>
      <c r="AK395" s="2"/>
      <c r="AL395" s="2"/>
      <c r="AM395" s="2"/>
      <c r="AN395" s="2"/>
      <c r="AO395" s="2"/>
      <c r="AP395" s="2"/>
      <c r="AQ395" s="2"/>
      <c r="AR395" s="2"/>
      <c r="AS395" s="2"/>
      <c r="AT395" s="2"/>
      <c r="AU395" s="2"/>
      <c r="AV395" s="2"/>
      <c r="AW395" s="2"/>
      <c r="AX395" s="2"/>
      <c r="AY395" s="2"/>
      <c r="AZ395" s="2"/>
      <c r="BA395" s="2"/>
      <c r="BB395" s="2"/>
      <c r="BC395" s="2"/>
      <c r="BD395" s="2"/>
      <c r="BE395" s="2"/>
      <c r="BF395" s="2"/>
      <c r="BG395" s="2"/>
      <c r="BH395" s="2"/>
      <c r="BI395" s="2"/>
      <c r="BJ395" s="2"/>
      <c r="BK395" s="2"/>
      <c r="BL395" s="2"/>
      <c r="BM395" s="2"/>
      <c r="BN395" s="2"/>
      <c r="BO395" s="2"/>
      <c r="BP395" s="2"/>
      <c r="BQ395" s="2"/>
      <c r="BR395" s="2"/>
      <c r="BS395" s="2"/>
      <c r="BT395" s="2"/>
      <c r="BU395" s="2"/>
      <c r="BV395" s="2"/>
      <c r="BW395" s="2"/>
      <c r="BX395" s="2"/>
      <c r="BY395" s="2"/>
      <c r="BZ395" s="2"/>
      <c r="CA395" s="2"/>
      <c r="CB395" s="2"/>
      <c r="CC395" s="2"/>
      <c r="CD395" s="2"/>
      <c r="CE395" s="2"/>
      <c r="CF395" s="2"/>
      <c r="CG395" s="2"/>
      <c r="CH395" s="2"/>
      <c r="CI395" s="2"/>
      <c r="CJ395" s="2"/>
      <c r="CK395" s="2"/>
      <c r="CL395" s="2"/>
      <c r="CM395" s="2"/>
      <c r="CN395" s="2"/>
      <c r="CO395" s="2"/>
      <c r="CP395" s="2"/>
      <c r="CQ395" s="2"/>
      <c r="CR395" s="2"/>
      <c r="CS395" s="2"/>
      <c r="CT395" s="2"/>
      <c r="CU395" s="2"/>
      <c r="CV395" s="2"/>
      <c r="CW395" s="2"/>
      <c r="CX395" s="2"/>
      <c r="CY395" s="2"/>
      <c r="CZ395" s="2"/>
      <c r="DA395" s="2"/>
      <c r="DB395" s="2"/>
      <c r="DC395" s="2"/>
      <c r="DD395" s="2"/>
      <c r="DE395" s="2"/>
      <c r="DF395" s="2"/>
      <c r="DG395" s="2"/>
      <c r="DH395" s="2"/>
      <c r="DI395" s="2"/>
      <c r="DJ395" s="2"/>
      <c r="DK395" s="2"/>
      <c r="DL395" s="2"/>
      <c r="DM395" s="2"/>
      <c r="DN395" s="2"/>
      <c r="DO395" s="2"/>
      <c r="DP395" s="2"/>
      <c r="DQ395" s="2"/>
      <c r="DR395" s="2"/>
      <c r="DS395" s="2"/>
      <c r="DT395" s="2"/>
      <c r="DU395" s="2"/>
      <c r="DV395" s="2"/>
      <c r="DW395" s="2"/>
      <c r="DX395" s="2"/>
      <c r="DY395" s="2"/>
      <c r="DZ395" s="2"/>
      <c r="EA395" s="2"/>
      <c r="EB395" s="2"/>
      <c r="EC395" s="2"/>
      <c r="ED395" s="2"/>
      <c r="EE395" s="2"/>
      <c r="EF395" s="2"/>
      <c r="EG395" s="2"/>
      <c r="EH395" s="2"/>
      <c r="EI395" s="2"/>
      <c r="EJ395" s="2"/>
      <c r="EK395" s="2"/>
      <c r="EL395" s="2"/>
      <c r="EM395" s="2"/>
      <c r="EN395" s="2"/>
      <c r="EO395" s="2"/>
      <c r="EP395" s="2"/>
      <c r="EQ395" s="2"/>
      <c r="ER395" s="2"/>
      <c r="ES395" s="2"/>
      <c r="ET395" s="2"/>
      <c r="EU395" s="2"/>
      <c r="EV395" s="2"/>
      <c r="EW395" s="2"/>
      <c r="EX395" s="2"/>
      <c r="EY395" s="2"/>
      <c r="EZ395" s="2"/>
      <c r="FA395" s="2"/>
      <c r="FB395" s="2"/>
      <c r="FC395" s="2"/>
      <c r="FD395" s="2"/>
      <c r="FE395" s="2"/>
      <c r="FF395" s="2"/>
      <c r="FG395" s="2"/>
      <c r="FH395" s="2"/>
      <c r="FI395" s="2"/>
      <c r="FJ395" s="2"/>
      <c r="FK395" s="2"/>
      <c r="FL395" s="2"/>
      <c r="FM395" s="2"/>
      <c r="FN395" s="2"/>
      <c r="FO395" s="2"/>
      <c r="FP395" s="2"/>
      <c r="FQ395" s="2"/>
      <c r="FR395" s="2"/>
      <c r="FS395" s="2"/>
      <c r="FT395" s="2"/>
      <c r="FU395" s="2"/>
      <c r="FV395" s="2"/>
      <c r="FW395" s="2"/>
      <c r="FX395" s="2"/>
      <c r="FY395" s="2"/>
      <c r="FZ395" s="2"/>
      <c r="GA395" s="2"/>
      <c r="GB395" s="2"/>
      <c r="GC395" s="2"/>
      <c r="GD395" s="2"/>
      <c r="GE395" s="2"/>
      <c r="GF395" s="2"/>
      <c r="GG395" s="2"/>
      <c r="GH395" s="2"/>
      <c r="GI395" s="2"/>
      <c r="GJ395" s="2"/>
      <c r="GK395" s="2"/>
      <c r="GL395" s="2"/>
      <c r="GM395" s="2"/>
      <c r="GN395" s="2"/>
      <c r="GO395" s="2"/>
      <c r="GP395" s="2"/>
      <c r="GQ395" s="2"/>
      <c r="GR395" s="2"/>
      <c r="GS395" s="2"/>
      <c r="GT395" s="2"/>
      <c r="GU395" s="2"/>
      <c r="GV395" s="2"/>
      <c r="GW395" s="2"/>
      <c r="GX395" s="2"/>
      <c r="GY395" s="2"/>
      <c r="GZ395" s="2"/>
      <c r="HA395" s="2"/>
      <c r="HB395" s="2"/>
      <c r="HC395" s="2"/>
      <c r="HD395" s="2"/>
      <c r="HE395" s="2"/>
      <c r="HF395" s="2"/>
      <c r="HG395" s="2"/>
      <c r="HH395" s="2"/>
      <c r="HI395" s="2"/>
      <c r="HJ395" s="2"/>
      <c r="HK395" s="2"/>
      <c r="HL395" s="2"/>
      <c r="HM395" s="2"/>
      <c r="HN395" s="2"/>
      <c r="HO395" s="2"/>
      <c r="HP395" s="2"/>
      <c r="HQ395" s="2"/>
      <c r="HR395" s="2"/>
      <c r="HS395" s="2"/>
      <c r="HT395" s="2"/>
      <c r="HU395" s="2"/>
      <c r="HV395" s="2"/>
      <c r="HW395" s="2"/>
      <c r="HX395" s="2"/>
      <c r="HY395" s="2"/>
      <c r="HZ395" s="2"/>
      <c r="IA395" s="2"/>
      <c r="IB395" s="2"/>
      <c r="IC395" s="2"/>
    </row>
    <row r="396" spans="1:237" x14ac:dyDescent="0.2">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c r="AA396" s="2"/>
      <c r="AB396" s="2"/>
      <c r="AC396" s="2"/>
      <c r="AD396" s="2"/>
      <c r="AE396" s="2"/>
      <c r="AF396" s="2"/>
      <c r="AG396" s="2"/>
      <c r="AH396" s="2"/>
      <c r="AI396" s="2"/>
      <c r="AJ396" s="2"/>
      <c r="AK396" s="2"/>
      <c r="AL396" s="2"/>
      <c r="AM396" s="2"/>
      <c r="AN396" s="2"/>
      <c r="AO396" s="2"/>
      <c r="AP396" s="2"/>
      <c r="AQ396" s="2"/>
      <c r="AR396" s="2"/>
      <c r="AS396" s="2"/>
      <c r="AT396" s="2"/>
      <c r="AU396" s="2"/>
      <c r="AV396" s="2"/>
      <c r="AW396" s="2"/>
      <c r="AX396" s="2"/>
      <c r="AY396" s="2"/>
      <c r="AZ396" s="2"/>
      <c r="BA396" s="2"/>
      <c r="BB396" s="2"/>
      <c r="BC396" s="2"/>
      <c r="BD396" s="2"/>
      <c r="BE396" s="2"/>
      <c r="BF396" s="2"/>
      <c r="BG396" s="2"/>
      <c r="BH396" s="2"/>
      <c r="BI396" s="2"/>
      <c r="BJ396" s="2"/>
      <c r="BK396" s="2"/>
      <c r="BL396" s="2"/>
      <c r="BM396" s="2"/>
      <c r="BN396" s="2"/>
      <c r="BO396" s="2"/>
      <c r="BP396" s="2"/>
      <c r="BQ396" s="2"/>
      <c r="BR396" s="2"/>
      <c r="BS396" s="2"/>
      <c r="BT396" s="2"/>
      <c r="BU396" s="2"/>
      <c r="BV396" s="2"/>
      <c r="BW396" s="2"/>
      <c r="BX396" s="2"/>
      <c r="BY396" s="2"/>
      <c r="BZ396" s="2"/>
      <c r="CA396" s="2"/>
      <c r="CB396" s="2"/>
      <c r="CC396" s="2"/>
      <c r="CD396" s="2"/>
      <c r="CE396" s="2"/>
      <c r="CF396" s="2"/>
      <c r="CG396" s="2"/>
      <c r="CH396" s="2"/>
      <c r="CI396" s="2"/>
      <c r="CJ396" s="2"/>
      <c r="CK396" s="2"/>
      <c r="CL396" s="2"/>
      <c r="CM396" s="2"/>
      <c r="CN396" s="2"/>
      <c r="CO396" s="2"/>
      <c r="CP396" s="2"/>
      <c r="CQ396" s="2"/>
      <c r="CR396" s="2"/>
      <c r="CS396" s="2"/>
      <c r="CT396" s="2"/>
      <c r="CU396" s="2"/>
      <c r="CV396" s="2"/>
      <c r="CW396" s="2"/>
      <c r="CX396" s="2"/>
      <c r="CY396" s="2"/>
      <c r="CZ396" s="2"/>
      <c r="DA396" s="2"/>
      <c r="DB396" s="2"/>
      <c r="DC396" s="2"/>
      <c r="DD396" s="2"/>
      <c r="DE396" s="2"/>
      <c r="DF396" s="2"/>
      <c r="DG396" s="2"/>
      <c r="DH396" s="2"/>
      <c r="DI396" s="2"/>
      <c r="DJ396" s="2"/>
      <c r="DK396" s="2"/>
      <c r="DL396" s="2"/>
      <c r="DM396" s="2"/>
      <c r="DN396" s="2"/>
      <c r="DO396" s="2"/>
      <c r="DP396" s="2"/>
      <c r="DQ396" s="2"/>
      <c r="DR396" s="2"/>
      <c r="DS396" s="2"/>
      <c r="DT396" s="2"/>
      <c r="DU396" s="2"/>
      <c r="DV396" s="2"/>
      <c r="DW396" s="2"/>
      <c r="DX396" s="2"/>
      <c r="DY396" s="2"/>
      <c r="DZ396" s="2"/>
      <c r="EA396" s="2"/>
      <c r="EB396" s="2"/>
      <c r="EC396" s="2"/>
      <c r="ED396" s="2"/>
      <c r="EE396" s="2"/>
      <c r="EF396" s="2"/>
      <c r="EG396" s="2"/>
      <c r="EH396" s="2"/>
      <c r="EI396" s="2"/>
      <c r="EJ396" s="2"/>
      <c r="EK396" s="2"/>
      <c r="EL396" s="2"/>
      <c r="EM396" s="2"/>
      <c r="EN396" s="2"/>
      <c r="EO396" s="2"/>
      <c r="EP396" s="2"/>
      <c r="EQ396" s="2"/>
      <c r="ER396" s="2"/>
      <c r="ES396" s="2"/>
      <c r="ET396" s="2"/>
      <c r="EU396" s="2"/>
      <c r="EV396" s="2"/>
      <c r="EW396" s="2"/>
      <c r="EX396" s="2"/>
      <c r="EY396" s="2"/>
      <c r="EZ396" s="2"/>
      <c r="FA396" s="2"/>
      <c r="FB396" s="2"/>
      <c r="FC396" s="2"/>
      <c r="FD396" s="2"/>
      <c r="FE396" s="2"/>
      <c r="FF396" s="2"/>
      <c r="FG396" s="2"/>
      <c r="FH396" s="2"/>
      <c r="FI396" s="2"/>
      <c r="FJ396" s="2"/>
      <c r="FK396" s="2"/>
      <c r="FL396" s="2"/>
      <c r="FM396" s="2"/>
      <c r="FN396" s="2"/>
      <c r="FO396" s="2"/>
      <c r="FP396" s="2"/>
      <c r="FQ396" s="2"/>
      <c r="FR396" s="2"/>
      <c r="FS396" s="2"/>
      <c r="FT396" s="2"/>
      <c r="FU396" s="2"/>
      <c r="FV396" s="2"/>
      <c r="FW396" s="2"/>
      <c r="FX396" s="2"/>
      <c r="FY396" s="2"/>
      <c r="FZ396" s="2"/>
      <c r="GA396" s="2"/>
      <c r="GB396" s="2"/>
      <c r="GC396" s="2"/>
      <c r="GD396" s="2"/>
      <c r="GE396" s="2"/>
      <c r="GF396" s="2"/>
      <c r="GG396" s="2"/>
      <c r="GH396" s="2"/>
      <c r="GI396" s="2"/>
      <c r="GJ396" s="2"/>
      <c r="GK396" s="2"/>
      <c r="GL396" s="2"/>
      <c r="GM396" s="2"/>
      <c r="GN396" s="2"/>
      <c r="GO396" s="2"/>
      <c r="GP396" s="2"/>
      <c r="GQ396" s="2"/>
      <c r="GR396" s="2"/>
      <c r="GS396" s="2"/>
      <c r="GT396" s="2"/>
      <c r="GU396" s="2"/>
      <c r="GV396" s="2"/>
      <c r="GW396" s="2"/>
      <c r="GX396" s="2"/>
      <c r="GY396" s="2"/>
      <c r="GZ396" s="2"/>
      <c r="HA396" s="2"/>
      <c r="HB396" s="2"/>
      <c r="HC396" s="2"/>
      <c r="HD396" s="2"/>
      <c r="HE396" s="2"/>
      <c r="HF396" s="2"/>
      <c r="HG396" s="2"/>
      <c r="HH396" s="2"/>
      <c r="HI396" s="2"/>
      <c r="HJ396" s="2"/>
      <c r="HK396" s="2"/>
      <c r="HL396" s="2"/>
      <c r="HM396" s="2"/>
      <c r="HN396" s="2"/>
      <c r="HO396" s="2"/>
      <c r="HP396" s="2"/>
      <c r="HQ396" s="2"/>
      <c r="HR396" s="2"/>
      <c r="HS396" s="2"/>
      <c r="HT396" s="2"/>
      <c r="HU396" s="2"/>
      <c r="HV396" s="2"/>
      <c r="HW396" s="2"/>
      <c r="HX396" s="2"/>
      <c r="HY396" s="2"/>
      <c r="HZ396" s="2"/>
      <c r="IA396" s="2"/>
      <c r="IB396" s="2"/>
      <c r="IC396" s="2"/>
    </row>
    <row r="397" spans="1:237" x14ac:dyDescent="0.2">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c r="AA397" s="2"/>
      <c r="AB397" s="2"/>
      <c r="AC397" s="2"/>
      <c r="AD397" s="2"/>
      <c r="AE397" s="2"/>
      <c r="AF397" s="2"/>
      <c r="AG397" s="2"/>
      <c r="AH397" s="2"/>
      <c r="AI397" s="2"/>
      <c r="AJ397" s="2"/>
      <c r="AK397" s="2"/>
      <c r="AL397" s="2"/>
      <c r="AM397" s="2"/>
      <c r="AN397" s="2"/>
      <c r="AO397" s="2"/>
      <c r="AP397" s="2"/>
      <c r="AQ397" s="2"/>
      <c r="AR397" s="2"/>
      <c r="AS397" s="2"/>
      <c r="AT397" s="2"/>
      <c r="AU397" s="2"/>
      <c r="AV397" s="2"/>
      <c r="AW397" s="2"/>
      <c r="AX397" s="2"/>
      <c r="AY397" s="2"/>
      <c r="AZ397" s="2"/>
      <c r="BA397" s="2"/>
      <c r="BB397" s="2"/>
      <c r="BC397" s="2"/>
      <c r="BD397" s="2"/>
      <c r="BE397" s="2"/>
      <c r="BF397" s="2"/>
      <c r="BG397" s="2"/>
      <c r="BH397" s="2"/>
      <c r="BI397" s="2"/>
      <c r="BJ397" s="2"/>
      <c r="BK397" s="2"/>
      <c r="BL397" s="2"/>
      <c r="BM397" s="2"/>
      <c r="BN397" s="2"/>
      <c r="BO397" s="2"/>
      <c r="BP397" s="2"/>
      <c r="BQ397" s="2"/>
      <c r="BR397" s="2"/>
      <c r="BS397" s="2"/>
      <c r="BT397" s="2"/>
      <c r="BU397" s="2"/>
      <c r="BV397" s="2"/>
      <c r="BW397" s="2"/>
      <c r="BX397" s="2"/>
      <c r="BY397" s="2"/>
      <c r="BZ397" s="2"/>
      <c r="CA397" s="2"/>
      <c r="CB397" s="2"/>
      <c r="CC397" s="2"/>
      <c r="CD397" s="2"/>
      <c r="CE397" s="2"/>
      <c r="CF397" s="2"/>
      <c r="CG397" s="2"/>
      <c r="CH397" s="2"/>
      <c r="CI397" s="2"/>
      <c r="CJ397" s="2"/>
      <c r="CK397" s="2"/>
      <c r="CL397" s="2"/>
      <c r="CM397" s="2"/>
      <c r="CN397" s="2"/>
      <c r="CO397" s="2"/>
      <c r="CP397" s="2"/>
      <c r="CQ397" s="2"/>
      <c r="CR397" s="2"/>
      <c r="CS397" s="2"/>
      <c r="CT397" s="2"/>
      <c r="CU397" s="2"/>
      <c r="CV397" s="2"/>
      <c r="CW397" s="2"/>
      <c r="CX397" s="2"/>
      <c r="CY397" s="2"/>
      <c r="CZ397" s="2"/>
      <c r="DA397" s="2"/>
      <c r="DB397" s="2"/>
      <c r="DC397" s="2"/>
      <c r="DD397" s="2"/>
      <c r="DE397" s="2"/>
      <c r="DF397" s="2"/>
      <c r="DG397" s="2"/>
      <c r="DH397" s="2"/>
      <c r="DI397" s="2"/>
      <c r="DJ397" s="2"/>
      <c r="DK397" s="2"/>
      <c r="DL397" s="2"/>
      <c r="DM397" s="2"/>
      <c r="DN397" s="2"/>
      <c r="DO397" s="2"/>
      <c r="DP397" s="2"/>
      <c r="DQ397" s="2"/>
      <c r="DR397" s="2"/>
      <c r="DS397" s="2"/>
      <c r="DT397" s="2"/>
      <c r="DU397" s="2"/>
      <c r="DV397" s="2"/>
      <c r="DW397" s="2"/>
      <c r="DX397" s="2"/>
      <c r="DY397" s="2"/>
      <c r="DZ397" s="2"/>
      <c r="EA397" s="2"/>
      <c r="EB397" s="2"/>
      <c r="EC397" s="2"/>
      <c r="ED397" s="2"/>
      <c r="EE397" s="2"/>
      <c r="EF397" s="2"/>
      <c r="EG397" s="2"/>
      <c r="EH397" s="2"/>
      <c r="EI397" s="2"/>
      <c r="EJ397" s="2"/>
      <c r="EK397" s="2"/>
      <c r="EL397" s="2"/>
      <c r="EM397" s="2"/>
      <c r="EN397" s="2"/>
      <c r="EO397" s="2"/>
      <c r="EP397" s="2"/>
      <c r="EQ397" s="2"/>
      <c r="ER397" s="2"/>
      <c r="ES397" s="2"/>
      <c r="ET397" s="2"/>
      <c r="EU397" s="2"/>
      <c r="EV397" s="2"/>
      <c r="EW397" s="2"/>
      <c r="EX397" s="2"/>
      <c r="EY397" s="2"/>
      <c r="EZ397" s="2"/>
      <c r="FA397" s="2"/>
      <c r="FB397" s="2"/>
      <c r="FC397" s="2"/>
      <c r="FD397" s="2"/>
      <c r="FE397" s="2"/>
      <c r="FF397" s="2"/>
      <c r="FG397" s="2"/>
      <c r="FH397" s="2"/>
      <c r="FI397" s="2"/>
      <c r="FJ397" s="2"/>
      <c r="FK397" s="2"/>
      <c r="FL397" s="2"/>
      <c r="FM397" s="2"/>
      <c r="FN397" s="2"/>
      <c r="FO397" s="2"/>
      <c r="FP397" s="2"/>
      <c r="FQ397" s="2"/>
      <c r="FR397" s="2"/>
      <c r="FS397" s="2"/>
      <c r="FT397" s="2"/>
      <c r="FU397" s="2"/>
      <c r="FV397" s="2"/>
      <c r="FW397" s="2"/>
      <c r="FX397" s="2"/>
      <c r="FY397" s="2"/>
      <c r="FZ397" s="2"/>
      <c r="GA397" s="2"/>
      <c r="GB397" s="2"/>
      <c r="GC397" s="2"/>
      <c r="GD397" s="2"/>
      <c r="GE397" s="2"/>
      <c r="GF397" s="2"/>
      <c r="GG397" s="2"/>
      <c r="GH397" s="2"/>
      <c r="GI397" s="2"/>
      <c r="GJ397" s="2"/>
      <c r="GK397" s="2"/>
      <c r="GL397" s="2"/>
      <c r="GM397" s="2"/>
      <c r="GN397" s="2"/>
      <c r="GO397" s="2"/>
      <c r="GP397" s="2"/>
      <c r="GQ397" s="2"/>
      <c r="GR397" s="2"/>
      <c r="GS397" s="2"/>
      <c r="GT397" s="2"/>
      <c r="GU397" s="2"/>
      <c r="GV397" s="2"/>
      <c r="GW397" s="2"/>
      <c r="GX397" s="2"/>
      <c r="GY397" s="2"/>
      <c r="GZ397" s="2"/>
      <c r="HA397" s="2"/>
      <c r="HB397" s="2"/>
      <c r="HC397" s="2"/>
      <c r="HD397" s="2"/>
      <c r="HE397" s="2"/>
      <c r="HF397" s="2"/>
      <c r="HG397" s="2"/>
      <c r="HH397" s="2"/>
      <c r="HI397" s="2"/>
      <c r="HJ397" s="2"/>
      <c r="HK397" s="2"/>
      <c r="HL397" s="2"/>
      <c r="HM397" s="2"/>
      <c r="HN397" s="2"/>
      <c r="HO397" s="2"/>
      <c r="HP397" s="2"/>
      <c r="HQ397" s="2"/>
      <c r="HR397" s="2"/>
      <c r="HS397" s="2"/>
      <c r="HT397" s="2"/>
      <c r="HU397" s="2"/>
      <c r="HV397" s="2"/>
      <c r="HW397" s="2"/>
      <c r="HX397" s="2"/>
      <c r="HY397" s="2"/>
      <c r="HZ397" s="2"/>
      <c r="IA397" s="2"/>
      <c r="IB397" s="2"/>
      <c r="IC397" s="2"/>
    </row>
    <row r="398" spans="1:237" x14ac:dyDescent="0.2">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c r="AA398" s="2"/>
      <c r="AB398" s="2"/>
      <c r="AC398" s="2"/>
      <c r="AD398" s="2"/>
      <c r="AE398" s="2"/>
      <c r="AF398" s="2"/>
      <c r="AG398" s="2"/>
      <c r="AH398" s="2"/>
      <c r="AI398" s="2"/>
      <c r="AJ398" s="2"/>
      <c r="AK398" s="2"/>
      <c r="AL398" s="2"/>
      <c r="AM398" s="2"/>
      <c r="AN398" s="2"/>
      <c r="AO398" s="2"/>
      <c r="AP398" s="2"/>
      <c r="AQ398" s="2"/>
      <c r="AR398" s="2"/>
      <c r="AS398" s="2"/>
      <c r="AT398" s="2"/>
      <c r="AU398" s="2"/>
      <c r="AV398" s="2"/>
      <c r="AW398" s="2"/>
      <c r="AX398" s="2"/>
      <c r="AY398" s="2"/>
      <c r="AZ398" s="2"/>
      <c r="BA398" s="2"/>
      <c r="BB398" s="2"/>
      <c r="BC398" s="2"/>
      <c r="BD398" s="2"/>
      <c r="BE398" s="2"/>
      <c r="BF398" s="2"/>
      <c r="BG398" s="2"/>
      <c r="BH398" s="2"/>
      <c r="BI398" s="2"/>
      <c r="BJ398" s="2"/>
      <c r="BK398" s="2"/>
      <c r="BL398" s="2"/>
      <c r="BM398" s="2"/>
      <c r="BN398" s="2"/>
      <c r="BO398" s="2"/>
      <c r="BP398" s="2"/>
      <c r="BQ398" s="2"/>
      <c r="BR398" s="2"/>
      <c r="BS398" s="2"/>
      <c r="BT398" s="2"/>
      <c r="BU398" s="2"/>
      <c r="BV398" s="2"/>
      <c r="BW398" s="2"/>
      <c r="BX398" s="2"/>
      <c r="BY398" s="2"/>
      <c r="BZ398" s="2"/>
      <c r="CA398" s="2"/>
      <c r="CB398" s="2"/>
      <c r="CC398" s="2"/>
      <c r="CD398" s="2"/>
      <c r="CE398" s="2"/>
      <c r="CF398" s="2"/>
      <c r="CG398" s="2"/>
      <c r="CH398" s="2"/>
      <c r="CI398" s="2"/>
      <c r="CJ398" s="2"/>
      <c r="CK398" s="2"/>
      <c r="CL398" s="2"/>
      <c r="CM398" s="2"/>
      <c r="CN398" s="2"/>
      <c r="CO398" s="2"/>
      <c r="CP398" s="2"/>
      <c r="CQ398" s="2"/>
      <c r="CR398" s="2"/>
      <c r="CS398" s="2"/>
      <c r="CT398" s="2"/>
      <c r="CU398" s="2"/>
      <c r="CV398" s="2"/>
      <c r="CW398" s="2"/>
      <c r="CX398" s="2"/>
      <c r="CY398" s="2"/>
      <c r="CZ398" s="2"/>
      <c r="DA398" s="2"/>
      <c r="DB398" s="2"/>
      <c r="DC398" s="2"/>
      <c r="DD398" s="2"/>
      <c r="DE398" s="2"/>
      <c r="DF398" s="2"/>
      <c r="DG398" s="2"/>
      <c r="DH398" s="2"/>
      <c r="DI398" s="2"/>
      <c r="DJ398" s="2"/>
      <c r="DK398" s="2"/>
      <c r="DL398" s="2"/>
      <c r="DM398" s="2"/>
      <c r="DN398" s="2"/>
      <c r="DO398" s="2"/>
      <c r="DP398" s="2"/>
      <c r="DQ398" s="2"/>
      <c r="DR398" s="2"/>
      <c r="DS398" s="2"/>
      <c r="DT398" s="2"/>
      <c r="DU398" s="2"/>
      <c r="DV398" s="2"/>
      <c r="DW398" s="2"/>
      <c r="DX398" s="2"/>
      <c r="DY398" s="2"/>
      <c r="DZ398" s="2"/>
      <c r="EA398" s="2"/>
      <c r="EB398" s="2"/>
      <c r="EC398" s="2"/>
      <c r="ED398" s="2"/>
      <c r="EE398" s="2"/>
      <c r="EF398" s="2"/>
      <c r="EG398" s="2"/>
      <c r="EH398" s="2"/>
      <c r="EI398" s="2"/>
      <c r="EJ398" s="2"/>
      <c r="EK398" s="2"/>
      <c r="EL398" s="2"/>
      <c r="EM398" s="2"/>
      <c r="EN398" s="2"/>
      <c r="EO398" s="2"/>
      <c r="EP398" s="2"/>
      <c r="EQ398" s="2"/>
      <c r="ER398" s="2"/>
      <c r="ES398" s="2"/>
      <c r="ET398" s="2"/>
      <c r="EU398" s="2"/>
      <c r="EV398" s="2"/>
      <c r="EW398" s="2"/>
      <c r="EX398" s="2"/>
      <c r="EY398" s="2"/>
      <c r="EZ398" s="2"/>
      <c r="FA398" s="2"/>
      <c r="FB398" s="2"/>
      <c r="FC398" s="2"/>
      <c r="FD398" s="2"/>
      <c r="FE398" s="2"/>
      <c r="FF398" s="2"/>
      <c r="FG398" s="2"/>
      <c r="FH398" s="2"/>
      <c r="FI398" s="2"/>
      <c r="FJ398" s="2"/>
      <c r="FK398" s="2"/>
      <c r="FL398" s="2"/>
      <c r="FM398" s="2"/>
      <c r="FN398" s="2"/>
      <c r="FO398" s="2"/>
      <c r="FP398" s="2"/>
      <c r="FQ398" s="2"/>
      <c r="FR398" s="2"/>
      <c r="FS398" s="2"/>
      <c r="FT398" s="2"/>
      <c r="FU398" s="2"/>
      <c r="FV398" s="2"/>
      <c r="FW398" s="2"/>
      <c r="FX398" s="2"/>
      <c r="FY398" s="2"/>
      <c r="FZ398" s="2"/>
      <c r="GA398" s="2"/>
      <c r="GB398" s="2"/>
      <c r="GC398" s="2"/>
      <c r="GD398" s="2"/>
      <c r="GE398" s="2"/>
      <c r="GF398" s="2"/>
      <c r="GG398" s="2"/>
      <c r="GH398" s="2"/>
      <c r="GI398" s="2"/>
      <c r="GJ398" s="2"/>
      <c r="GK398" s="2"/>
      <c r="GL398" s="2"/>
      <c r="GM398" s="2"/>
      <c r="GN398" s="2"/>
      <c r="GO398" s="2"/>
      <c r="GP398" s="2"/>
      <c r="GQ398" s="2"/>
      <c r="GR398" s="2"/>
      <c r="GS398" s="2"/>
      <c r="GT398" s="2"/>
      <c r="GU398" s="2"/>
      <c r="GV398" s="2"/>
      <c r="GW398" s="2"/>
      <c r="GX398" s="2"/>
      <c r="GY398" s="2"/>
      <c r="GZ398" s="2"/>
      <c r="HA398" s="2"/>
      <c r="HB398" s="2"/>
      <c r="HC398" s="2"/>
      <c r="HD398" s="2"/>
      <c r="HE398" s="2"/>
      <c r="HF398" s="2"/>
      <c r="HG398" s="2"/>
      <c r="HH398" s="2"/>
      <c r="HI398" s="2"/>
      <c r="HJ398" s="2"/>
      <c r="HK398" s="2"/>
      <c r="HL398" s="2"/>
      <c r="HM398" s="2"/>
      <c r="HN398" s="2"/>
      <c r="HO398" s="2"/>
      <c r="HP398" s="2"/>
      <c r="HQ398" s="2"/>
      <c r="HR398" s="2"/>
      <c r="HS398" s="2"/>
      <c r="HT398" s="2"/>
      <c r="HU398" s="2"/>
      <c r="HV398" s="2"/>
      <c r="HW398" s="2"/>
      <c r="HX398" s="2"/>
      <c r="HY398" s="2"/>
      <c r="HZ398" s="2"/>
      <c r="IA398" s="2"/>
      <c r="IB398" s="2"/>
      <c r="IC398" s="2"/>
    </row>
    <row r="399" spans="1:237" x14ac:dyDescent="0.2">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c r="AA399" s="2"/>
      <c r="AB399" s="2"/>
      <c r="AC399" s="2"/>
      <c r="AD399" s="2"/>
      <c r="AE399" s="2"/>
      <c r="AF399" s="2"/>
      <c r="AG399" s="2"/>
      <c r="AH399" s="2"/>
      <c r="AI399" s="2"/>
      <c r="AJ399" s="2"/>
      <c r="AK399" s="2"/>
      <c r="AL399" s="2"/>
      <c r="AM399" s="2"/>
      <c r="AN399" s="2"/>
      <c r="AO399" s="2"/>
      <c r="AP399" s="2"/>
      <c r="AQ399" s="2"/>
      <c r="AR399" s="2"/>
      <c r="AS399" s="2"/>
      <c r="AT399" s="2"/>
      <c r="AU399" s="2"/>
      <c r="AV399" s="2"/>
      <c r="AW399" s="2"/>
      <c r="AX399" s="2"/>
      <c r="AY399" s="2"/>
      <c r="AZ399" s="2"/>
      <c r="BA399" s="2"/>
      <c r="BB399" s="2"/>
      <c r="BC399" s="2"/>
      <c r="BD399" s="2"/>
      <c r="BE399" s="2"/>
      <c r="BF399" s="2"/>
      <c r="BG399" s="2"/>
      <c r="BH399" s="2"/>
      <c r="BI399" s="2"/>
      <c r="BJ399" s="2"/>
      <c r="BK399" s="2"/>
      <c r="BL399" s="2"/>
      <c r="BM399" s="2"/>
      <c r="BN399" s="2"/>
      <c r="BO399" s="2"/>
      <c r="BP399" s="2"/>
      <c r="BQ399" s="2"/>
      <c r="BR399" s="2"/>
      <c r="BS399" s="2"/>
      <c r="BT399" s="2"/>
      <c r="BU399" s="2"/>
      <c r="BV399" s="2"/>
      <c r="BW399" s="2"/>
      <c r="BX399" s="2"/>
      <c r="BY399" s="2"/>
      <c r="BZ399" s="2"/>
      <c r="CA399" s="2"/>
      <c r="CB399" s="2"/>
      <c r="CC399" s="2"/>
      <c r="CD399" s="2"/>
      <c r="CE399" s="2"/>
      <c r="CF399" s="2"/>
      <c r="CG399" s="2"/>
      <c r="CH399" s="2"/>
      <c r="CI399" s="2"/>
      <c r="CJ399" s="2"/>
      <c r="CK399" s="2"/>
      <c r="CL399" s="2"/>
      <c r="CM399" s="2"/>
      <c r="CN399" s="2"/>
      <c r="CO399" s="2"/>
      <c r="CP399" s="2"/>
      <c r="CQ399" s="2"/>
      <c r="CR399" s="2"/>
      <c r="CS399" s="2"/>
      <c r="CT399" s="2"/>
      <c r="CU399" s="2"/>
      <c r="CV399" s="2"/>
      <c r="CW399" s="2"/>
      <c r="CX399" s="2"/>
      <c r="CY399" s="2"/>
      <c r="CZ399" s="2"/>
      <c r="DA399" s="2"/>
      <c r="DB399" s="2"/>
      <c r="DC399" s="2"/>
      <c r="DD399" s="2"/>
      <c r="DE399" s="2"/>
      <c r="DF399" s="2"/>
      <c r="DG399" s="2"/>
      <c r="DH399" s="2"/>
      <c r="DI399" s="2"/>
      <c r="DJ399" s="2"/>
      <c r="DK399" s="2"/>
      <c r="DL399" s="2"/>
      <c r="DM399" s="2"/>
      <c r="DN399" s="2"/>
      <c r="DO399" s="2"/>
      <c r="DP399" s="2"/>
      <c r="DQ399" s="2"/>
      <c r="DR399" s="2"/>
      <c r="DS399" s="2"/>
      <c r="DT399" s="2"/>
      <c r="DU399" s="2"/>
      <c r="DV399" s="2"/>
      <c r="DW399" s="2"/>
      <c r="DX399" s="2"/>
      <c r="DY399" s="2"/>
      <c r="DZ399" s="2"/>
      <c r="EA399" s="2"/>
      <c r="EB399" s="2"/>
      <c r="EC399" s="2"/>
      <c r="ED399" s="2"/>
      <c r="EE399" s="2"/>
      <c r="EF399" s="2"/>
      <c r="EG399" s="2"/>
      <c r="EH399" s="2"/>
      <c r="EI399" s="2"/>
      <c r="EJ399" s="2"/>
      <c r="EK399" s="2"/>
      <c r="EL399" s="2"/>
      <c r="EM399" s="2"/>
      <c r="EN399" s="2"/>
      <c r="EO399" s="2"/>
      <c r="EP399" s="2"/>
      <c r="EQ399" s="2"/>
      <c r="ER399" s="2"/>
      <c r="ES399" s="2"/>
      <c r="ET399" s="2"/>
      <c r="EU399" s="2"/>
      <c r="EV399" s="2"/>
      <c r="EW399" s="2"/>
      <c r="EX399" s="2"/>
      <c r="EY399" s="2"/>
      <c r="EZ399" s="2"/>
      <c r="FA399" s="2"/>
      <c r="FB399" s="2"/>
      <c r="FC399" s="2"/>
      <c r="FD399" s="2"/>
      <c r="FE399" s="2"/>
      <c r="FF399" s="2"/>
      <c r="FG399" s="2"/>
      <c r="FH399" s="2"/>
      <c r="FI399" s="2"/>
      <c r="FJ399" s="2"/>
      <c r="FK399" s="2"/>
      <c r="FL399" s="2"/>
      <c r="FM399" s="2"/>
      <c r="FN399" s="2"/>
      <c r="FO399" s="2"/>
      <c r="FP399" s="2"/>
      <c r="FQ399" s="2"/>
      <c r="FR399" s="2"/>
      <c r="FS399" s="2"/>
      <c r="FT399" s="2"/>
      <c r="FU399" s="2"/>
      <c r="FV399" s="2"/>
      <c r="FW399" s="2"/>
      <c r="FX399" s="2"/>
      <c r="FY399" s="2"/>
      <c r="FZ399" s="2"/>
      <c r="GA399" s="2"/>
      <c r="GB399" s="2"/>
      <c r="GC399" s="2"/>
      <c r="GD399" s="2"/>
      <c r="GE399" s="2"/>
      <c r="GF399" s="2"/>
      <c r="GG399" s="2"/>
      <c r="GH399" s="2"/>
      <c r="GI399" s="2"/>
      <c r="GJ399" s="2"/>
      <c r="GK399" s="2"/>
      <c r="GL399" s="2"/>
      <c r="GM399" s="2"/>
      <c r="GN399" s="2"/>
      <c r="GO399" s="2"/>
      <c r="GP399" s="2"/>
      <c r="GQ399" s="2"/>
      <c r="GR399" s="2"/>
      <c r="GS399" s="2"/>
      <c r="GT399" s="2"/>
      <c r="GU399" s="2"/>
      <c r="GV399" s="2"/>
      <c r="GW399" s="2"/>
      <c r="GX399" s="2"/>
      <c r="GY399" s="2"/>
      <c r="GZ399" s="2"/>
      <c r="HA399" s="2"/>
      <c r="HB399" s="2"/>
      <c r="HC399" s="2"/>
      <c r="HD399" s="2"/>
      <c r="HE399" s="2"/>
      <c r="HF399" s="2"/>
      <c r="HG399" s="2"/>
      <c r="HH399" s="2"/>
      <c r="HI399" s="2"/>
      <c r="HJ399" s="2"/>
      <c r="HK399" s="2"/>
      <c r="HL399" s="2"/>
      <c r="HM399" s="2"/>
      <c r="HN399" s="2"/>
      <c r="HO399" s="2"/>
      <c r="HP399" s="2"/>
      <c r="HQ399" s="2"/>
      <c r="HR399" s="2"/>
      <c r="HS399" s="2"/>
      <c r="HT399" s="2"/>
      <c r="HU399" s="2"/>
      <c r="HV399" s="2"/>
      <c r="HW399" s="2"/>
      <c r="HX399" s="2"/>
      <c r="HY399" s="2"/>
      <c r="HZ399" s="2"/>
      <c r="IA399" s="2"/>
      <c r="IB399" s="2"/>
      <c r="IC399" s="2"/>
    </row>
    <row r="400" spans="1:237" x14ac:dyDescent="0.2">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c r="AA400" s="2"/>
      <c r="AB400" s="2"/>
      <c r="AC400" s="2"/>
      <c r="AD400" s="2"/>
      <c r="AE400" s="2"/>
      <c r="AF400" s="2"/>
      <c r="AG400" s="2"/>
      <c r="AH400" s="2"/>
      <c r="AI400" s="2"/>
      <c r="AJ400" s="2"/>
      <c r="AK400" s="2"/>
      <c r="AL400" s="2"/>
      <c r="AM400" s="2"/>
      <c r="AN400" s="2"/>
      <c r="AO400" s="2"/>
      <c r="AP400" s="2"/>
      <c r="AQ400" s="2"/>
      <c r="AR400" s="2"/>
      <c r="AS400" s="2"/>
      <c r="AT400" s="2"/>
      <c r="AU400" s="2"/>
      <c r="AV400" s="2"/>
      <c r="AW400" s="2"/>
      <c r="AX400" s="2"/>
      <c r="AY400" s="2"/>
      <c r="AZ400" s="2"/>
      <c r="BA400" s="2"/>
      <c r="BB400" s="2"/>
      <c r="BC400" s="2"/>
      <c r="BD400" s="2"/>
      <c r="BE400" s="2"/>
      <c r="BF400" s="2"/>
      <c r="BG400" s="2"/>
      <c r="BH400" s="2"/>
      <c r="BI400" s="2"/>
      <c r="BJ400" s="2"/>
      <c r="BK400" s="2"/>
      <c r="BL400" s="2"/>
      <c r="BM400" s="2"/>
      <c r="BN400" s="2"/>
      <c r="BO400" s="2"/>
      <c r="BP400" s="2"/>
      <c r="BQ400" s="2"/>
      <c r="BR400" s="2"/>
      <c r="BS400" s="2"/>
      <c r="BT400" s="2"/>
      <c r="BU400" s="2"/>
      <c r="BV400" s="2"/>
      <c r="BW400" s="2"/>
      <c r="BX400" s="2"/>
      <c r="BY400" s="2"/>
      <c r="BZ400" s="2"/>
      <c r="CA400" s="2"/>
      <c r="CB400" s="2"/>
      <c r="CC400" s="2"/>
      <c r="CD400" s="2"/>
      <c r="CE400" s="2"/>
      <c r="CF400" s="2"/>
      <c r="CG400" s="2"/>
      <c r="CH400" s="2"/>
      <c r="CI400" s="2"/>
      <c r="CJ400" s="2"/>
      <c r="CK400" s="2"/>
      <c r="CL400" s="2"/>
      <c r="CM400" s="2"/>
      <c r="CN400" s="2"/>
      <c r="CO400" s="2"/>
      <c r="CP400" s="2"/>
      <c r="CQ400" s="2"/>
      <c r="CR400" s="2"/>
      <c r="CS400" s="2"/>
      <c r="CT400" s="2"/>
      <c r="CU400" s="2"/>
      <c r="CV400" s="2"/>
      <c r="CW400" s="2"/>
      <c r="CX400" s="2"/>
      <c r="CY400" s="2"/>
      <c r="CZ400" s="2"/>
      <c r="DA400" s="2"/>
      <c r="DB400" s="2"/>
      <c r="DC400" s="2"/>
      <c r="DD400" s="2"/>
      <c r="DE400" s="2"/>
      <c r="DF400" s="2"/>
      <c r="DG400" s="2"/>
      <c r="DH400" s="2"/>
      <c r="DI400" s="2"/>
      <c r="DJ400" s="2"/>
      <c r="DK400" s="2"/>
      <c r="DL400" s="2"/>
      <c r="DM400" s="2"/>
      <c r="DN400" s="2"/>
      <c r="DO400" s="2"/>
      <c r="DP400" s="2"/>
      <c r="DQ400" s="2"/>
      <c r="DR400" s="2"/>
      <c r="DS400" s="2"/>
      <c r="DT400" s="2"/>
      <c r="DU400" s="2"/>
      <c r="DV400" s="2"/>
      <c r="DW400" s="2"/>
      <c r="DX400" s="2"/>
      <c r="DY400" s="2"/>
      <c r="DZ400" s="2"/>
      <c r="EA400" s="2"/>
      <c r="EB400" s="2"/>
      <c r="EC400" s="2"/>
      <c r="ED400" s="2"/>
      <c r="EE400" s="2"/>
      <c r="EF400" s="2"/>
      <c r="EG400" s="2"/>
      <c r="EH400" s="2"/>
      <c r="EI400" s="2"/>
      <c r="EJ400" s="2"/>
      <c r="EK400" s="2"/>
      <c r="EL400" s="2"/>
      <c r="EM400" s="2"/>
      <c r="EN400" s="2"/>
      <c r="EO400" s="2"/>
      <c r="EP400" s="2"/>
      <c r="EQ400" s="2"/>
      <c r="ER400" s="2"/>
      <c r="ES400" s="2"/>
      <c r="ET400" s="2"/>
      <c r="EU400" s="2"/>
      <c r="EV400" s="2"/>
      <c r="EW400" s="2"/>
      <c r="EX400" s="2"/>
      <c r="EY400" s="2"/>
      <c r="EZ400" s="2"/>
      <c r="FA400" s="2"/>
      <c r="FB400" s="2"/>
      <c r="FC400" s="2"/>
      <c r="FD400" s="2"/>
      <c r="FE400" s="2"/>
      <c r="FF400" s="2"/>
      <c r="FG400" s="2"/>
      <c r="FH400" s="2"/>
      <c r="FI400" s="2"/>
      <c r="FJ400" s="2"/>
      <c r="FK400" s="2"/>
      <c r="FL400" s="2"/>
      <c r="FM400" s="2"/>
      <c r="FN400" s="2"/>
      <c r="FO400" s="2"/>
      <c r="FP400" s="2"/>
      <c r="FQ400" s="2"/>
      <c r="FR400" s="2"/>
      <c r="FS400" s="2"/>
      <c r="FT400" s="2"/>
      <c r="FU400" s="2"/>
      <c r="FV400" s="2"/>
      <c r="FW400" s="2"/>
      <c r="FX400" s="2"/>
      <c r="FY400" s="2"/>
      <c r="FZ400" s="2"/>
      <c r="GA400" s="2"/>
      <c r="GB400" s="2"/>
      <c r="GC400" s="2"/>
      <c r="GD400" s="2"/>
      <c r="GE400" s="2"/>
      <c r="GF400" s="2"/>
      <c r="GG400" s="2"/>
      <c r="GH400" s="2"/>
      <c r="GI400" s="2"/>
      <c r="GJ400" s="2"/>
      <c r="GK400" s="2"/>
      <c r="GL400" s="2"/>
      <c r="GM400" s="2"/>
      <c r="GN400" s="2"/>
      <c r="GO400" s="2"/>
      <c r="GP400" s="2"/>
      <c r="GQ400" s="2"/>
      <c r="GR400" s="2"/>
      <c r="GS400" s="2"/>
      <c r="GT400" s="2"/>
      <c r="GU400" s="2"/>
      <c r="GV400" s="2"/>
      <c r="GW400" s="2"/>
      <c r="GX400" s="2"/>
      <c r="GY400" s="2"/>
      <c r="GZ400" s="2"/>
      <c r="HA400" s="2"/>
      <c r="HB400" s="2"/>
      <c r="HC400" s="2"/>
      <c r="HD400" s="2"/>
      <c r="HE400" s="2"/>
      <c r="HF400" s="2"/>
      <c r="HG400" s="2"/>
      <c r="HH400" s="2"/>
      <c r="HI400" s="2"/>
      <c r="HJ400" s="2"/>
      <c r="HK400" s="2"/>
      <c r="HL400" s="2"/>
      <c r="HM400" s="2"/>
      <c r="HN400" s="2"/>
      <c r="HO400" s="2"/>
      <c r="HP400" s="2"/>
      <c r="HQ400" s="2"/>
      <c r="HR400" s="2"/>
      <c r="HS400" s="2"/>
      <c r="HT400" s="2"/>
      <c r="HU400" s="2"/>
      <c r="HV400" s="2"/>
      <c r="HW400" s="2"/>
      <c r="HX400" s="2"/>
      <c r="HY400" s="2"/>
      <c r="HZ400" s="2"/>
      <c r="IA400" s="2"/>
      <c r="IB400" s="2"/>
      <c r="IC400" s="2"/>
    </row>
    <row r="401" spans="1:237" x14ac:dyDescent="0.2">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c r="AA401" s="2"/>
      <c r="AB401" s="2"/>
      <c r="AC401" s="2"/>
      <c r="AD401" s="2"/>
      <c r="AE401" s="2"/>
      <c r="AF401" s="2"/>
      <c r="AG401" s="2"/>
      <c r="AH401" s="2"/>
      <c r="AI401" s="2"/>
      <c r="AJ401" s="2"/>
      <c r="AK401" s="2"/>
      <c r="AL401" s="2"/>
      <c r="AM401" s="2"/>
      <c r="AN401" s="2"/>
      <c r="AO401" s="2"/>
      <c r="AP401" s="2"/>
      <c r="AQ401" s="2"/>
      <c r="AR401" s="2"/>
      <c r="AS401" s="2"/>
      <c r="AT401" s="2"/>
      <c r="AU401" s="2"/>
      <c r="AV401" s="2"/>
      <c r="AW401" s="2"/>
      <c r="AX401" s="2"/>
      <c r="AY401" s="2"/>
      <c r="AZ401" s="2"/>
      <c r="BA401" s="2"/>
      <c r="BB401" s="2"/>
      <c r="BC401" s="2"/>
      <c r="BD401" s="2"/>
      <c r="BE401" s="2"/>
      <c r="BF401" s="2"/>
      <c r="BG401" s="2"/>
      <c r="BH401" s="2"/>
      <c r="BI401" s="2"/>
      <c r="BJ401" s="2"/>
      <c r="BK401" s="2"/>
      <c r="BL401" s="2"/>
      <c r="BM401" s="2"/>
      <c r="BN401" s="2"/>
      <c r="BO401" s="2"/>
      <c r="BP401" s="2"/>
      <c r="BQ401" s="2"/>
      <c r="BR401" s="2"/>
      <c r="BS401" s="2"/>
      <c r="BT401" s="2"/>
      <c r="BU401" s="2"/>
      <c r="BV401" s="2"/>
      <c r="BW401" s="2"/>
      <c r="BX401" s="2"/>
      <c r="BY401" s="2"/>
      <c r="BZ401" s="2"/>
      <c r="CA401" s="2"/>
      <c r="CB401" s="2"/>
      <c r="CC401" s="2"/>
      <c r="CD401" s="2"/>
      <c r="CE401" s="2"/>
      <c r="CF401" s="2"/>
      <c r="CG401" s="2"/>
      <c r="CH401" s="2"/>
      <c r="CI401" s="2"/>
      <c r="CJ401" s="2"/>
      <c r="CK401" s="2"/>
      <c r="CL401" s="2"/>
      <c r="CM401" s="2"/>
      <c r="CN401" s="2"/>
      <c r="CO401" s="2"/>
      <c r="CP401" s="2"/>
      <c r="CQ401" s="2"/>
      <c r="CR401" s="2"/>
      <c r="CS401" s="2"/>
      <c r="CT401" s="2"/>
      <c r="CU401" s="2"/>
      <c r="CV401" s="2"/>
      <c r="CW401" s="2"/>
      <c r="CX401" s="2"/>
      <c r="CY401" s="2"/>
      <c r="CZ401" s="2"/>
      <c r="DA401" s="2"/>
      <c r="DB401" s="2"/>
      <c r="DC401" s="2"/>
      <c r="DD401" s="2"/>
      <c r="DE401" s="2"/>
      <c r="DF401" s="2"/>
      <c r="DG401" s="2"/>
      <c r="DH401" s="2"/>
      <c r="DI401" s="2"/>
      <c r="DJ401" s="2"/>
      <c r="DK401" s="2"/>
      <c r="DL401" s="2"/>
      <c r="DM401" s="2"/>
      <c r="DN401" s="2"/>
      <c r="DO401" s="2"/>
      <c r="DP401" s="2"/>
      <c r="DQ401" s="2"/>
      <c r="DR401" s="2"/>
      <c r="DS401" s="2"/>
      <c r="DT401" s="2"/>
      <c r="DU401" s="2"/>
      <c r="DV401" s="2"/>
      <c r="DW401" s="2"/>
      <c r="DX401" s="2"/>
      <c r="DY401" s="2"/>
      <c r="DZ401" s="2"/>
      <c r="EA401" s="2"/>
      <c r="EB401" s="2"/>
      <c r="EC401" s="2"/>
      <c r="ED401" s="2"/>
      <c r="EE401" s="2"/>
      <c r="EF401" s="2"/>
      <c r="EG401" s="2"/>
      <c r="EH401" s="2"/>
      <c r="EI401" s="2"/>
      <c r="EJ401" s="2"/>
      <c r="EK401" s="2"/>
      <c r="EL401" s="2"/>
      <c r="EM401" s="2"/>
      <c r="EN401" s="2"/>
      <c r="EO401" s="2"/>
      <c r="EP401" s="2"/>
      <c r="EQ401" s="2"/>
      <c r="ER401" s="2"/>
      <c r="ES401" s="2"/>
      <c r="ET401" s="2"/>
      <c r="EU401" s="2"/>
      <c r="EV401" s="2"/>
      <c r="EW401" s="2"/>
      <c r="EX401" s="2"/>
      <c r="EY401" s="2"/>
      <c r="EZ401" s="2"/>
      <c r="FA401" s="2"/>
      <c r="FB401" s="2"/>
      <c r="FC401" s="2"/>
      <c r="FD401" s="2"/>
      <c r="FE401" s="2"/>
      <c r="FF401" s="2"/>
      <c r="FG401" s="2"/>
      <c r="FH401" s="2"/>
      <c r="FI401" s="2"/>
      <c r="FJ401" s="2"/>
      <c r="FK401" s="2"/>
      <c r="FL401" s="2"/>
      <c r="FM401" s="2"/>
      <c r="FN401" s="2"/>
      <c r="FO401" s="2"/>
      <c r="FP401" s="2"/>
      <c r="FQ401" s="2"/>
      <c r="FR401" s="2"/>
      <c r="FS401" s="2"/>
      <c r="FT401" s="2"/>
      <c r="FU401" s="2"/>
      <c r="FV401" s="2"/>
      <c r="FW401" s="2"/>
      <c r="FX401" s="2"/>
      <c r="FY401" s="2"/>
      <c r="FZ401" s="2"/>
      <c r="GA401" s="2"/>
      <c r="GB401" s="2"/>
      <c r="GC401" s="2"/>
      <c r="GD401" s="2"/>
      <c r="GE401" s="2"/>
      <c r="GF401" s="2"/>
      <c r="GG401" s="2"/>
      <c r="GH401" s="2"/>
      <c r="GI401" s="2"/>
      <c r="GJ401" s="2"/>
      <c r="GK401" s="2"/>
      <c r="GL401" s="2"/>
      <c r="GM401" s="2"/>
      <c r="GN401" s="2"/>
      <c r="GO401" s="2"/>
      <c r="GP401" s="2"/>
      <c r="GQ401" s="2"/>
      <c r="GR401" s="2"/>
      <c r="GS401" s="2"/>
      <c r="GT401" s="2"/>
      <c r="GU401" s="2"/>
      <c r="GV401" s="2"/>
      <c r="GW401" s="2"/>
      <c r="GX401" s="2"/>
      <c r="GY401" s="2"/>
      <c r="GZ401" s="2"/>
      <c r="HA401" s="2"/>
      <c r="HB401" s="2"/>
      <c r="HC401" s="2"/>
      <c r="HD401" s="2"/>
      <c r="HE401" s="2"/>
      <c r="HF401" s="2"/>
      <c r="HG401" s="2"/>
      <c r="HH401" s="2"/>
      <c r="HI401" s="2"/>
      <c r="HJ401" s="2"/>
      <c r="HK401" s="2"/>
      <c r="HL401" s="2"/>
      <c r="HM401" s="2"/>
      <c r="HN401" s="2"/>
      <c r="HO401" s="2"/>
      <c r="HP401" s="2"/>
      <c r="HQ401" s="2"/>
      <c r="HR401" s="2"/>
      <c r="HS401" s="2"/>
      <c r="HT401" s="2"/>
      <c r="HU401" s="2"/>
      <c r="HV401" s="2"/>
      <c r="HW401" s="2"/>
      <c r="HX401" s="2"/>
      <c r="HY401" s="2"/>
      <c r="HZ401" s="2"/>
      <c r="IA401" s="2"/>
      <c r="IB401" s="2"/>
      <c r="IC401" s="2"/>
    </row>
    <row r="402" spans="1:237" x14ac:dyDescent="0.2">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c r="AA402" s="2"/>
      <c r="AB402" s="2"/>
      <c r="AC402" s="2"/>
      <c r="AD402" s="2"/>
      <c r="AE402" s="2"/>
      <c r="AF402" s="2"/>
      <c r="AG402" s="2"/>
      <c r="AH402" s="2"/>
      <c r="AI402" s="2"/>
      <c r="AJ402" s="2"/>
      <c r="AK402" s="2"/>
      <c r="AL402" s="2"/>
      <c r="AM402" s="2"/>
      <c r="AN402" s="2"/>
      <c r="AO402" s="2"/>
      <c r="AP402" s="2"/>
      <c r="AQ402" s="2"/>
      <c r="AR402" s="2"/>
      <c r="AS402" s="2"/>
      <c r="AT402" s="2"/>
      <c r="AU402" s="2"/>
      <c r="AV402" s="2"/>
      <c r="AW402" s="2"/>
      <c r="AX402" s="2"/>
      <c r="AY402" s="2"/>
      <c r="AZ402" s="2"/>
      <c r="BA402" s="2"/>
      <c r="BB402" s="2"/>
      <c r="BC402" s="2"/>
      <c r="BD402" s="2"/>
      <c r="BE402" s="2"/>
      <c r="BF402" s="2"/>
      <c r="BG402" s="2"/>
      <c r="BH402" s="2"/>
      <c r="BI402" s="2"/>
      <c r="BJ402" s="2"/>
      <c r="BK402" s="2"/>
      <c r="BL402" s="2"/>
      <c r="BM402" s="2"/>
      <c r="BN402" s="2"/>
      <c r="BO402" s="2"/>
      <c r="BP402" s="2"/>
      <c r="BQ402" s="2"/>
      <c r="BR402" s="2"/>
      <c r="BS402" s="2"/>
      <c r="BT402" s="2"/>
      <c r="BU402" s="2"/>
      <c r="BV402" s="2"/>
      <c r="BW402" s="2"/>
      <c r="BX402" s="2"/>
      <c r="BY402" s="2"/>
      <c r="BZ402" s="2"/>
      <c r="CA402" s="2"/>
      <c r="CB402" s="2"/>
      <c r="CC402" s="2"/>
      <c r="CD402" s="2"/>
      <c r="CE402" s="2"/>
      <c r="CF402" s="2"/>
      <c r="CG402" s="2"/>
      <c r="CH402" s="2"/>
      <c r="CI402" s="2"/>
      <c r="CJ402" s="2"/>
      <c r="CK402" s="2"/>
      <c r="CL402" s="2"/>
      <c r="CM402" s="2"/>
      <c r="CN402" s="2"/>
      <c r="CO402" s="2"/>
      <c r="CP402" s="2"/>
      <c r="CQ402" s="2"/>
      <c r="CR402" s="2"/>
      <c r="CS402" s="2"/>
      <c r="CT402" s="2"/>
      <c r="CU402" s="2"/>
      <c r="CV402" s="2"/>
      <c r="CW402" s="2"/>
      <c r="CX402" s="2"/>
      <c r="CY402" s="2"/>
      <c r="CZ402" s="2"/>
      <c r="DA402" s="2"/>
      <c r="DB402" s="2"/>
      <c r="DC402" s="2"/>
      <c r="DD402" s="2"/>
      <c r="DE402" s="2"/>
      <c r="DF402" s="2"/>
      <c r="DG402" s="2"/>
      <c r="DH402" s="2"/>
      <c r="DI402" s="2"/>
      <c r="DJ402" s="2"/>
      <c r="DK402" s="2"/>
      <c r="DL402" s="2"/>
      <c r="DM402" s="2"/>
      <c r="DN402" s="2"/>
      <c r="DO402" s="2"/>
      <c r="DP402" s="2"/>
      <c r="DQ402" s="2"/>
      <c r="DR402" s="2"/>
      <c r="DS402" s="2"/>
      <c r="DT402" s="2"/>
      <c r="DU402" s="2"/>
      <c r="DV402" s="2"/>
      <c r="DW402" s="2"/>
      <c r="DX402" s="2"/>
      <c r="DY402" s="2"/>
      <c r="DZ402" s="2"/>
      <c r="EA402" s="2"/>
      <c r="EB402" s="2"/>
      <c r="EC402" s="2"/>
      <c r="ED402" s="2"/>
      <c r="EE402" s="2"/>
      <c r="EF402" s="2"/>
      <c r="EG402" s="2"/>
      <c r="EH402" s="2"/>
      <c r="EI402" s="2"/>
      <c r="EJ402" s="2"/>
      <c r="EK402" s="2"/>
      <c r="EL402" s="2"/>
      <c r="EM402" s="2"/>
      <c r="EN402" s="2"/>
      <c r="EO402" s="2"/>
      <c r="EP402" s="2"/>
      <c r="EQ402" s="2"/>
      <c r="ER402" s="2"/>
      <c r="ES402" s="2"/>
      <c r="ET402" s="2"/>
      <c r="EU402" s="2"/>
      <c r="EV402" s="2"/>
      <c r="EW402" s="2"/>
      <c r="EX402" s="2"/>
      <c r="EY402" s="2"/>
      <c r="EZ402" s="2"/>
      <c r="FA402" s="2"/>
      <c r="FB402" s="2"/>
      <c r="FC402" s="2"/>
      <c r="FD402" s="2"/>
      <c r="FE402" s="2"/>
      <c r="FF402" s="2"/>
      <c r="FG402" s="2"/>
      <c r="FH402" s="2"/>
      <c r="FI402" s="2"/>
      <c r="FJ402" s="2"/>
      <c r="FK402" s="2"/>
      <c r="FL402" s="2"/>
      <c r="FM402" s="2"/>
      <c r="FN402" s="2"/>
      <c r="FO402" s="2"/>
      <c r="FP402" s="2"/>
      <c r="FQ402" s="2"/>
      <c r="FR402" s="2"/>
      <c r="FS402" s="2"/>
      <c r="FT402" s="2"/>
      <c r="FU402" s="2"/>
      <c r="FV402" s="2"/>
      <c r="FW402" s="2"/>
      <c r="FX402" s="2"/>
      <c r="FY402" s="2"/>
      <c r="FZ402" s="2"/>
      <c r="GA402" s="2"/>
      <c r="GB402" s="2"/>
      <c r="GC402" s="2"/>
      <c r="GD402" s="2"/>
      <c r="GE402" s="2"/>
      <c r="GF402" s="2"/>
      <c r="GG402" s="2"/>
      <c r="GH402" s="2"/>
      <c r="GI402" s="2"/>
      <c r="GJ402" s="2"/>
      <c r="GK402" s="2"/>
      <c r="GL402" s="2"/>
      <c r="GM402" s="2"/>
      <c r="GN402" s="2"/>
      <c r="GO402" s="2"/>
      <c r="GP402" s="2"/>
      <c r="GQ402" s="2"/>
      <c r="GR402" s="2"/>
      <c r="GS402" s="2"/>
      <c r="GT402" s="2"/>
      <c r="GU402" s="2"/>
      <c r="GV402" s="2"/>
      <c r="GW402" s="2"/>
      <c r="GX402" s="2"/>
      <c r="GY402" s="2"/>
      <c r="GZ402" s="2"/>
      <c r="HA402" s="2"/>
      <c r="HB402" s="2"/>
      <c r="HC402" s="2"/>
      <c r="HD402" s="2"/>
      <c r="HE402" s="2"/>
      <c r="HF402" s="2"/>
      <c r="HG402" s="2"/>
      <c r="HH402" s="2"/>
      <c r="HI402" s="2"/>
      <c r="HJ402" s="2"/>
      <c r="HK402" s="2"/>
      <c r="HL402" s="2"/>
      <c r="HM402" s="2"/>
      <c r="HN402" s="2"/>
      <c r="HO402" s="2"/>
      <c r="HP402" s="2"/>
      <c r="HQ402" s="2"/>
      <c r="HR402" s="2"/>
      <c r="HS402" s="2"/>
      <c r="HT402" s="2"/>
      <c r="HU402" s="2"/>
      <c r="HV402" s="2"/>
      <c r="HW402" s="2"/>
      <c r="HX402" s="2"/>
      <c r="HY402" s="2"/>
      <c r="HZ402" s="2"/>
      <c r="IA402" s="2"/>
      <c r="IB402" s="2"/>
      <c r="IC402" s="2"/>
    </row>
    <row r="403" spans="1:237" x14ac:dyDescent="0.2">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c r="AA403" s="2"/>
      <c r="AB403" s="2"/>
      <c r="AC403" s="2"/>
      <c r="AD403" s="2"/>
      <c r="AE403" s="2"/>
      <c r="AF403" s="2"/>
      <c r="AG403" s="2"/>
      <c r="AH403" s="2"/>
      <c r="AI403" s="2"/>
      <c r="AJ403" s="2"/>
      <c r="AK403" s="2"/>
      <c r="AL403" s="2"/>
      <c r="AM403" s="2"/>
      <c r="AN403" s="2"/>
      <c r="AO403" s="2"/>
      <c r="AP403" s="2"/>
      <c r="AQ403" s="2"/>
      <c r="AR403" s="2"/>
      <c r="AS403" s="2"/>
      <c r="AT403" s="2"/>
      <c r="AU403" s="2"/>
      <c r="AV403" s="2"/>
      <c r="AW403" s="2"/>
      <c r="AX403" s="2"/>
      <c r="AY403" s="2"/>
      <c r="AZ403" s="2"/>
      <c r="BA403" s="2"/>
      <c r="BB403" s="2"/>
      <c r="BC403" s="2"/>
      <c r="BD403" s="2"/>
      <c r="BE403" s="2"/>
      <c r="BF403" s="2"/>
      <c r="BG403" s="2"/>
      <c r="BH403" s="2"/>
      <c r="BI403" s="2"/>
      <c r="BJ403" s="2"/>
      <c r="BK403" s="2"/>
      <c r="BL403" s="2"/>
      <c r="BM403" s="2"/>
      <c r="BN403" s="2"/>
      <c r="BO403" s="2"/>
      <c r="BP403" s="2"/>
      <c r="BQ403" s="2"/>
      <c r="BR403" s="2"/>
      <c r="BS403" s="2"/>
      <c r="BT403" s="2"/>
      <c r="BU403" s="2"/>
      <c r="BV403" s="2"/>
      <c r="BW403" s="2"/>
      <c r="BX403" s="2"/>
      <c r="BY403" s="2"/>
      <c r="BZ403" s="2"/>
      <c r="CA403" s="2"/>
      <c r="CB403" s="2"/>
      <c r="CC403" s="2"/>
      <c r="CD403" s="2"/>
      <c r="CE403" s="2"/>
      <c r="CF403" s="2"/>
      <c r="CG403" s="2"/>
      <c r="CH403" s="2"/>
      <c r="CI403" s="2"/>
      <c r="CJ403" s="2"/>
      <c r="CK403" s="2"/>
      <c r="CL403" s="2"/>
      <c r="CM403" s="2"/>
      <c r="CN403" s="2"/>
      <c r="CO403" s="2"/>
      <c r="CP403" s="2"/>
      <c r="CQ403" s="2"/>
      <c r="CR403" s="2"/>
      <c r="CS403" s="2"/>
      <c r="CT403" s="2"/>
      <c r="CU403" s="2"/>
      <c r="CV403" s="2"/>
      <c r="CW403" s="2"/>
      <c r="CX403" s="2"/>
      <c r="CY403" s="2"/>
      <c r="CZ403" s="2"/>
      <c r="DA403" s="2"/>
      <c r="DB403" s="2"/>
      <c r="DC403" s="2"/>
      <c r="DD403" s="2"/>
      <c r="DE403" s="2"/>
      <c r="DF403" s="2"/>
      <c r="DG403" s="2"/>
      <c r="DH403" s="2"/>
      <c r="DI403" s="2"/>
      <c r="DJ403" s="2"/>
      <c r="DK403" s="2"/>
      <c r="DL403" s="2"/>
      <c r="DM403" s="2"/>
      <c r="DN403" s="2"/>
      <c r="DO403" s="2"/>
      <c r="DP403" s="2"/>
      <c r="DQ403" s="2"/>
      <c r="DR403" s="2"/>
      <c r="DS403" s="2"/>
      <c r="DT403" s="2"/>
      <c r="DU403" s="2"/>
      <c r="DV403" s="2"/>
      <c r="DW403" s="2"/>
      <c r="DX403" s="2"/>
      <c r="DY403" s="2"/>
      <c r="DZ403" s="2"/>
      <c r="EA403" s="2"/>
      <c r="EB403" s="2"/>
      <c r="EC403" s="2"/>
      <c r="ED403" s="2"/>
      <c r="EE403" s="2"/>
      <c r="EF403" s="2"/>
      <c r="EG403" s="2"/>
      <c r="EH403" s="2"/>
      <c r="EI403" s="2"/>
      <c r="EJ403" s="2"/>
      <c r="EK403" s="2"/>
      <c r="EL403" s="2"/>
      <c r="EM403" s="2"/>
      <c r="EN403" s="2"/>
      <c r="EO403" s="2"/>
      <c r="EP403" s="2"/>
      <c r="EQ403" s="2"/>
      <c r="ER403" s="2"/>
      <c r="ES403" s="2"/>
      <c r="ET403" s="2"/>
      <c r="EU403" s="2"/>
      <c r="EV403" s="2"/>
      <c r="EW403" s="2"/>
      <c r="EX403" s="2"/>
      <c r="EY403" s="2"/>
      <c r="EZ403" s="2"/>
      <c r="FA403" s="2"/>
      <c r="FB403" s="2"/>
      <c r="FC403" s="2"/>
      <c r="FD403" s="2"/>
      <c r="FE403" s="2"/>
      <c r="FF403" s="2"/>
      <c r="FG403" s="2"/>
      <c r="FH403" s="2"/>
      <c r="FI403" s="2"/>
      <c r="FJ403" s="2"/>
      <c r="FK403" s="2"/>
      <c r="FL403" s="2"/>
      <c r="FM403" s="2"/>
      <c r="FN403" s="2"/>
      <c r="FO403" s="2"/>
      <c r="FP403" s="2"/>
      <c r="FQ403" s="2"/>
      <c r="FR403" s="2"/>
      <c r="FS403" s="2"/>
      <c r="FT403" s="2"/>
      <c r="FU403" s="2"/>
      <c r="FV403" s="2"/>
      <c r="FW403" s="2"/>
      <c r="FX403" s="2"/>
      <c r="FY403" s="2"/>
      <c r="FZ403" s="2"/>
      <c r="GA403" s="2"/>
      <c r="GB403" s="2"/>
      <c r="GC403" s="2"/>
      <c r="GD403" s="2"/>
      <c r="GE403" s="2"/>
      <c r="GF403" s="2"/>
      <c r="GG403" s="2"/>
      <c r="GH403" s="2"/>
      <c r="GI403" s="2"/>
      <c r="GJ403" s="2"/>
      <c r="GK403" s="2"/>
      <c r="GL403" s="2"/>
      <c r="GM403" s="2"/>
      <c r="GN403" s="2"/>
      <c r="GO403" s="2"/>
      <c r="GP403" s="2"/>
      <c r="GQ403" s="2"/>
      <c r="GR403" s="2"/>
      <c r="GS403" s="2"/>
      <c r="GT403" s="2"/>
      <c r="GU403" s="2"/>
      <c r="GV403" s="2"/>
      <c r="GW403" s="2"/>
      <c r="GX403" s="2"/>
      <c r="GY403" s="2"/>
      <c r="GZ403" s="2"/>
      <c r="HA403" s="2"/>
      <c r="HB403" s="2"/>
      <c r="HC403" s="2"/>
      <c r="HD403" s="2"/>
      <c r="HE403" s="2"/>
      <c r="HF403" s="2"/>
      <c r="HG403" s="2"/>
      <c r="HH403" s="2"/>
      <c r="HI403" s="2"/>
      <c r="HJ403" s="2"/>
      <c r="HK403" s="2"/>
      <c r="HL403" s="2"/>
      <c r="HM403" s="2"/>
      <c r="HN403" s="2"/>
      <c r="HO403" s="2"/>
      <c r="HP403" s="2"/>
      <c r="HQ403" s="2"/>
      <c r="HR403" s="2"/>
      <c r="HS403" s="2"/>
      <c r="HT403" s="2"/>
      <c r="HU403" s="2"/>
      <c r="HV403" s="2"/>
      <c r="HW403" s="2"/>
      <c r="HX403" s="2"/>
      <c r="HY403" s="2"/>
      <c r="HZ403" s="2"/>
      <c r="IA403" s="2"/>
      <c r="IB403" s="2"/>
      <c r="IC403" s="2"/>
    </row>
    <row r="404" spans="1:237" x14ac:dyDescent="0.2">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c r="AA404" s="2"/>
      <c r="AB404" s="2"/>
      <c r="AC404" s="2"/>
      <c r="AD404" s="2"/>
      <c r="AE404" s="2"/>
      <c r="AF404" s="2"/>
      <c r="AG404" s="2"/>
      <c r="AH404" s="2"/>
      <c r="AI404" s="2"/>
      <c r="AJ404" s="2"/>
      <c r="AK404" s="2"/>
      <c r="AL404" s="2"/>
      <c r="AM404" s="2"/>
      <c r="AN404" s="2"/>
      <c r="AO404" s="2"/>
      <c r="AP404" s="2"/>
      <c r="AQ404" s="2"/>
      <c r="AR404" s="2"/>
      <c r="AS404" s="2"/>
      <c r="AT404" s="2"/>
      <c r="AU404" s="2"/>
      <c r="AV404" s="2"/>
      <c r="AW404" s="2"/>
      <c r="AX404" s="2"/>
      <c r="AY404" s="2"/>
      <c r="AZ404" s="2"/>
      <c r="BA404" s="2"/>
      <c r="BB404" s="2"/>
      <c r="BC404" s="2"/>
      <c r="BD404" s="2"/>
      <c r="BE404" s="2"/>
      <c r="BF404" s="2"/>
      <c r="BG404" s="2"/>
      <c r="BH404" s="2"/>
      <c r="BI404" s="2"/>
      <c r="BJ404" s="2"/>
      <c r="BK404" s="2"/>
      <c r="BL404" s="2"/>
      <c r="BM404" s="2"/>
      <c r="BN404" s="2"/>
      <c r="BO404" s="2"/>
      <c r="BP404" s="2"/>
      <c r="BQ404" s="2"/>
      <c r="BR404" s="2"/>
      <c r="BS404" s="2"/>
      <c r="BT404" s="2"/>
      <c r="BU404" s="2"/>
      <c r="BV404" s="2"/>
      <c r="BW404" s="2"/>
      <c r="BX404" s="2"/>
      <c r="BY404" s="2"/>
      <c r="BZ404" s="2"/>
      <c r="CA404" s="2"/>
      <c r="CB404" s="2"/>
      <c r="CC404" s="2"/>
      <c r="CD404" s="2"/>
      <c r="CE404" s="2"/>
      <c r="CF404" s="2"/>
      <c r="CG404" s="2"/>
      <c r="CH404" s="2"/>
      <c r="CI404" s="2"/>
      <c r="CJ404" s="2"/>
      <c r="CK404" s="2"/>
      <c r="CL404" s="2"/>
      <c r="CM404" s="2"/>
      <c r="CN404" s="2"/>
      <c r="CO404" s="2"/>
      <c r="CP404" s="2"/>
      <c r="CQ404" s="2"/>
      <c r="CR404" s="2"/>
      <c r="CS404" s="2"/>
      <c r="CT404" s="2"/>
      <c r="CU404" s="2"/>
      <c r="CV404" s="2"/>
      <c r="CW404" s="2"/>
      <c r="CX404" s="2"/>
      <c r="CY404" s="2"/>
      <c r="CZ404" s="2"/>
      <c r="DA404" s="2"/>
      <c r="DB404" s="2"/>
      <c r="DC404" s="2"/>
      <c r="DD404" s="2"/>
      <c r="DE404" s="2"/>
      <c r="DF404" s="2"/>
      <c r="DG404" s="2"/>
      <c r="DH404" s="2"/>
      <c r="DI404" s="2"/>
      <c r="DJ404" s="2"/>
      <c r="DK404" s="2"/>
      <c r="DL404" s="2"/>
      <c r="DM404" s="2"/>
      <c r="DN404" s="2"/>
      <c r="DO404" s="2"/>
      <c r="DP404" s="2"/>
      <c r="DQ404" s="2"/>
      <c r="DR404" s="2"/>
      <c r="DS404" s="2"/>
      <c r="DT404" s="2"/>
      <c r="DU404" s="2"/>
      <c r="DV404" s="2"/>
      <c r="DW404" s="2"/>
      <c r="DX404" s="2"/>
      <c r="DY404" s="2"/>
      <c r="DZ404" s="2"/>
      <c r="EA404" s="2"/>
      <c r="EB404" s="2"/>
      <c r="EC404" s="2"/>
      <c r="ED404" s="2"/>
      <c r="EE404" s="2"/>
      <c r="EF404" s="2"/>
      <c r="EG404" s="2"/>
      <c r="EH404" s="2"/>
      <c r="EI404" s="2"/>
      <c r="EJ404" s="2"/>
      <c r="EK404" s="2"/>
      <c r="EL404" s="2"/>
      <c r="EM404" s="2"/>
      <c r="EN404" s="2"/>
      <c r="EO404" s="2"/>
      <c r="EP404" s="2"/>
      <c r="EQ404" s="2"/>
      <c r="ER404" s="2"/>
      <c r="ES404" s="2"/>
      <c r="ET404" s="2"/>
      <c r="EU404" s="2"/>
      <c r="EV404" s="2"/>
      <c r="EW404" s="2"/>
      <c r="EX404" s="2"/>
      <c r="EY404" s="2"/>
      <c r="EZ404" s="2"/>
      <c r="FA404" s="2"/>
      <c r="FB404" s="2"/>
      <c r="FC404" s="2"/>
      <c r="FD404" s="2"/>
      <c r="FE404" s="2"/>
      <c r="FF404" s="2"/>
      <c r="FG404" s="2"/>
      <c r="FH404" s="2"/>
      <c r="FI404" s="2"/>
      <c r="FJ404" s="2"/>
      <c r="FK404" s="2"/>
      <c r="FL404" s="2"/>
      <c r="FM404" s="2"/>
      <c r="FN404" s="2"/>
      <c r="FO404" s="2"/>
      <c r="FP404" s="2"/>
      <c r="FQ404" s="2"/>
      <c r="FR404" s="2"/>
      <c r="FS404" s="2"/>
      <c r="FT404" s="2"/>
      <c r="FU404" s="2"/>
      <c r="FV404" s="2"/>
      <c r="FW404" s="2"/>
      <c r="FX404" s="2"/>
      <c r="FY404" s="2"/>
      <c r="FZ404" s="2"/>
      <c r="GA404" s="2"/>
      <c r="GB404" s="2"/>
      <c r="GC404" s="2"/>
      <c r="GD404" s="2"/>
      <c r="GE404" s="2"/>
      <c r="GF404" s="2"/>
      <c r="GG404" s="2"/>
      <c r="GH404" s="2"/>
      <c r="GI404" s="2"/>
      <c r="GJ404" s="2"/>
      <c r="GK404" s="2"/>
      <c r="GL404" s="2"/>
      <c r="GM404" s="2"/>
      <c r="GN404" s="2"/>
      <c r="GO404" s="2"/>
      <c r="GP404" s="2"/>
      <c r="GQ404" s="2"/>
      <c r="GR404" s="2"/>
      <c r="GS404" s="2"/>
      <c r="GT404" s="2"/>
      <c r="GU404" s="2"/>
      <c r="GV404" s="2"/>
      <c r="GW404" s="2"/>
      <c r="GX404" s="2"/>
      <c r="GY404" s="2"/>
      <c r="GZ404" s="2"/>
      <c r="HA404" s="2"/>
      <c r="HB404" s="2"/>
      <c r="HC404" s="2"/>
      <c r="HD404" s="2"/>
      <c r="HE404" s="2"/>
      <c r="HF404" s="2"/>
      <c r="HG404" s="2"/>
      <c r="HH404" s="2"/>
      <c r="HI404" s="2"/>
      <c r="HJ404" s="2"/>
      <c r="HK404" s="2"/>
      <c r="HL404" s="2"/>
      <c r="HM404" s="2"/>
      <c r="HN404" s="2"/>
      <c r="HO404" s="2"/>
      <c r="HP404" s="2"/>
      <c r="HQ404" s="2"/>
      <c r="HR404" s="2"/>
      <c r="HS404" s="2"/>
      <c r="HT404" s="2"/>
      <c r="HU404" s="2"/>
      <c r="HV404" s="2"/>
      <c r="HW404" s="2"/>
      <c r="HX404" s="2"/>
      <c r="HY404" s="2"/>
      <c r="HZ404" s="2"/>
      <c r="IA404" s="2"/>
      <c r="IB404" s="2"/>
      <c r="IC404" s="2"/>
    </row>
    <row r="405" spans="1:237" x14ac:dyDescent="0.2">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c r="AA405" s="2"/>
      <c r="AB405" s="2"/>
      <c r="AC405" s="2"/>
      <c r="AD405" s="2"/>
      <c r="AE405" s="2"/>
      <c r="AF405" s="2"/>
      <c r="AG405" s="2"/>
      <c r="AH405" s="2"/>
      <c r="AI405" s="2"/>
      <c r="AJ405" s="2"/>
      <c r="AK405" s="2"/>
      <c r="AL405" s="2"/>
      <c r="AM405" s="2"/>
      <c r="AN405" s="2"/>
      <c r="AO405" s="2"/>
      <c r="AP405" s="2"/>
      <c r="AQ405" s="2"/>
      <c r="AR405" s="2"/>
      <c r="AS405" s="2"/>
      <c r="AT405" s="2"/>
      <c r="AU405" s="2"/>
      <c r="AV405" s="2"/>
      <c r="AW405" s="2"/>
      <c r="AX405" s="2"/>
      <c r="AY405" s="2"/>
      <c r="AZ405" s="2"/>
      <c r="BA405" s="2"/>
      <c r="BB405" s="2"/>
      <c r="BC405" s="2"/>
      <c r="BD405" s="2"/>
      <c r="BE405" s="2"/>
      <c r="BF405" s="2"/>
      <c r="BG405" s="2"/>
      <c r="BH405" s="2"/>
      <c r="BI405" s="2"/>
      <c r="BJ405" s="2"/>
      <c r="BK405" s="2"/>
      <c r="BL405" s="2"/>
      <c r="BM405" s="2"/>
      <c r="BN405" s="2"/>
      <c r="BO405" s="2"/>
      <c r="BP405" s="2"/>
      <c r="BQ405" s="2"/>
      <c r="BR405" s="2"/>
      <c r="BS405" s="2"/>
      <c r="BT405" s="2"/>
      <c r="BU405" s="2"/>
      <c r="BV405" s="2"/>
      <c r="BW405" s="2"/>
      <c r="BX405" s="2"/>
      <c r="BY405" s="2"/>
      <c r="BZ405" s="2"/>
      <c r="CA405" s="2"/>
      <c r="CB405" s="2"/>
      <c r="CC405" s="2"/>
      <c r="CD405" s="2"/>
      <c r="CE405" s="2"/>
      <c r="CF405" s="2"/>
      <c r="CG405" s="2"/>
      <c r="CH405" s="2"/>
      <c r="CI405" s="2"/>
      <c r="CJ405" s="2"/>
      <c r="CK405" s="2"/>
      <c r="CL405" s="2"/>
      <c r="CM405" s="2"/>
      <c r="CN405" s="2"/>
      <c r="CO405" s="2"/>
      <c r="CP405" s="2"/>
      <c r="CQ405" s="2"/>
      <c r="CR405" s="2"/>
      <c r="CS405" s="2"/>
      <c r="CT405" s="2"/>
      <c r="CU405" s="2"/>
      <c r="CV405" s="2"/>
      <c r="CW405" s="2"/>
      <c r="CX405" s="2"/>
      <c r="CY405" s="2"/>
      <c r="CZ405" s="2"/>
      <c r="DA405" s="2"/>
      <c r="DB405" s="2"/>
      <c r="DC405" s="2"/>
      <c r="DD405" s="2"/>
      <c r="DE405" s="2"/>
      <c r="DF405" s="2"/>
      <c r="DG405" s="2"/>
      <c r="DH405" s="2"/>
      <c r="DI405" s="2"/>
      <c r="DJ405" s="2"/>
      <c r="DK405" s="2"/>
      <c r="DL405" s="2"/>
      <c r="DM405" s="2"/>
      <c r="DN405" s="2"/>
      <c r="DO405" s="2"/>
      <c r="DP405" s="2"/>
      <c r="DQ405" s="2"/>
      <c r="DR405" s="2"/>
      <c r="DS405" s="2"/>
      <c r="DT405" s="2"/>
      <c r="DU405" s="2"/>
      <c r="DV405" s="2"/>
      <c r="DW405" s="2"/>
      <c r="DX405" s="2"/>
      <c r="DY405" s="2"/>
      <c r="DZ405" s="2"/>
      <c r="EA405" s="2"/>
      <c r="EB405" s="2"/>
      <c r="EC405" s="2"/>
      <c r="ED405" s="2"/>
      <c r="EE405" s="2"/>
      <c r="EF405" s="2"/>
      <c r="EG405" s="2"/>
      <c r="EH405" s="2"/>
      <c r="EI405" s="2"/>
      <c r="EJ405" s="2"/>
      <c r="EK405" s="2"/>
      <c r="EL405" s="2"/>
      <c r="EM405" s="2"/>
      <c r="EN405" s="2"/>
      <c r="EO405" s="2"/>
      <c r="EP405" s="2"/>
      <c r="EQ405" s="2"/>
      <c r="ER405" s="2"/>
      <c r="ES405" s="2"/>
      <c r="ET405" s="2"/>
      <c r="EU405" s="2"/>
      <c r="EV405" s="2"/>
      <c r="EW405" s="2"/>
      <c r="EX405" s="2"/>
      <c r="EY405" s="2"/>
      <c r="EZ405" s="2"/>
      <c r="FA405" s="2"/>
      <c r="FB405" s="2"/>
      <c r="FC405" s="2"/>
      <c r="FD405" s="2"/>
      <c r="FE405" s="2"/>
      <c r="FF405" s="2"/>
      <c r="FG405" s="2"/>
      <c r="FH405" s="2"/>
      <c r="FI405" s="2"/>
      <c r="FJ405" s="2"/>
      <c r="FK405" s="2"/>
      <c r="FL405" s="2"/>
      <c r="FM405" s="2"/>
      <c r="FN405" s="2"/>
      <c r="FO405" s="2"/>
      <c r="FP405" s="2"/>
      <c r="FQ405" s="2"/>
      <c r="FR405" s="2"/>
      <c r="FS405" s="2"/>
      <c r="FT405" s="2"/>
      <c r="FU405" s="2"/>
      <c r="FV405" s="2"/>
      <c r="FW405" s="2"/>
      <c r="FX405" s="2"/>
      <c r="FY405" s="2"/>
      <c r="FZ405" s="2"/>
      <c r="GA405" s="2"/>
      <c r="GB405" s="2"/>
      <c r="GC405" s="2"/>
      <c r="GD405" s="2"/>
      <c r="GE405" s="2"/>
      <c r="GF405" s="2"/>
      <c r="GG405" s="2"/>
      <c r="GH405" s="2"/>
      <c r="GI405" s="2"/>
      <c r="GJ405" s="2"/>
      <c r="GK405" s="2"/>
      <c r="GL405" s="2"/>
      <c r="GM405" s="2"/>
      <c r="GN405" s="2"/>
      <c r="GO405" s="2"/>
      <c r="GP405" s="2"/>
      <c r="GQ405" s="2"/>
      <c r="GR405" s="2"/>
      <c r="GS405" s="2"/>
      <c r="GT405" s="2"/>
      <c r="GU405" s="2"/>
      <c r="GV405" s="2"/>
      <c r="GW405" s="2"/>
      <c r="GX405" s="2"/>
      <c r="GY405" s="2"/>
      <c r="GZ405" s="2"/>
      <c r="HA405" s="2"/>
      <c r="HB405" s="2"/>
      <c r="HC405" s="2"/>
      <c r="HD405" s="2"/>
      <c r="HE405" s="2"/>
      <c r="HF405" s="2"/>
      <c r="HG405" s="2"/>
      <c r="HH405" s="2"/>
      <c r="HI405" s="2"/>
      <c r="HJ405" s="2"/>
      <c r="HK405" s="2"/>
      <c r="HL405" s="2"/>
      <c r="HM405" s="2"/>
      <c r="HN405" s="2"/>
      <c r="HO405" s="2"/>
      <c r="HP405" s="2"/>
      <c r="HQ405" s="2"/>
      <c r="HR405" s="2"/>
      <c r="HS405" s="2"/>
      <c r="HT405" s="2"/>
      <c r="HU405" s="2"/>
      <c r="HV405" s="2"/>
      <c r="HW405" s="2"/>
      <c r="HX405" s="2"/>
      <c r="HY405" s="2"/>
      <c r="HZ405" s="2"/>
      <c r="IA405" s="2"/>
      <c r="IB405" s="2"/>
      <c r="IC405" s="2"/>
    </row>
    <row r="406" spans="1:237" x14ac:dyDescent="0.2">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c r="AA406" s="2"/>
      <c r="AB406" s="2"/>
      <c r="AC406" s="2"/>
      <c r="AD406" s="2"/>
      <c r="AE406" s="2"/>
      <c r="AF406" s="2"/>
      <c r="AG406" s="2"/>
      <c r="AH406" s="2"/>
      <c r="AI406" s="2"/>
      <c r="AJ406" s="2"/>
      <c r="AK406" s="2"/>
      <c r="AL406" s="2"/>
      <c r="AM406" s="2"/>
      <c r="AN406" s="2"/>
      <c r="AO406" s="2"/>
      <c r="AP406" s="2"/>
      <c r="AQ406" s="2"/>
      <c r="AR406" s="2"/>
      <c r="AS406" s="2"/>
      <c r="AT406" s="2"/>
      <c r="AU406" s="2"/>
      <c r="AV406" s="2"/>
      <c r="AW406" s="2"/>
      <c r="AX406" s="2"/>
      <c r="AY406" s="2"/>
      <c r="AZ406" s="2"/>
      <c r="BA406" s="2"/>
      <c r="BB406" s="2"/>
      <c r="BC406" s="2"/>
      <c r="BD406" s="2"/>
      <c r="BE406" s="2"/>
      <c r="BF406" s="2"/>
      <c r="BG406" s="2"/>
      <c r="BH406" s="2"/>
      <c r="BI406" s="2"/>
      <c r="BJ406" s="2"/>
      <c r="BK406" s="2"/>
      <c r="BL406" s="2"/>
      <c r="BM406" s="2"/>
      <c r="BN406" s="2"/>
      <c r="BO406" s="2"/>
      <c r="BP406" s="2"/>
      <c r="BQ406" s="2"/>
      <c r="BR406" s="2"/>
      <c r="BS406" s="2"/>
      <c r="BT406" s="2"/>
      <c r="BU406" s="2"/>
      <c r="BV406" s="2"/>
      <c r="BW406" s="2"/>
      <c r="BX406" s="2"/>
      <c r="BY406" s="2"/>
      <c r="BZ406" s="2"/>
      <c r="CA406" s="2"/>
      <c r="CB406" s="2"/>
      <c r="CC406" s="2"/>
      <c r="CD406" s="2"/>
      <c r="CE406" s="2"/>
      <c r="CF406" s="2"/>
      <c r="CG406" s="2"/>
      <c r="CH406" s="2"/>
      <c r="CI406" s="2"/>
      <c r="CJ406" s="2"/>
      <c r="CK406" s="2"/>
      <c r="CL406" s="2"/>
      <c r="CM406" s="2"/>
      <c r="CN406" s="2"/>
      <c r="CO406" s="2"/>
      <c r="CP406" s="2"/>
      <c r="CQ406" s="2"/>
      <c r="CR406" s="2"/>
      <c r="CS406" s="2"/>
      <c r="CT406" s="2"/>
      <c r="CU406" s="2"/>
      <c r="CV406" s="2"/>
      <c r="CW406" s="2"/>
      <c r="CX406" s="2"/>
      <c r="CY406" s="2"/>
      <c r="CZ406" s="2"/>
      <c r="DA406" s="2"/>
      <c r="DB406" s="2"/>
      <c r="DC406" s="2"/>
      <c r="DD406" s="2"/>
      <c r="DE406" s="2"/>
      <c r="DF406" s="2"/>
      <c r="DG406" s="2"/>
      <c r="DH406" s="2"/>
      <c r="DI406" s="2"/>
      <c r="DJ406" s="2"/>
      <c r="DK406" s="2"/>
      <c r="DL406" s="2"/>
      <c r="DM406" s="2"/>
      <c r="DN406" s="2"/>
      <c r="DO406" s="2"/>
      <c r="DP406" s="2"/>
      <c r="DQ406" s="2"/>
      <c r="DR406" s="2"/>
      <c r="DS406" s="2"/>
      <c r="DT406" s="2"/>
      <c r="DU406" s="2"/>
      <c r="DV406" s="2"/>
      <c r="DW406" s="2"/>
      <c r="DX406" s="2"/>
      <c r="DY406" s="2"/>
      <c r="DZ406" s="2"/>
      <c r="EA406" s="2"/>
      <c r="EB406" s="2"/>
      <c r="EC406" s="2"/>
      <c r="ED406" s="2"/>
      <c r="EE406" s="2"/>
      <c r="EF406" s="2"/>
      <c r="EG406" s="2"/>
      <c r="EH406" s="2"/>
      <c r="EI406" s="2"/>
      <c r="EJ406" s="2"/>
      <c r="EK406" s="2"/>
      <c r="EL406" s="2"/>
      <c r="EM406" s="2"/>
      <c r="EN406" s="2"/>
      <c r="EO406" s="2"/>
      <c r="EP406" s="2"/>
      <c r="EQ406" s="2"/>
      <c r="ER406" s="2"/>
      <c r="ES406" s="2"/>
      <c r="ET406" s="2"/>
      <c r="EU406" s="2"/>
      <c r="EV406" s="2"/>
      <c r="EW406" s="2"/>
      <c r="EX406" s="2"/>
      <c r="EY406" s="2"/>
      <c r="EZ406" s="2"/>
      <c r="FA406" s="2"/>
      <c r="FB406" s="2"/>
      <c r="FC406" s="2"/>
      <c r="FD406" s="2"/>
      <c r="FE406" s="2"/>
      <c r="FF406" s="2"/>
      <c r="FG406" s="2"/>
      <c r="FH406" s="2"/>
      <c r="FI406" s="2"/>
      <c r="FJ406" s="2"/>
      <c r="FK406" s="2"/>
      <c r="FL406" s="2"/>
      <c r="FM406" s="2"/>
      <c r="FN406" s="2"/>
      <c r="FO406" s="2"/>
      <c r="FP406" s="2"/>
      <c r="FQ406" s="2"/>
      <c r="FR406" s="2"/>
      <c r="FS406" s="2"/>
      <c r="FT406" s="2"/>
      <c r="FU406" s="2"/>
      <c r="FV406" s="2"/>
      <c r="FW406" s="2"/>
      <c r="FX406" s="2"/>
      <c r="FY406" s="2"/>
      <c r="FZ406" s="2"/>
      <c r="GA406" s="2"/>
      <c r="GB406" s="2"/>
      <c r="GC406" s="2"/>
      <c r="GD406" s="2"/>
      <c r="GE406" s="2"/>
      <c r="GF406" s="2"/>
      <c r="GG406" s="2"/>
      <c r="GH406" s="2"/>
      <c r="GI406" s="2"/>
      <c r="GJ406" s="2"/>
      <c r="GK406" s="2"/>
      <c r="GL406" s="2"/>
      <c r="GM406" s="2"/>
      <c r="GN406" s="2"/>
      <c r="GO406" s="2"/>
      <c r="GP406" s="2"/>
      <c r="GQ406" s="2"/>
      <c r="GR406" s="2"/>
      <c r="GS406" s="2"/>
      <c r="GT406" s="2"/>
      <c r="GU406" s="2"/>
      <c r="GV406" s="2"/>
      <c r="GW406" s="2"/>
      <c r="GX406" s="2"/>
      <c r="GY406" s="2"/>
      <c r="GZ406" s="2"/>
      <c r="HA406" s="2"/>
      <c r="HB406" s="2"/>
      <c r="HC406" s="2"/>
      <c r="HD406" s="2"/>
      <c r="HE406" s="2"/>
      <c r="HF406" s="2"/>
      <c r="HG406" s="2"/>
      <c r="HH406" s="2"/>
      <c r="HI406" s="2"/>
      <c r="HJ406" s="2"/>
      <c r="HK406" s="2"/>
      <c r="HL406" s="2"/>
      <c r="HM406" s="2"/>
      <c r="HN406" s="2"/>
      <c r="HO406" s="2"/>
      <c r="HP406" s="2"/>
      <c r="HQ406" s="2"/>
      <c r="HR406" s="2"/>
      <c r="HS406" s="2"/>
      <c r="HT406" s="2"/>
      <c r="HU406" s="2"/>
      <c r="HV406" s="2"/>
      <c r="HW406" s="2"/>
      <c r="HX406" s="2"/>
      <c r="HY406" s="2"/>
      <c r="HZ406" s="2"/>
      <c r="IA406" s="2"/>
      <c r="IB406" s="2"/>
      <c r="IC406" s="2"/>
    </row>
    <row r="407" spans="1:237" x14ac:dyDescent="0.2">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c r="AA407" s="2"/>
      <c r="AB407" s="2"/>
      <c r="AC407" s="2"/>
      <c r="AD407" s="2"/>
      <c r="AE407" s="2"/>
      <c r="AF407" s="2"/>
      <c r="AG407" s="2"/>
      <c r="AH407" s="2"/>
      <c r="AI407" s="2"/>
      <c r="AJ407" s="2"/>
      <c r="AK407" s="2"/>
      <c r="AL407" s="2"/>
      <c r="AM407" s="2"/>
      <c r="AN407" s="2"/>
      <c r="AO407" s="2"/>
      <c r="AP407" s="2"/>
      <c r="AQ407" s="2"/>
      <c r="AR407" s="2"/>
      <c r="AS407" s="2"/>
      <c r="AT407" s="2"/>
      <c r="AU407" s="2"/>
      <c r="AV407" s="2"/>
      <c r="AW407" s="2"/>
      <c r="AX407" s="2"/>
      <c r="AY407" s="2"/>
      <c r="AZ407" s="2"/>
      <c r="BA407" s="2"/>
      <c r="BB407" s="2"/>
      <c r="BC407" s="2"/>
      <c r="BD407" s="2"/>
      <c r="BE407" s="2"/>
      <c r="BF407" s="2"/>
      <c r="BG407" s="2"/>
      <c r="BH407" s="2"/>
      <c r="BI407" s="2"/>
      <c r="BJ407" s="2"/>
      <c r="BK407" s="2"/>
      <c r="BL407" s="2"/>
      <c r="BM407" s="2"/>
      <c r="BN407" s="2"/>
      <c r="BO407" s="2"/>
      <c r="BP407" s="2"/>
      <c r="BQ407" s="2"/>
      <c r="BR407" s="2"/>
      <c r="BS407" s="2"/>
      <c r="BT407" s="2"/>
      <c r="BU407" s="2"/>
      <c r="BV407" s="2"/>
      <c r="BW407" s="2"/>
      <c r="BX407" s="2"/>
      <c r="BY407" s="2"/>
      <c r="BZ407" s="2"/>
      <c r="CA407" s="2"/>
      <c r="CB407" s="2"/>
      <c r="CC407" s="2"/>
      <c r="CD407" s="2"/>
      <c r="CE407" s="2"/>
      <c r="CF407" s="2"/>
      <c r="CG407" s="2"/>
      <c r="CH407" s="2"/>
      <c r="CI407" s="2"/>
      <c r="CJ407" s="2"/>
      <c r="CK407" s="2"/>
      <c r="CL407" s="2"/>
      <c r="CM407" s="2"/>
      <c r="CN407" s="2"/>
      <c r="CO407" s="2"/>
      <c r="CP407" s="2"/>
      <c r="CQ407" s="2"/>
      <c r="CR407" s="2"/>
      <c r="CS407" s="2"/>
      <c r="CT407" s="2"/>
      <c r="CU407" s="2"/>
      <c r="CV407" s="2"/>
      <c r="CW407" s="2"/>
      <c r="CX407" s="2"/>
      <c r="CY407" s="2"/>
      <c r="CZ407" s="2"/>
      <c r="DA407" s="2"/>
      <c r="DB407" s="2"/>
      <c r="DC407" s="2"/>
      <c r="DD407" s="2"/>
      <c r="DE407" s="2"/>
      <c r="DF407" s="2"/>
      <c r="DG407" s="2"/>
      <c r="DH407" s="2"/>
      <c r="DI407" s="2"/>
      <c r="DJ407" s="2"/>
      <c r="DK407" s="2"/>
      <c r="DL407" s="2"/>
      <c r="DM407" s="2"/>
      <c r="DN407" s="2"/>
      <c r="DO407" s="2"/>
      <c r="DP407" s="2"/>
      <c r="DQ407" s="2"/>
      <c r="DR407" s="2"/>
      <c r="DS407" s="2"/>
      <c r="DT407" s="2"/>
      <c r="DU407" s="2"/>
      <c r="DV407" s="2"/>
      <c r="DW407" s="2"/>
      <c r="DX407" s="2"/>
      <c r="DY407" s="2"/>
      <c r="DZ407" s="2"/>
      <c r="EA407" s="2"/>
      <c r="EB407" s="2"/>
      <c r="EC407" s="2"/>
      <c r="ED407" s="2"/>
      <c r="EE407" s="2"/>
      <c r="EF407" s="2"/>
      <c r="EG407" s="2"/>
      <c r="EH407" s="2"/>
      <c r="EI407" s="2"/>
      <c r="EJ407" s="2"/>
      <c r="EK407" s="2"/>
      <c r="EL407" s="2"/>
      <c r="EM407" s="2"/>
      <c r="EN407" s="2"/>
      <c r="EO407" s="2"/>
      <c r="EP407" s="2"/>
      <c r="EQ407" s="2"/>
      <c r="ER407" s="2"/>
      <c r="ES407" s="2"/>
      <c r="ET407" s="2"/>
      <c r="EU407" s="2"/>
      <c r="EV407" s="2"/>
      <c r="EW407" s="2"/>
      <c r="EX407" s="2"/>
      <c r="EY407" s="2"/>
      <c r="EZ407" s="2"/>
      <c r="FA407" s="2"/>
      <c r="FB407" s="2"/>
      <c r="FC407" s="2"/>
      <c r="FD407" s="2"/>
      <c r="FE407" s="2"/>
      <c r="FF407" s="2"/>
      <c r="FG407" s="2"/>
      <c r="FH407" s="2"/>
      <c r="FI407" s="2"/>
      <c r="FJ407" s="2"/>
      <c r="FK407" s="2"/>
      <c r="FL407" s="2"/>
      <c r="FM407" s="2"/>
      <c r="FN407" s="2"/>
      <c r="FO407" s="2"/>
      <c r="FP407" s="2"/>
      <c r="FQ407" s="2"/>
      <c r="FR407" s="2"/>
      <c r="FS407" s="2"/>
      <c r="FT407" s="2"/>
      <c r="FU407" s="2"/>
      <c r="FV407" s="2"/>
      <c r="FW407" s="2"/>
      <c r="FX407" s="2"/>
      <c r="FY407" s="2"/>
      <c r="FZ407" s="2"/>
      <c r="GA407" s="2"/>
      <c r="GB407" s="2"/>
      <c r="GC407" s="2"/>
      <c r="GD407" s="2"/>
      <c r="GE407" s="2"/>
      <c r="GF407" s="2"/>
      <c r="GG407" s="2"/>
      <c r="GH407" s="2"/>
      <c r="GI407" s="2"/>
      <c r="GJ407" s="2"/>
      <c r="GK407" s="2"/>
      <c r="GL407" s="2"/>
      <c r="GM407" s="2"/>
      <c r="GN407" s="2"/>
      <c r="GO407" s="2"/>
      <c r="GP407" s="2"/>
      <c r="GQ407" s="2"/>
      <c r="GR407" s="2"/>
      <c r="GS407" s="2"/>
      <c r="GT407" s="2"/>
      <c r="GU407" s="2"/>
      <c r="GV407" s="2"/>
      <c r="GW407" s="2"/>
      <c r="GX407" s="2"/>
      <c r="GY407" s="2"/>
      <c r="GZ407" s="2"/>
      <c r="HA407" s="2"/>
      <c r="HB407" s="2"/>
      <c r="HC407" s="2"/>
      <c r="HD407" s="2"/>
      <c r="HE407" s="2"/>
      <c r="HF407" s="2"/>
      <c r="HG407" s="2"/>
      <c r="HH407" s="2"/>
      <c r="HI407" s="2"/>
      <c r="HJ407" s="2"/>
      <c r="HK407" s="2"/>
      <c r="HL407" s="2"/>
      <c r="HM407" s="2"/>
      <c r="HN407" s="2"/>
      <c r="HO407" s="2"/>
      <c r="HP407" s="2"/>
      <c r="HQ407" s="2"/>
      <c r="HR407" s="2"/>
      <c r="HS407" s="2"/>
      <c r="HT407" s="2"/>
      <c r="HU407" s="2"/>
      <c r="HV407" s="2"/>
      <c r="HW407" s="2"/>
      <c r="HX407" s="2"/>
      <c r="HY407" s="2"/>
      <c r="HZ407" s="2"/>
      <c r="IA407" s="2"/>
      <c r="IB407" s="2"/>
      <c r="IC407" s="2"/>
    </row>
    <row r="408" spans="1:237" x14ac:dyDescent="0.2">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c r="AA408" s="2"/>
      <c r="AB408" s="2"/>
      <c r="AC408" s="2"/>
      <c r="AD408" s="2"/>
      <c r="AE408" s="2"/>
      <c r="AF408" s="2"/>
      <c r="AG408" s="2"/>
      <c r="AH408" s="2"/>
      <c r="AI408" s="2"/>
      <c r="AJ408" s="2"/>
      <c r="AK408" s="2"/>
      <c r="AL408" s="2"/>
      <c r="AM408" s="2"/>
      <c r="AN408" s="2"/>
      <c r="AO408" s="2"/>
      <c r="AP408" s="2"/>
      <c r="AQ408" s="2"/>
      <c r="AR408" s="2"/>
      <c r="AS408" s="2"/>
      <c r="AT408" s="2"/>
      <c r="AU408" s="2"/>
      <c r="AV408" s="2"/>
      <c r="AW408" s="2"/>
      <c r="AX408" s="2"/>
      <c r="AY408" s="2"/>
      <c r="AZ408" s="2"/>
      <c r="BA408" s="2"/>
      <c r="BB408" s="2"/>
      <c r="BC408" s="2"/>
      <c r="BD408" s="2"/>
      <c r="BE408" s="2"/>
      <c r="BF408" s="2"/>
      <c r="BG408" s="2"/>
      <c r="BH408" s="2"/>
      <c r="BI408" s="2"/>
      <c r="BJ408" s="2"/>
      <c r="BK408" s="2"/>
      <c r="BL408" s="2"/>
      <c r="BM408" s="2"/>
      <c r="BN408" s="2"/>
      <c r="BO408" s="2"/>
      <c r="BP408" s="2"/>
      <c r="BQ408" s="2"/>
      <c r="BR408" s="2"/>
      <c r="BS408" s="2"/>
      <c r="BT408" s="2"/>
      <c r="BU408" s="2"/>
      <c r="BV408" s="2"/>
      <c r="BW408" s="2"/>
      <c r="BX408" s="2"/>
      <c r="BY408" s="2"/>
      <c r="BZ408" s="2"/>
      <c r="CA408" s="2"/>
      <c r="CB408" s="2"/>
      <c r="CC408" s="2"/>
      <c r="CD408" s="2"/>
      <c r="CE408" s="2"/>
      <c r="CF408" s="2"/>
      <c r="CG408" s="2"/>
      <c r="CH408" s="2"/>
      <c r="CI408" s="2"/>
      <c r="CJ408" s="2"/>
      <c r="CK408" s="2"/>
      <c r="CL408" s="2"/>
      <c r="CM408" s="2"/>
      <c r="CN408" s="2"/>
      <c r="CO408" s="2"/>
      <c r="CP408" s="2"/>
      <c r="CQ408" s="2"/>
      <c r="CR408" s="2"/>
      <c r="CS408" s="2"/>
      <c r="CT408" s="2"/>
      <c r="CU408" s="2"/>
      <c r="CV408" s="2"/>
      <c r="CW408" s="2"/>
      <c r="CX408" s="2"/>
      <c r="CY408" s="2"/>
      <c r="CZ408" s="2"/>
      <c r="DA408" s="2"/>
      <c r="DB408" s="2"/>
      <c r="DC408" s="2"/>
      <c r="DD408" s="2"/>
      <c r="DE408" s="2"/>
      <c r="DF408" s="2"/>
      <c r="DG408" s="2"/>
      <c r="DH408" s="2"/>
      <c r="DI408" s="2"/>
      <c r="DJ408" s="2"/>
      <c r="DK408" s="2"/>
      <c r="DL408" s="2"/>
      <c r="DM408" s="2"/>
      <c r="DN408" s="2"/>
      <c r="DO408" s="2"/>
      <c r="DP408" s="2"/>
      <c r="DQ408" s="2"/>
      <c r="DR408" s="2"/>
      <c r="DS408" s="2"/>
      <c r="DT408" s="2"/>
      <c r="DU408" s="2"/>
      <c r="DV408" s="2"/>
      <c r="DW408" s="2"/>
      <c r="DX408" s="2"/>
      <c r="DY408" s="2"/>
      <c r="DZ408" s="2"/>
      <c r="EA408" s="2"/>
      <c r="EB408" s="2"/>
      <c r="EC408" s="2"/>
      <c r="ED408" s="2"/>
      <c r="EE408" s="2"/>
      <c r="EF408" s="2"/>
      <c r="EG408" s="2"/>
      <c r="EH408" s="2"/>
      <c r="EI408" s="2"/>
      <c r="EJ408" s="2"/>
      <c r="EK408" s="2"/>
      <c r="EL408" s="2"/>
      <c r="EM408" s="2"/>
      <c r="EN408" s="2"/>
      <c r="EO408" s="2"/>
      <c r="EP408" s="2"/>
      <c r="EQ408" s="2"/>
      <c r="ER408" s="2"/>
      <c r="ES408" s="2"/>
      <c r="ET408" s="2"/>
      <c r="EU408" s="2"/>
      <c r="EV408" s="2"/>
      <c r="EW408" s="2"/>
      <c r="EX408" s="2"/>
      <c r="EY408" s="2"/>
      <c r="EZ408" s="2"/>
      <c r="FA408" s="2"/>
      <c r="FB408" s="2"/>
      <c r="FC408" s="2"/>
      <c r="FD408" s="2"/>
      <c r="FE408" s="2"/>
      <c r="FF408" s="2"/>
      <c r="FG408" s="2"/>
      <c r="FH408" s="2"/>
      <c r="FI408" s="2"/>
      <c r="FJ408" s="2"/>
      <c r="FK408" s="2"/>
      <c r="FL408" s="2"/>
      <c r="FM408" s="2"/>
      <c r="FN408" s="2"/>
      <c r="FO408" s="2"/>
      <c r="FP408" s="2"/>
      <c r="FQ408" s="2"/>
      <c r="FR408" s="2"/>
      <c r="FS408" s="2"/>
      <c r="FT408" s="2"/>
      <c r="FU408" s="2"/>
      <c r="FV408" s="2"/>
      <c r="FW408" s="2"/>
      <c r="FX408" s="2"/>
      <c r="FY408" s="2"/>
      <c r="FZ408" s="2"/>
      <c r="GA408" s="2"/>
      <c r="GB408" s="2"/>
      <c r="GC408" s="2"/>
      <c r="GD408" s="2"/>
      <c r="GE408" s="2"/>
      <c r="GF408" s="2"/>
      <c r="GG408" s="2"/>
      <c r="GH408" s="2"/>
      <c r="GI408" s="2"/>
      <c r="GJ408" s="2"/>
      <c r="GK408" s="2"/>
      <c r="GL408" s="2"/>
      <c r="GM408" s="2"/>
      <c r="GN408" s="2"/>
      <c r="GO408" s="2"/>
      <c r="GP408" s="2"/>
      <c r="GQ408" s="2"/>
      <c r="GR408" s="2"/>
      <c r="GS408" s="2"/>
      <c r="GT408" s="2"/>
      <c r="GU408" s="2"/>
      <c r="GV408" s="2"/>
      <c r="GW408" s="2"/>
      <c r="GX408" s="2"/>
      <c r="GY408" s="2"/>
      <c r="GZ408" s="2"/>
      <c r="HA408" s="2"/>
      <c r="HB408" s="2"/>
      <c r="HC408" s="2"/>
      <c r="HD408" s="2"/>
      <c r="HE408" s="2"/>
      <c r="HF408" s="2"/>
      <c r="HG408" s="2"/>
      <c r="HH408" s="2"/>
      <c r="HI408" s="2"/>
      <c r="HJ408" s="2"/>
      <c r="HK408" s="2"/>
      <c r="HL408" s="2"/>
      <c r="HM408" s="2"/>
      <c r="HN408" s="2"/>
      <c r="HO408" s="2"/>
      <c r="HP408" s="2"/>
      <c r="HQ408" s="2"/>
      <c r="HR408" s="2"/>
      <c r="HS408" s="2"/>
      <c r="HT408" s="2"/>
      <c r="HU408" s="2"/>
      <c r="HV408" s="2"/>
      <c r="HW408" s="2"/>
      <c r="HX408" s="2"/>
      <c r="HY408" s="2"/>
      <c r="HZ408" s="2"/>
      <c r="IA408" s="2"/>
      <c r="IB408" s="2"/>
      <c r="IC408" s="2"/>
    </row>
    <row r="409" spans="1:237" x14ac:dyDescent="0.2">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c r="AA409" s="2"/>
      <c r="AB409" s="2"/>
      <c r="AC409" s="2"/>
      <c r="AD409" s="2"/>
      <c r="AE409" s="2"/>
      <c r="AF409" s="2"/>
      <c r="AG409" s="2"/>
      <c r="AH409" s="2"/>
      <c r="AI409" s="2"/>
      <c r="AJ409" s="2"/>
      <c r="AK409" s="2"/>
      <c r="AL409" s="2"/>
      <c r="AM409" s="2"/>
      <c r="AN409" s="2"/>
      <c r="AO409" s="2"/>
      <c r="AP409" s="2"/>
      <c r="AQ409" s="2"/>
      <c r="AR409" s="2"/>
      <c r="AS409" s="2"/>
      <c r="AT409" s="2"/>
      <c r="AU409" s="2"/>
      <c r="AV409" s="2"/>
      <c r="AW409" s="2"/>
      <c r="AX409" s="2"/>
      <c r="AY409" s="2"/>
      <c r="AZ409" s="2"/>
      <c r="BA409" s="2"/>
      <c r="BB409" s="2"/>
      <c r="BC409" s="2"/>
      <c r="BD409" s="2"/>
      <c r="BE409" s="2"/>
      <c r="BF409" s="2"/>
      <c r="BG409" s="2"/>
      <c r="BH409" s="2"/>
      <c r="BI409" s="2"/>
      <c r="BJ409" s="2"/>
      <c r="BK409" s="2"/>
      <c r="BL409" s="2"/>
      <c r="BM409" s="2"/>
      <c r="BN409" s="2"/>
      <c r="BO409" s="2"/>
      <c r="BP409" s="2"/>
      <c r="BQ409" s="2"/>
      <c r="BR409" s="2"/>
      <c r="BS409" s="2"/>
      <c r="BT409" s="2"/>
      <c r="BU409" s="2"/>
      <c r="BV409" s="2"/>
      <c r="BW409" s="2"/>
      <c r="BX409" s="2"/>
      <c r="BY409" s="2"/>
      <c r="BZ409" s="2"/>
      <c r="CA409" s="2"/>
      <c r="CB409" s="2"/>
      <c r="CC409" s="2"/>
      <c r="CD409" s="2"/>
      <c r="CE409" s="2"/>
      <c r="CF409" s="2"/>
      <c r="CG409" s="2"/>
      <c r="CH409" s="2"/>
      <c r="CI409" s="2"/>
      <c r="CJ409" s="2"/>
      <c r="CK409" s="2"/>
      <c r="CL409" s="2"/>
      <c r="CM409" s="2"/>
      <c r="CN409" s="2"/>
      <c r="CO409" s="2"/>
      <c r="CP409" s="2"/>
      <c r="CQ409" s="2"/>
      <c r="CR409" s="2"/>
      <c r="CS409" s="2"/>
      <c r="CT409" s="2"/>
      <c r="CU409" s="2"/>
      <c r="CV409" s="2"/>
      <c r="CW409" s="2"/>
      <c r="CX409" s="2"/>
      <c r="CY409" s="2"/>
      <c r="CZ409" s="2"/>
      <c r="DA409" s="2"/>
      <c r="DB409" s="2"/>
      <c r="DC409" s="2"/>
      <c r="DD409" s="2"/>
      <c r="DE409" s="2"/>
      <c r="DF409" s="2"/>
      <c r="DG409" s="2"/>
      <c r="DH409" s="2"/>
      <c r="DI409" s="2"/>
      <c r="DJ409" s="2"/>
      <c r="DK409" s="2"/>
      <c r="DL409" s="2"/>
      <c r="DM409" s="2"/>
      <c r="DN409" s="2"/>
      <c r="DO409" s="2"/>
      <c r="DP409" s="2"/>
      <c r="DQ409" s="2"/>
      <c r="DR409" s="2"/>
      <c r="DS409" s="2"/>
      <c r="DT409" s="2"/>
      <c r="DU409" s="2"/>
      <c r="DV409" s="2"/>
      <c r="DW409" s="2"/>
      <c r="DX409" s="2"/>
      <c r="DY409" s="2"/>
      <c r="DZ409" s="2"/>
      <c r="EA409" s="2"/>
      <c r="EB409" s="2"/>
      <c r="EC409" s="2"/>
      <c r="ED409" s="2"/>
      <c r="EE409" s="2"/>
      <c r="EF409" s="2"/>
      <c r="EG409" s="2"/>
      <c r="EH409" s="2"/>
      <c r="EI409" s="2"/>
      <c r="EJ409" s="2"/>
      <c r="EK409" s="2"/>
      <c r="EL409" s="2"/>
      <c r="EM409" s="2"/>
      <c r="EN409" s="2"/>
      <c r="EO409" s="2"/>
      <c r="EP409" s="2"/>
      <c r="EQ409" s="2"/>
      <c r="ER409" s="2"/>
      <c r="ES409" s="2"/>
      <c r="ET409" s="2"/>
      <c r="EU409" s="2"/>
      <c r="EV409" s="2"/>
      <c r="EW409" s="2"/>
      <c r="EX409" s="2"/>
      <c r="EY409" s="2"/>
      <c r="EZ409" s="2"/>
      <c r="FA409" s="2"/>
      <c r="FB409" s="2"/>
      <c r="FC409" s="2"/>
      <c r="FD409" s="2"/>
      <c r="FE409" s="2"/>
      <c r="FF409" s="2"/>
      <c r="FG409" s="2"/>
      <c r="FH409" s="2"/>
      <c r="FI409" s="2"/>
      <c r="FJ409" s="2"/>
      <c r="FK409" s="2"/>
      <c r="FL409" s="2"/>
      <c r="FM409" s="2"/>
      <c r="FN409" s="2"/>
      <c r="FO409" s="2"/>
      <c r="FP409" s="2"/>
      <c r="FQ409" s="2"/>
      <c r="FR409" s="2"/>
      <c r="FS409" s="2"/>
      <c r="FT409" s="2"/>
      <c r="FU409" s="2"/>
      <c r="FV409" s="2"/>
      <c r="FW409" s="2"/>
      <c r="FX409" s="2"/>
      <c r="FY409" s="2"/>
      <c r="FZ409" s="2"/>
      <c r="GA409" s="2"/>
      <c r="GB409" s="2"/>
      <c r="GC409" s="2"/>
      <c r="GD409" s="2"/>
      <c r="GE409" s="2"/>
      <c r="GF409" s="2"/>
      <c r="GG409" s="2"/>
      <c r="GH409" s="2"/>
      <c r="GI409" s="2"/>
      <c r="GJ409" s="2"/>
      <c r="GK409" s="2"/>
      <c r="GL409" s="2"/>
      <c r="GM409" s="2"/>
      <c r="GN409" s="2"/>
      <c r="GO409" s="2"/>
      <c r="GP409" s="2"/>
      <c r="GQ409" s="2"/>
      <c r="GR409" s="2"/>
      <c r="GS409" s="2"/>
      <c r="GT409" s="2"/>
      <c r="GU409" s="2"/>
      <c r="GV409" s="2"/>
      <c r="GW409" s="2"/>
      <c r="GX409" s="2"/>
      <c r="GY409" s="2"/>
      <c r="GZ409" s="2"/>
      <c r="HA409" s="2"/>
      <c r="HB409" s="2"/>
      <c r="HC409" s="2"/>
      <c r="HD409" s="2"/>
      <c r="HE409" s="2"/>
      <c r="HF409" s="2"/>
      <c r="HG409" s="2"/>
      <c r="HH409" s="2"/>
      <c r="HI409" s="2"/>
      <c r="HJ409" s="2"/>
      <c r="HK409" s="2"/>
      <c r="HL409" s="2"/>
      <c r="HM409" s="2"/>
      <c r="HN409" s="2"/>
      <c r="HO409" s="2"/>
      <c r="HP409" s="2"/>
      <c r="HQ409" s="2"/>
      <c r="HR409" s="2"/>
      <c r="HS409" s="2"/>
      <c r="HT409" s="2"/>
      <c r="HU409" s="2"/>
      <c r="HV409" s="2"/>
      <c r="HW409" s="2"/>
      <c r="HX409" s="2"/>
      <c r="HY409" s="2"/>
      <c r="HZ409" s="2"/>
      <c r="IA409" s="2"/>
      <c r="IB409" s="2"/>
      <c r="IC409" s="2"/>
    </row>
    <row r="410" spans="1:237" x14ac:dyDescent="0.2">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c r="AA410" s="2"/>
      <c r="AB410" s="2"/>
      <c r="AC410" s="2"/>
      <c r="AD410" s="2"/>
      <c r="AE410" s="2"/>
      <c r="AF410" s="2"/>
      <c r="AG410" s="2"/>
      <c r="AH410" s="2"/>
      <c r="AI410" s="2"/>
      <c r="AJ410" s="2"/>
      <c r="AK410" s="2"/>
      <c r="AL410" s="2"/>
      <c r="AM410" s="2"/>
      <c r="AN410" s="2"/>
      <c r="AO410" s="2"/>
      <c r="AP410" s="2"/>
      <c r="AQ410" s="2"/>
      <c r="AR410" s="2"/>
      <c r="AS410" s="2"/>
      <c r="AT410" s="2"/>
      <c r="AU410" s="2"/>
      <c r="AV410" s="2"/>
      <c r="AW410" s="2"/>
      <c r="AX410" s="2"/>
      <c r="AY410" s="2"/>
      <c r="AZ410" s="2"/>
      <c r="BA410" s="2"/>
      <c r="BB410" s="2"/>
      <c r="BC410" s="2"/>
      <c r="BD410" s="2"/>
      <c r="BE410" s="2"/>
      <c r="BF410" s="2"/>
      <c r="BG410" s="2"/>
      <c r="BH410" s="2"/>
      <c r="BI410" s="2"/>
      <c r="BJ410" s="2"/>
      <c r="BK410" s="2"/>
      <c r="BL410" s="2"/>
      <c r="BM410" s="2"/>
      <c r="BN410" s="2"/>
      <c r="BO410" s="2"/>
      <c r="BP410" s="2"/>
      <c r="BQ410" s="2"/>
      <c r="BR410" s="2"/>
      <c r="BS410" s="2"/>
      <c r="BT410" s="2"/>
      <c r="BU410" s="2"/>
      <c r="BV410" s="2"/>
      <c r="BW410" s="2"/>
      <c r="BX410" s="2"/>
      <c r="BY410" s="2"/>
      <c r="BZ410" s="2"/>
      <c r="CA410" s="2"/>
      <c r="CB410" s="2"/>
      <c r="CC410" s="2"/>
      <c r="CD410" s="2"/>
      <c r="CE410" s="2"/>
      <c r="CF410" s="2"/>
      <c r="CG410" s="2"/>
      <c r="CH410" s="2"/>
      <c r="CI410" s="2"/>
      <c r="CJ410" s="2"/>
      <c r="CK410" s="2"/>
      <c r="CL410" s="2"/>
      <c r="CM410" s="2"/>
      <c r="CN410" s="2"/>
      <c r="CO410" s="2"/>
      <c r="CP410" s="2"/>
      <c r="CQ410" s="2"/>
      <c r="CR410" s="2"/>
      <c r="CS410" s="2"/>
      <c r="CT410" s="2"/>
      <c r="CU410" s="2"/>
      <c r="CV410" s="2"/>
      <c r="CW410" s="2"/>
      <c r="CX410" s="2"/>
      <c r="CY410" s="2"/>
      <c r="CZ410" s="2"/>
      <c r="DA410" s="2"/>
      <c r="DB410" s="2"/>
      <c r="DC410" s="2"/>
      <c r="DD410" s="2"/>
      <c r="DE410" s="2"/>
      <c r="DF410" s="2"/>
      <c r="DG410" s="2"/>
      <c r="DH410" s="2"/>
      <c r="DI410" s="2"/>
      <c r="DJ410" s="2"/>
      <c r="DK410" s="2"/>
      <c r="DL410" s="2"/>
      <c r="DM410" s="2"/>
      <c r="DN410" s="2"/>
      <c r="DO410" s="2"/>
      <c r="DP410" s="2"/>
      <c r="DQ410" s="2"/>
      <c r="DR410" s="2"/>
      <c r="DS410" s="2"/>
      <c r="DT410" s="2"/>
      <c r="DU410" s="2"/>
      <c r="DV410" s="2"/>
      <c r="DW410" s="2"/>
      <c r="DX410" s="2"/>
      <c r="DY410" s="2"/>
      <c r="DZ410" s="2"/>
      <c r="EA410" s="2"/>
      <c r="EB410" s="2"/>
      <c r="EC410" s="2"/>
      <c r="ED410" s="2"/>
      <c r="EE410" s="2"/>
      <c r="EF410" s="2"/>
      <c r="EG410" s="2"/>
      <c r="EH410" s="2"/>
      <c r="EI410" s="2"/>
      <c r="EJ410" s="2"/>
      <c r="EK410" s="2"/>
      <c r="EL410" s="2"/>
      <c r="EM410" s="2"/>
      <c r="EN410" s="2"/>
      <c r="EO410" s="2"/>
      <c r="EP410" s="2"/>
      <c r="EQ410" s="2"/>
      <c r="ER410" s="2"/>
      <c r="ES410" s="2"/>
      <c r="ET410" s="2"/>
      <c r="EU410" s="2"/>
      <c r="EV410" s="2"/>
      <c r="EW410" s="2"/>
      <c r="EX410" s="2"/>
      <c r="EY410" s="2"/>
      <c r="EZ410" s="2"/>
      <c r="FA410" s="2"/>
      <c r="FB410" s="2"/>
      <c r="FC410" s="2"/>
      <c r="FD410" s="2"/>
      <c r="FE410" s="2"/>
      <c r="FF410" s="2"/>
      <c r="FG410" s="2"/>
      <c r="FH410" s="2"/>
      <c r="FI410" s="2"/>
      <c r="FJ410" s="2"/>
      <c r="FK410" s="2"/>
      <c r="FL410" s="2"/>
      <c r="FM410" s="2"/>
      <c r="FN410" s="2"/>
      <c r="FO410" s="2"/>
      <c r="FP410" s="2"/>
      <c r="FQ410" s="2"/>
      <c r="FR410" s="2"/>
      <c r="FS410" s="2"/>
      <c r="FT410" s="2"/>
      <c r="FU410" s="2"/>
      <c r="FV410" s="2"/>
      <c r="FW410" s="2"/>
      <c r="FX410" s="2"/>
      <c r="FY410" s="2"/>
      <c r="FZ410" s="2"/>
      <c r="GA410" s="2"/>
      <c r="GB410" s="2"/>
      <c r="GC410" s="2"/>
      <c r="GD410" s="2"/>
      <c r="GE410" s="2"/>
      <c r="GF410" s="2"/>
      <c r="GG410" s="2"/>
      <c r="GH410" s="2"/>
      <c r="GI410" s="2"/>
      <c r="GJ410" s="2"/>
      <c r="GK410" s="2"/>
      <c r="GL410" s="2"/>
      <c r="GM410" s="2"/>
      <c r="GN410" s="2"/>
      <c r="GO410" s="2"/>
      <c r="GP410" s="2"/>
      <c r="GQ410" s="2"/>
      <c r="GR410" s="2"/>
      <c r="GS410" s="2"/>
      <c r="GT410" s="2"/>
      <c r="GU410" s="2"/>
      <c r="GV410" s="2"/>
      <c r="GW410" s="2"/>
      <c r="GX410" s="2"/>
      <c r="GY410" s="2"/>
      <c r="GZ410" s="2"/>
      <c r="HA410" s="2"/>
      <c r="HB410" s="2"/>
      <c r="HC410" s="2"/>
      <c r="HD410" s="2"/>
      <c r="HE410" s="2"/>
      <c r="HF410" s="2"/>
      <c r="HG410" s="2"/>
      <c r="HH410" s="2"/>
      <c r="HI410" s="2"/>
      <c r="HJ410" s="2"/>
      <c r="HK410" s="2"/>
      <c r="HL410" s="2"/>
      <c r="HM410" s="2"/>
      <c r="HN410" s="2"/>
      <c r="HO410" s="2"/>
      <c r="HP410" s="2"/>
      <c r="HQ410" s="2"/>
      <c r="HR410" s="2"/>
      <c r="HS410" s="2"/>
      <c r="HT410" s="2"/>
      <c r="HU410" s="2"/>
      <c r="HV410" s="2"/>
      <c r="HW410" s="2"/>
      <c r="HX410" s="2"/>
      <c r="HY410" s="2"/>
      <c r="HZ410" s="2"/>
      <c r="IA410" s="2"/>
      <c r="IB410" s="2"/>
      <c r="IC410" s="2"/>
    </row>
    <row r="411" spans="1:237" x14ac:dyDescent="0.2">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c r="AA411" s="2"/>
      <c r="AB411" s="2"/>
      <c r="AC411" s="2"/>
      <c r="AD411" s="2"/>
      <c r="AE411" s="2"/>
      <c r="AF411" s="2"/>
      <c r="AG411" s="2"/>
      <c r="AH411" s="2"/>
      <c r="AI411" s="2"/>
      <c r="AJ411" s="2"/>
      <c r="AK411" s="2"/>
      <c r="AL411" s="2"/>
      <c r="AM411" s="2"/>
      <c r="AN411" s="2"/>
      <c r="AO411" s="2"/>
      <c r="AP411" s="2"/>
      <c r="AQ411" s="2"/>
      <c r="AR411" s="2"/>
      <c r="AS411" s="2"/>
      <c r="AT411" s="2"/>
      <c r="AU411" s="2"/>
      <c r="AV411" s="2"/>
      <c r="AW411" s="2"/>
      <c r="AX411" s="2"/>
      <c r="AY411" s="2"/>
      <c r="AZ411" s="2"/>
      <c r="BA411" s="2"/>
      <c r="BB411" s="2"/>
      <c r="BC411" s="2"/>
      <c r="BD411" s="2"/>
      <c r="BE411" s="2"/>
      <c r="BF411" s="2"/>
      <c r="BG411" s="2"/>
      <c r="BH411" s="2"/>
      <c r="BI411" s="2"/>
      <c r="BJ411" s="2"/>
      <c r="BK411" s="2"/>
      <c r="BL411" s="2"/>
      <c r="BM411" s="2"/>
      <c r="BN411" s="2"/>
      <c r="BO411" s="2"/>
      <c r="BP411" s="2"/>
      <c r="BQ411" s="2"/>
      <c r="BR411" s="2"/>
      <c r="BS411" s="2"/>
      <c r="BT411" s="2"/>
      <c r="BU411" s="2"/>
      <c r="BV411" s="2"/>
      <c r="BW411" s="2"/>
      <c r="BX411" s="2"/>
      <c r="BY411" s="2"/>
      <c r="BZ411" s="2"/>
      <c r="CA411" s="2"/>
      <c r="CB411" s="2"/>
      <c r="CC411" s="2"/>
      <c r="CD411" s="2"/>
      <c r="CE411" s="2"/>
      <c r="CF411" s="2"/>
      <c r="CG411" s="2"/>
      <c r="CH411" s="2"/>
      <c r="CI411" s="2"/>
      <c r="CJ411" s="2"/>
      <c r="CK411" s="2"/>
      <c r="CL411" s="2"/>
      <c r="CM411" s="2"/>
      <c r="CN411" s="2"/>
      <c r="CO411" s="2"/>
      <c r="CP411" s="2"/>
      <c r="CQ411" s="2"/>
      <c r="CR411" s="2"/>
      <c r="CS411" s="2"/>
      <c r="CT411" s="2"/>
      <c r="CU411" s="2"/>
      <c r="CV411" s="2"/>
      <c r="CW411" s="2"/>
      <c r="CX411" s="2"/>
      <c r="CY411" s="2"/>
      <c r="CZ411" s="2"/>
      <c r="DA411" s="2"/>
      <c r="DB411" s="2"/>
      <c r="DC411" s="2"/>
      <c r="DD411" s="2"/>
      <c r="DE411" s="2"/>
      <c r="DF411" s="2"/>
      <c r="DG411" s="2"/>
      <c r="DH411" s="2"/>
      <c r="DI411" s="2"/>
      <c r="DJ411" s="2"/>
      <c r="DK411" s="2"/>
      <c r="DL411" s="2"/>
      <c r="DM411" s="2"/>
      <c r="DN411" s="2"/>
      <c r="DO411" s="2"/>
      <c r="DP411" s="2"/>
      <c r="DQ411" s="2"/>
      <c r="DR411" s="2"/>
      <c r="DS411" s="2"/>
      <c r="DT411" s="2"/>
      <c r="DU411" s="2"/>
      <c r="DV411" s="2"/>
      <c r="DW411" s="2"/>
      <c r="DX411" s="2"/>
      <c r="DY411" s="2"/>
      <c r="DZ411" s="2"/>
      <c r="EA411" s="2"/>
      <c r="EB411" s="2"/>
      <c r="EC411" s="2"/>
      <c r="ED411" s="2"/>
      <c r="EE411" s="2"/>
      <c r="EF411" s="2"/>
      <c r="EG411" s="2"/>
      <c r="EH411" s="2"/>
      <c r="EI411" s="2"/>
      <c r="EJ411" s="2"/>
      <c r="EK411" s="2"/>
      <c r="EL411" s="2"/>
      <c r="EM411" s="2"/>
      <c r="EN411" s="2"/>
      <c r="EO411" s="2"/>
      <c r="EP411" s="2"/>
      <c r="EQ411" s="2"/>
      <c r="ER411" s="2"/>
      <c r="ES411" s="2"/>
      <c r="ET411" s="2"/>
      <c r="EU411" s="2"/>
      <c r="EV411" s="2"/>
      <c r="EW411" s="2"/>
      <c r="EX411" s="2"/>
      <c r="EY411" s="2"/>
      <c r="EZ411" s="2"/>
      <c r="FA411" s="2"/>
      <c r="FB411" s="2"/>
      <c r="FC411" s="2"/>
      <c r="FD411" s="2"/>
      <c r="FE411" s="2"/>
      <c r="FF411" s="2"/>
      <c r="FG411" s="2"/>
      <c r="FH411" s="2"/>
      <c r="FI411" s="2"/>
      <c r="FJ411" s="2"/>
      <c r="FK411" s="2"/>
      <c r="FL411" s="2"/>
      <c r="FM411" s="2"/>
      <c r="FN411" s="2"/>
      <c r="FO411" s="2"/>
      <c r="FP411" s="2"/>
      <c r="FQ411" s="2"/>
      <c r="FR411" s="2"/>
      <c r="FS411" s="2"/>
      <c r="FT411" s="2"/>
      <c r="FU411" s="2"/>
      <c r="FV411" s="2"/>
      <c r="FW411" s="2"/>
      <c r="FX411" s="2"/>
      <c r="FY411" s="2"/>
      <c r="FZ411" s="2"/>
      <c r="GA411" s="2"/>
      <c r="GB411" s="2"/>
      <c r="GC411" s="2"/>
      <c r="GD411" s="2"/>
      <c r="GE411" s="2"/>
      <c r="GF411" s="2"/>
      <c r="GG411" s="2"/>
      <c r="GH411" s="2"/>
      <c r="GI411" s="2"/>
      <c r="GJ411" s="2"/>
      <c r="GK411" s="2"/>
      <c r="GL411" s="2"/>
      <c r="GM411" s="2"/>
      <c r="GN411" s="2"/>
      <c r="GO411" s="2"/>
      <c r="GP411" s="2"/>
      <c r="GQ411" s="2"/>
      <c r="GR411" s="2"/>
      <c r="GS411" s="2"/>
      <c r="GT411" s="2"/>
      <c r="GU411" s="2"/>
      <c r="GV411" s="2"/>
      <c r="GW411" s="2"/>
      <c r="GX411" s="2"/>
      <c r="GY411" s="2"/>
      <c r="GZ411" s="2"/>
      <c r="HA411" s="2"/>
      <c r="HB411" s="2"/>
      <c r="HC411" s="2"/>
      <c r="HD411" s="2"/>
      <c r="HE411" s="2"/>
      <c r="HF411" s="2"/>
      <c r="HG411" s="2"/>
      <c r="HH411" s="2"/>
      <c r="HI411" s="2"/>
      <c r="HJ411" s="2"/>
      <c r="HK411" s="2"/>
      <c r="HL411" s="2"/>
      <c r="HM411" s="2"/>
      <c r="HN411" s="2"/>
      <c r="HO411" s="2"/>
      <c r="HP411" s="2"/>
      <c r="HQ411" s="2"/>
      <c r="HR411" s="2"/>
      <c r="HS411" s="2"/>
      <c r="HT411" s="2"/>
      <c r="HU411" s="2"/>
      <c r="HV411" s="2"/>
      <c r="HW411" s="2"/>
      <c r="HX411" s="2"/>
      <c r="HY411" s="2"/>
      <c r="HZ411" s="2"/>
      <c r="IA411" s="2"/>
      <c r="IB411" s="2"/>
      <c r="IC411" s="2"/>
    </row>
    <row r="412" spans="1:237" x14ac:dyDescent="0.2">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c r="AA412" s="2"/>
      <c r="AB412" s="2"/>
      <c r="AC412" s="2"/>
      <c r="AD412" s="2"/>
      <c r="AE412" s="2"/>
      <c r="AF412" s="2"/>
      <c r="AG412" s="2"/>
      <c r="AH412" s="2"/>
      <c r="AI412" s="2"/>
      <c r="AJ412" s="2"/>
      <c r="AK412" s="2"/>
      <c r="AL412" s="2"/>
      <c r="AM412" s="2"/>
      <c r="AN412" s="2"/>
      <c r="AO412" s="2"/>
      <c r="AP412" s="2"/>
      <c r="AQ412" s="2"/>
      <c r="AR412" s="2"/>
      <c r="AS412" s="2"/>
      <c r="AT412" s="2"/>
      <c r="AU412" s="2"/>
      <c r="AV412" s="2"/>
      <c r="AW412" s="2"/>
      <c r="AX412" s="2"/>
      <c r="AY412" s="2"/>
      <c r="AZ412" s="2"/>
      <c r="BA412" s="2"/>
      <c r="BB412" s="2"/>
      <c r="BC412" s="2"/>
      <c r="BD412" s="2"/>
      <c r="BE412" s="2"/>
      <c r="BF412" s="2"/>
      <c r="BG412" s="2"/>
      <c r="BH412" s="2"/>
      <c r="BI412" s="2"/>
      <c r="BJ412" s="2"/>
      <c r="BK412" s="2"/>
      <c r="BL412" s="2"/>
      <c r="BM412" s="2"/>
      <c r="BN412" s="2"/>
      <c r="BO412" s="2"/>
      <c r="BP412" s="2"/>
      <c r="BQ412" s="2"/>
      <c r="BR412" s="2"/>
      <c r="BS412" s="2"/>
      <c r="BT412" s="2"/>
      <c r="BU412" s="2"/>
      <c r="BV412" s="2"/>
      <c r="BW412" s="2"/>
      <c r="BX412" s="2"/>
      <c r="BY412" s="2"/>
      <c r="BZ412" s="2"/>
      <c r="CA412" s="2"/>
      <c r="CB412" s="2"/>
      <c r="CC412" s="2"/>
      <c r="CD412" s="2"/>
      <c r="CE412" s="2"/>
      <c r="CF412" s="2"/>
      <c r="CG412" s="2"/>
      <c r="CH412" s="2"/>
      <c r="CI412" s="2"/>
      <c r="CJ412" s="2"/>
      <c r="CK412" s="2"/>
      <c r="CL412" s="2"/>
      <c r="CM412" s="2"/>
      <c r="CN412" s="2"/>
      <c r="CO412" s="2"/>
      <c r="CP412" s="2"/>
      <c r="CQ412" s="2"/>
      <c r="CR412" s="2"/>
      <c r="CS412" s="2"/>
      <c r="CT412" s="2"/>
      <c r="CU412" s="2"/>
      <c r="CV412" s="2"/>
      <c r="CW412" s="2"/>
      <c r="CX412" s="2"/>
      <c r="CY412" s="2"/>
      <c r="CZ412" s="2"/>
      <c r="DA412" s="2"/>
      <c r="DB412" s="2"/>
      <c r="DC412" s="2"/>
      <c r="DD412" s="2"/>
      <c r="DE412" s="2"/>
      <c r="DF412" s="2"/>
      <c r="DG412" s="2"/>
      <c r="DH412" s="2"/>
      <c r="DI412" s="2"/>
      <c r="DJ412" s="2"/>
      <c r="DK412" s="2"/>
      <c r="DL412" s="2"/>
      <c r="DM412" s="2"/>
      <c r="DN412" s="2"/>
      <c r="DO412" s="2"/>
      <c r="DP412" s="2"/>
      <c r="DQ412" s="2"/>
      <c r="DR412" s="2"/>
      <c r="DS412" s="2"/>
      <c r="DT412" s="2"/>
      <c r="DU412" s="2"/>
      <c r="DV412" s="2"/>
      <c r="DW412" s="2"/>
      <c r="DX412" s="2"/>
      <c r="DY412" s="2"/>
      <c r="DZ412" s="2"/>
      <c r="EA412" s="2"/>
      <c r="EB412" s="2"/>
      <c r="EC412" s="2"/>
      <c r="ED412" s="2"/>
      <c r="EE412" s="2"/>
      <c r="EF412" s="2"/>
      <c r="EG412" s="2"/>
      <c r="EH412" s="2"/>
      <c r="EI412" s="2"/>
      <c r="EJ412" s="2"/>
      <c r="EK412" s="2"/>
      <c r="EL412" s="2"/>
      <c r="EM412" s="2"/>
      <c r="EN412" s="2"/>
      <c r="EO412" s="2"/>
      <c r="EP412" s="2"/>
      <c r="EQ412" s="2"/>
      <c r="ER412" s="2"/>
      <c r="ES412" s="2"/>
      <c r="ET412" s="2"/>
      <c r="EU412" s="2"/>
      <c r="EV412" s="2"/>
      <c r="EW412" s="2"/>
      <c r="EX412" s="2"/>
      <c r="EY412" s="2"/>
      <c r="EZ412" s="2"/>
      <c r="FA412" s="2"/>
      <c r="FB412" s="2"/>
      <c r="FC412" s="2"/>
      <c r="FD412" s="2"/>
      <c r="FE412" s="2"/>
      <c r="FF412" s="2"/>
      <c r="FG412" s="2"/>
      <c r="FH412" s="2"/>
      <c r="FI412" s="2"/>
      <c r="FJ412" s="2"/>
      <c r="FK412" s="2"/>
      <c r="FL412" s="2"/>
      <c r="FM412" s="2"/>
      <c r="FN412" s="2"/>
      <c r="FO412" s="2"/>
      <c r="FP412" s="2"/>
      <c r="FQ412" s="2"/>
      <c r="FR412" s="2"/>
      <c r="FS412" s="2"/>
      <c r="FT412" s="2"/>
      <c r="FU412" s="2"/>
      <c r="FV412" s="2"/>
      <c r="FW412" s="2"/>
      <c r="FX412" s="2"/>
      <c r="FY412" s="2"/>
      <c r="FZ412" s="2"/>
      <c r="GA412" s="2"/>
      <c r="GB412" s="2"/>
      <c r="GC412" s="2"/>
      <c r="GD412" s="2"/>
      <c r="GE412" s="2"/>
      <c r="GF412" s="2"/>
      <c r="GG412" s="2"/>
      <c r="GH412" s="2"/>
      <c r="GI412" s="2"/>
      <c r="GJ412" s="2"/>
      <c r="GK412" s="2"/>
      <c r="GL412" s="2"/>
      <c r="GM412" s="2"/>
      <c r="GN412" s="2"/>
      <c r="GO412" s="2"/>
      <c r="GP412" s="2"/>
      <c r="GQ412" s="2"/>
      <c r="GR412" s="2"/>
      <c r="GS412" s="2"/>
      <c r="GT412" s="2"/>
      <c r="GU412" s="2"/>
      <c r="GV412" s="2"/>
      <c r="GW412" s="2"/>
      <c r="GX412" s="2"/>
      <c r="GY412" s="2"/>
      <c r="GZ412" s="2"/>
      <c r="HA412" s="2"/>
      <c r="HB412" s="2"/>
      <c r="HC412" s="2"/>
      <c r="HD412" s="2"/>
      <c r="HE412" s="2"/>
      <c r="HF412" s="2"/>
      <c r="HG412" s="2"/>
      <c r="HH412" s="2"/>
      <c r="HI412" s="2"/>
      <c r="HJ412" s="2"/>
      <c r="HK412" s="2"/>
      <c r="HL412" s="2"/>
      <c r="HM412" s="2"/>
      <c r="HN412" s="2"/>
      <c r="HO412" s="2"/>
      <c r="HP412" s="2"/>
      <c r="HQ412" s="2"/>
      <c r="HR412" s="2"/>
      <c r="HS412" s="2"/>
      <c r="HT412" s="2"/>
      <c r="HU412" s="2"/>
      <c r="HV412" s="2"/>
      <c r="HW412" s="2"/>
      <c r="HX412" s="2"/>
      <c r="HY412" s="2"/>
      <c r="HZ412" s="2"/>
      <c r="IA412" s="2"/>
      <c r="IB412" s="2"/>
      <c r="IC412" s="2"/>
    </row>
    <row r="413" spans="1:237" x14ac:dyDescent="0.2">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c r="AA413" s="2"/>
      <c r="AB413" s="2"/>
      <c r="AC413" s="2"/>
      <c r="AD413" s="2"/>
      <c r="AE413" s="2"/>
      <c r="AF413" s="2"/>
      <c r="AG413" s="2"/>
      <c r="AH413" s="2"/>
      <c r="AI413" s="2"/>
      <c r="AJ413" s="2"/>
      <c r="AK413" s="2"/>
      <c r="AL413" s="2"/>
      <c r="AM413" s="2"/>
      <c r="AN413" s="2"/>
      <c r="AO413" s="2"/>
      <c r="AP413" s="2"/>
      <c r="AQ413" s="2"/>
      <c r="AR413" s="2"/>
      <c r="AS413" s="2"/>
      <c r="AT413" s="2"/>
      <c r="AU413" s="2"/>
      <c r="AV413" s="2"/>
      <c r="AW413" s="2"/>
      <c r="AX413" s="2"/>
      <c r="AY413" s="2"/>
      <c r="AZ413" s="2"/>
      <c r="BA413" s="2"/>
      <c r="BB413" s="2"/>
      <c r="BC413" s="2"/>
      <c r="BD413" s="2"/>
      <c r="BE413" s="2"/>
      <c r="BF413" s="2"/>
      <c r="BG413" s="2"/>
      <c r="BH413" s="2"/>
      <c r="BI413" s="2"/>
      <c r="BJ413" s="2"/>
      <c r="BK413" s="2"/>
      <c r="BL413" s="2"/>
      <c r="BM413" s="2"/>
      <c r="BN413" s="2"/>
      <c r="BO413" s="2"/>
      <c r="BP413" s="2"/>
      <c r="BQ413" s="2"/>
      <c r="BR413" s="2"/>
      <c r="BS413" s="2"/>
      <c r="BT413" s="2"/>
      <c r="BU413" s="2"/>
      <c r="BV413" s="2"/>
      <c r="BW413" s="2"/>
      <c r="BX413" s="2"/>
      <c r="BY413" s="2"/>
      <c r="BZ413" s="2"/>
      <c r="CA413" s="2"/>
      <c r="CB413" s="2"/>
      <c r="CC413" s="2"/>
      <c r="CD413" s="2"/>
      <c r="CE413" s="2"/>
      <c r="CF413" s="2"/>
      <c r="CG413" s="2"/>
      <c r="CH413" s="2"/>
      <c r="CI413" s="2"/>
      <c r="CJ413" s="2"/>
      <c r="CK413" s="2"/>
      <c r="CL413" s="2"/>
      <c r="CM413" s="2"/>
      <c r="CN413" s="2"/>
      <c r="CO413" s="2"/>
      <c r="CP413" s="2"/>
      <c r="CQ413" s="2"/>
      <c r="CR413" s="2"/>
      <c r="CS413" s="2"/>
      <c r="CT413" s="2"/>
      <c r="CU413" s="2"/>
      <c r="CV413" s="2"/>
      <c r="CW413" s="2"/>
      <c r="CX413" s="2"/>
      <c r="CY413" s="2"/>
      <c r="CZ413" s="2"/>
      <c r="DA413" s="2"/>
      <c r="DB413" s="2"/>
      <c r="DC413" s="2"/>
      <c r="DD413" s="2"/>
      <c r="DE413" s="2"/>
      <c r="DF413" s="2"/>
      <c r="DG413" s="2"/>
      <c r="DH413" s="2"/>
      <c r="DI413" s="2"/>
      <c r="DJ413" s="2"/>
      <c r="DK413" s="2"/>
      <c r="DL413" s="2"/>
      <c r="DM413" s="2"/>
      <c r="DN413" s="2"/>
      <c r="DO413" s="2"/>
      <c r="DP413" s="2"/>
      <c r="DQ413" s="2"/>
      <c r="DR413" s="2"/>
      <c r="DS413" s="2"/>
      <c r="DT413" s="2"/>
      <c r="DU413" s="2"/>
      <c r="DV413" s="2"/>
      <c r="DW413" s="2"/>
      <c r="DX413" s="2"/>
      <c r="DY413" s="2"/>
      <c r="DZ413" s="2"/>
      <c r="EA413" s="2"/>
      <c r="EB413" s="2"/>
      <c r="EC413" s="2"/>
      <c r="ED413" s="2"/>
      <c r="EE413" s="2"/>
      <c r="EF413" s="2"/>
      <c r="EG413" s="2"/>
      <c r="EH413" s="2"/>
      <c r="EI413" s="2"/>
      <c r="EJ413" s="2"/>
      <c r="EK413" s="2"/>
      <c r="EL413" s="2"/>
      <c r="EM413" s="2"/>
      <c r="EN413" s="2"/>
      <c r="EO413" s="2"/>
      <c r="EP413" s="2"/>
      <c r="EQ413" s="2"/>
      <c r="ER413" s="2"/>
      <c r="ES413" s="2"/>
      <c r="ET413" s="2"/>
      <c r="EU413" s="2"/>
      <c r="EV413" s="2"/>
      <c r="EW413" s="2"/>
      <c r="EX413" s="2"/>
      <c r="EY413" s="2"/>
      <c r="EZ413" s="2"/>
      <c r="FA413" s="2"/>
      <c r="FB413" s="2"/>
      <c r="FC413" s="2"/>
      <c r="FD413" s="2"/>
      <c r="FE413" s="2"/>
      <c r="FF413" s="2"/>
      <c r="FG413" s="2"/>
      <c r="FH413" s="2"/>
      <c r="FI413" s="2"/>
      <c r="FJ413" s="2"/>
      <c r="FK413" s="2"/>
      <c r="FL413" s="2"/>
      <c r="FM413" s="2"/>
      <c r="FN413" s="2"/>
      <c r="FO413" s="2"/>
      <c r="FP413" s="2"/>
      <c r="FQ413" s="2"/>
      <c r="FR413" s="2"/>
      <c r="FS413" s="2"/>
      <c r="FT413" s="2"/>
      <c r="FU413" s="2"/>
      <c r="FV413" s="2"/>
      <c r="FW413" s="2"/>
      <c r="FX413" s="2"/>
      <c r="FY413" s="2"/>
      <c r="FZ413" s="2"/>
      <c r="GA413" s="2"/>
      <c r="GB413" s="2"/>
      <c r="GC413" s="2"/>
      <c r="GD413" s="2"/>
      <c r="GE413" s="2"/>
      <c r="GF413" s="2"/>
      <c r="GG413" s="2"/>
      <c r="GH413" s="2"/>
      <c r="GI413" s="2"/>
      <c r="GJ413" s="2"/>
      <c r="GK413" s="2"/>
      <c r="GL413" s="2"/>
      <c r="GM413" s="2"/>
      <c r="GN413" s="2"/>
      <c r="GO413" s="2"/>
      <c r="GP413" s="2"/>
      <c r="GQ413" s="2"/>
      <c r="GR413" s="2"/>
      <c r="GS413" s="2"/>
      <c r="GT413" s="2"/>
      <c r="GU413" s="2"/>
      <c r="GV413" s="2"/>
      <c r="GW413" s="2"/>
      <c r="GX413" s="2"/>
      <c r="GY413" s="2"/>
      <c r="GZ413" s="2"/>
      <c r="HA413" s="2"/>
      <c r="HB413" s="2"/>
      <c r="HC413" s="2"/>
      <c r="HD413" s="2"/>
      <c r="HE413" s="2"/>
      <c r="HF413" s="2"/>
      <c r="HG413" s="2"/>
      <c r="HH413" s="2"/>
      <c r="HI413" s="2"/>
      <c r="HJ413" s="2"/>
      <c r="HK413" s="2"/>
      <c r="HL413" s="2"/>
      <c r="HM413" s="2"/>
      <c r="HN413" s="2"/>
      <c r="HO413" s="2"/>
      <c r="HP413" s="2"/>
      <c r="HQ413" s="2"/>
      <c r="HR413" s="2"/>
      <c r="HS413" s="2"/>
      <c r="HT413" s="2"/>
      <c r="HU413" s="2"/>
      <c r="HV413" s="2"/>
      <c r="HW413" s="2"/>
      <c r="HX413" s="2"/>
      <c r="HY413" s="2"/>
      <c r="HZ413" s="2"/>
      <c r="IA413" s="2"/>
      <c r="IB413" s="2"/>
      <c r="IC413" s="2"/>
    </row>
    <row r="414" spans="1:237" x14ac:dyDescent="0.2">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c r="AA414" s="2"/>
      <c r="AB414" s="2"/>
      <c r="AC414" s="2"/>
      <c r="AD414" s="2"/>
      <c r="AE414" s="2"/>
      <c r="AF414" s="2"/>
      <c r="AG414" s="2"/>
      <c r="AH414" s="2"/>
      <c r="AI414" s="2"/>
      <c r="AJ414" s="2"/>
      <c r="AK414" s="2"/>
      <c r="AL414" s="2"/>
      <c r="AM414" s="2"/>
      <c r="AN414" s="2"/>
      <c r="AO414" s="2"/>
      <c r="AP414" s="2"/>
      <c r="AQ414" s="2"/>
      <c r="AR414" s="2"/>
      <c r="AS414" s="2"/>
      <c r="AT414" s="2"/>
      <c r="AU414" s="2"/>
      <c r="AV414" s="2"/>
      <c r="AW414" s="2"/>
      <c r="AX414" s="2"/>
      <c r="AY414" s="2"/>
      <c r="AZ414" s="2"/>
      <c r="BA414" s="2"/>
      <c r="BB414" s="2"/>
      <c r="BC414" s="2"/>
      <c r="BD414" s="2"/>
      <c r="BE414" s="2"/>
      <c r="BF414" s="2"/>
      <c r="BG414" s="2"/>
      <c r="BH414" s="2"/>
      <c r="BI414" s="2"/>
      <c r="BJ414" s="2"/>
      <c r="BK414" s="2"/>
      <c r="BL414" s="2"/>
      <c r="BM414" s="2"/>
      <c r="BN414" s="2"/>
      <c r="BO414" s="2"/>
      <c r="BP414" s="2"/>
      <c r="BQ414" s="2"/>
      <c r="BR414" s="2"/>
      <c r="BS414" s="2"/>
      <c r="BT414" s="2"/>
      <c r="BU414" s="2"/>
      <c r="BV414" s="2"/>
      <c r="BW414" s="2"/>
      <c r="BX414" s="2"/>
      <c r="BY414" s="2"/>
      <c r="BZ414" s="2"/>
      <c r="CA414" s="2"/>
      <c r="CB414" s="2"/>
      <c r="CC414" s="2"/>
      <c r="CD414" s="2"/>
      <c r="CE414" s="2"/>
      <c r="CF414" s="2"/>
      <c r="CG414" s="2"/>
      <c r="CH414" s="2"/>
      <c r="CI414" s="2"/>
      <c r="CJ414" s="2"/>
      <c r="CK414" s="2"/>
      <c r="CL414" s="2"/>
      <c r="CM414" s="2"/>
      <c r="CN414" s="2"/>
      <c r="CO414" s="2"/>
      <c r="CP414" s="2"/>
      <c r="CQ414" s="2"/>
      <c r="CR414" s="2"/>
      <c r="CS414" s="2"/>
      <c r="CT414" s="2"/>
      <c r="CU414" s="2"/>
      <c r="CV414" s="2"/>
      <c r="CW414" s="2"/>
      <c r="CX414" s="2"/>
      <c r="CY414" s="2"/>
      <c r="CZ414" s="2"/>
      <c r="DA414" s="2"/>
      <c r="DB414" s="2"/>
      <c r="DC414" s="2"/>
      <c r="DD414" s="2"/>
      <c r="DE414" s="2"/>
      <c r="DF414" s="2"/>
      <c r="DG414" s="2"/>
      <c r="DH414" s="2"/>
      <c r="DI414" s="2"/>
      <c r="DJ414" s="2"/>
      <c r="DK414" s="2"/>
      <c r="DL414" s="2"/>
      <c r="DM414" s="2"/>
      <c r="DN414" s="2"/>
      <c r="DO414" s="2"/>
      <c r="DP414" s="2"/>
      <c r="DQ414" s="2"/>
      <c r="DR414" s="2"/>
      <c r="DS414" s="2"/>
      <c r="DT414" s="2"/>
      <c r="DU414" s="2"/>
      <c r="DV414" s="2"/>
      <c r="DW414" s="2"/>
      <c r="DX414" s="2"/>
      <c r="DY414" s="2"/>
      <c r="DZ414" s="2"/>
      <c r="EA414" s="2"/>
      <c r="EB414" s="2"/>
      <c r="EC414" s="2"/>
      <c r="ED414" s="2"/>
      <c r="EE414" s="2"/>
      <c r="EF414" s="2"/>
      <c r="EG414" s="2"/>
      <c r="EH414" s="2"/>
      <c r="EI414" s="2"/>
      <c r="EJ414" s="2"/>
      <c r="EK414" s="2"/>
      <c r="EL414" s="2"/>
      <c r="EM414" s="2"/>
      <c r="EN414" s="2"/>
      <c r="EO414" s="2"/>
      <c r="EP414" s="2"/>
      <c r="EQ414" s="2"/>
      <c r="ER414" s="2"/>
      <c r="ES414" s="2"/>
      <c r="ET414" s="2"/>
      <c r="EU414" s="2"/>
      <c r="EV414" s="2"/>
      <c r="EW414" s="2"/>
      <c r="EX414" s="2"/>
      <c r="EY414" s="2"/>
      <c r="EZ414" s="2"/>
      <c r="FA414" s="2"/>
      <c r="FB414" s="2"/>
      <c r="FC414" s="2"/>
      <c r="FD414" s="2"/>
      <c r="FE414" s="2"/>
      <c r="FF414" s="2"/>
      <c r="FG414" s="2"/>
      <c r="FH414" s="2"/>
      <c r="FI414" s="2"/>
      <c r="FJ414" s="2"/>
      <c r="FK414" s="2"/>
      <c r="FL414" s="2"/>
      <c r="FM414" s="2"/>
      <c r="FN414" s="2"/>
      <c r="FO414" s="2"/>
      <c r="FP414" s="2"/>
      <c r="FQ414" s="2"/>
      <c r="FR414" s="2"/>
      <c r="FS414" s="2"/>
      <c r="FT414" s="2"/>
      <c r="FU414" s="2"/>
      <c r="FV414" s="2"/>
      <c r="FW414" s="2"/>
      <c r="FX414" s="2"/>
      <c r="FY414" s="2"/>
      <c r="FZ414" s="2"/>
      <c r="GA414" s="2"/>
      <c r="GB414" s="2"/>
      <c r="GC414" s="2"/>
      <c r="GD414" s="2"/>
      <c r="GE414" s="2"/>
      <c r="GF414" s="2"/>
      <c r="GG414" s="2"/>
      <c r="GH414" s="2"/>
      <c r="GI414" s="2"/>
      <c r="GJ414" s="2"/>
      <c r="GK414" s="2"/>
      <c r="GL414" s="2"/>
      <c r="GM414" s="2"/>
      <c r="GN414" s="2"/>
      <c r="GO414" s="2"/>
      <c r="GP414" s="2"/>
      <c r="GQ414" s="2"/>
      <c r="GR414" s="2"/>
      <c r="GS414" s="2"/>
      <c r="GT414" s="2"/>
      <c r="GU414" s="2"/>
      <c r="GV414" s="2"/>
      <c r="GW414" s="2"/>
      <c r="GX414" s="2"/>
      <c r="GY414" s="2"/>
      <c r="GZ414" s="2"/>
      <c r="HA414" s="2"/>
      <c r="HB414" s="2"/>
      <c r="HC414" s="2"/>
      <c r="HD414" s="2"/>
      <c r="HE414" s="2"/>
      <c r="HF414" s="2"/>
      <c r="HG414" s="2"/>
      <c r="HH414" s="2"/>
      <c r="HI414" s="2"/>
      <c r="HJ414" s="2"/>
      <c r="HK414" s="2"/>
      <c r="HL414" s="2"/>
      <c r="HM414" s="2"/>
      <c r="HN414" s="2"/>
      <c r="HO414" s="2"/>
      <c r="HP414" s="2"/>
      <c r="HQ414" s="2"/>
      <c r="HR414" s="2"/>
      <c r="HS414" s="2"/>
      <c r="HT414" s="2"/>
      <c r="HU414" s="2"/>
      <c r="HV414" s="2"/>
      <c r="HW414" s="2"/>
      <c r="HX414" s="2"/>
      <c r="HY414" s="2"/>
      <c r="HZ414" s="2"/>
      <c r="IA414" s="2"/>
      <c r="IB414" s="2"/>
      <c r="IC414" s="2"/>
    </row>
    <row r="415" spans="1:237" x14ac:dyDescent="0.2">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c r="AB415" s="2"/>
      <c r="AC415" s="2"/>
      <c r="AD415" s="2"/>
      <c r="AE415" s="2"/>
      <c r="AF415" s="2"/>
      <c r="AG415" s="2"/>
      <c r="AH415" s="2"/>
      <c r="AI415" s="2"/>
      <c r="AJ415" s="2"/>
      <c r="AK415" s="2"/>
      <c r="AL415" s="2"/>
      <c r="AM415" s="2"/>
      <c r="AN415" s="2"/>
      <c r="AO415" s="2"/>
      <c r="AP415" s="2"/>
      <c r="AQ415" s="2"/>
      <c r="AR415" s="2"/>
      <c r="AS415" s="2"/>
      <c r="AT415" s="2"/>
      <c r="AU415" s="2"/>
      <c r="AV415" s="2"/>
      <c r="AW415" s="2"/>
      <c r="AX415" s="2"/>
      <c r="AY415" s="2"/>
      <c r="AZ415" s="2"/>
      <c r="BA415" s="2"/>
      <c r="BB415" s="2"/>
      <c r="BC415" s="2"/>
      <c r="BD415" s="2"/>
      <c r="BE415" s="2"/>
      <c r="BF415" s="2"/>
      <c r="BG415" s="2"/>
      <c r="BH415" s="2"/>
      <c r="BI415" s="2"/>
      <c r="BJ415" s="2"/>
      <c r="BK415" s="2"/>
      <c r="BL415" s="2"/>
      <c r="BM415" s="2"/>
      <c r="BN415" s="2"/>
      <c r="BO415" s="2"/>
      <c r="BP415" s="2"/>
      <c r="BQ415" s="2"/>
      <c r="BR415" s="2"/>
      <c r="BS415" s="2"/>
      <c r="BT415" s="2"/>
      <c r="BU415" s="2"/>
      <c r="BV415" s="2"/>
      <c r="BW415" s="2"/>
      <c r="BX415" s="2"/>
      <c r="BY415" s="2"/>
      <c r="BZ415" s="2"/>
      <c r="CA415" s="2"/>
      <c r="CB415" s="2"/>
      <c r="CC415" s="2"/>
      <c r="CD415" s="2"/>
      <c r="CE415" s="2"/>
      <c r="CF415" s="2"/>
      <c r="CG415" s="2"/>
      <c r="CH415" s="2"/>
      <c r="CI415" s="2"/>
      <c r="CJ415" s="2"/>
      <c r="CK415" s="2"/>
      <c r="CL415" s="2"/>
      <c r="CM415" s="2"/>
      <c r="CN415" s="2"/>
      <c r="CO415" s="2"/>
      <c r="CP415" s="2"/>
      <c r="CQ415" s="2"/>
      <c r="CR415" s="2"/>
      <c r="CS415" s="2"/>
      <c r="CT415" s="2"/>
      <c r="CU415" s="2"/>
      <c r="CV415" s="2"/>
      <c r="CW415" s="2"/>
      <c r="CX415" s="2"/>
      <c r="CY415" s="2"/>
      <c r="CZ415" s="2"/>
      <c r="DA415" s="2"/>
      <c r="DB415" s="2"/>
      <c r="DC415" s="2"/>
      <c r="DD415" s="2"/>
      <c r="DE415" s="2"/>
      <c r="DF415" s="2"/>
      <c r="DG415" s="2"/>
      <c r="DH415" s="2"/>
      <c r="DI415" s="2"/>
      <c r="DJ415" s="2"/>
      <c r="DK415" s="2"/>
      <c r="DL415" s="2"/>
      <c r="DM415" s="2"/>
      <c r="DN415" s="2"/>
      <c r="DO415" s="2"/>
      <c r="DP415" s="2"/>
      <c r="DQ415" s="2"/>
      <c r="DR415" s="2"/>
      <c r="DS415" s="2"/>
      <c r="DT415" s="2"/>
      <c r="DU415" s="2"/>
      <c r="DV415" s="2"/>
      <c r="DW415" s="2"/>
      <c r="DX415" s="2"/>
      <c r="DY415" s="2"/>
      <c r="DZ415" s="2"/>
      <c r="EA415" s="2"/>
      <c r="EB415" s="2"/>
      <c r="EC415" s="2"/>
      <c r="ED415" s="2"/>
      <c r="EE415" s="2"/>
      <c r="EF415" s="2"/>
      <c r="EG415" s="2"/>
      <c r="EH415" s="2"/>
      <c r="EI415" s="2"/>
      <c r="EJ415" s="2"/>
      <c r="EK415" s="2"/>
      <c r="EL415" s="2"/>
      <c r="EM415" s="2"/>
      <c r="EN415" s="2"/>
      <c r="EO415" s="2"/>
      <c r="EP415" s="2"/>
      <c r="EQ415" s="2"/>
      <c r="ER415" s="2"/>
      <c r="ES415" s="2"/>
      <c r="ET415" s="2"/>
      <c r="EU415" s="2"/>
      <c r="EV415" s="2"/>
      <c r="EW415" s="2"/>
      <c r="EX415" s="2"/>
      <c r="EY415" s="2"/>
      <c r="EZ415" s="2"/>
      <c r="FA415" s="2"/>
      <c r="FB415" s="2"/>
      <c r="FC415" s="2"/>
      <c r="FD415" s="2"/>
      <c r="FE415" s="2"/>
      <c r="FF415" s="2"/>
      <c r="FG415" s="2"/>
      <c r="FH415" s="2"/>
      <c r="FI415" s="2"/>
      <c r="FJ415" s="2"/>
      <c r="FK415" s="2"/>
      <c r="FL415" s="2"/>
      <c r="FM415" s="2"/>
      <c r="FN415" s="2"/>
      <c r="FO415" s="2"/>
      <c r="FP415" s="2"/>
      <c r="FQ415" s="2"/>
      <c r="FR415" s="2"/>
      <c r="FS415" s="2"/>
      <c r="FT415" s="2"/>
      <c r="FU415" s="2"/>
      <c r="FV415" s="2"/>
      <c r="FW415" s="2"/>
      <c r="FX415" s="2"/>
      <c r="FY415" s="2"/>
      <c r="FZ415" s="2"/>
      <c r="GA415" s="2"/>
      <c r="GB415" s="2"/>
      <c r="GC415" s="2"/>
      <c r="GD415" s="2"/>
      <c r="GE415" s="2"/>
      <c r="GF415" s="2"/>
      <c r="GG415" s="2"/>
      <c r="GH415" s="2"/>
      <c r="GI415" s="2"/>
      <c r="GJ415" s="2"/>
      <c r="GK415" s="2"/>
      <c r="GL415" s="2"/>
      <c r="GM415" s="2"/>
      <c r="GN415" s="2"/>
      <c r="GO415" s="2"/>
      <c r="GP415" s="2"/>
      <c r="GQ415" s="2"/>
      <c r="GR415" s="2"/>
      <c r="GS415" s="2"/>
      <c r="GT415" s="2"/>
      <c r="GU415" s="2"/>
      <c r="GV415" s="2"/>
      <c r="GW415" s="2"/>
      <c r="GX415" s="2"/>
      <c r="GY415" s="2"/>
      <c r="GZ415" s="2"/>
      <c r="HA415" s="2"/>
      <c r="HB415" s="2"/>
      <c r="HC415" s="2"/>
      <c r="HD415" s="2"/>
      <c r="HE415" s="2"/>
      <c r="HF415" s="2"/>
      <c r="HG415" s="2"/>
      <c r="HH415" s="2"/>
      <c r="HI415" s="2"/>
      <c r="HJ415" s="2"/>
      <c r="HK415" s="2"/>
      <c r="HL415" s="2"/>
      <c r="HM415" s="2"/>
      <c r="HN415" s="2"/>
      <c r="HO415" s="2"/>
      <c r="HP415" s="2"/>
      <c r="HQ415" s="2"/>
      <c r="HR415" s="2"/>
      <c r="HS415" s="2"/>
      <c r="HT415" s="2"/>
      <c r="HU415" s="2"/>
      <c r="HV415" s="2"/>
      <c r="HW415" s="2"/>
      <c r="HX415" s="2"/>
      <c r="HY415" s="2"/>
      <c r="HZ415" s="2"/>
      <c r="IA415" s="2"/>
      <c r="IB415" s="2"/>
      <c r="IC415" s="2"/>
    </row>
    <row r="416" spans="1:237" x14ac:dyDescent="0.2">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c r="AB416" s="2"/>
      <c r="AC416" s="2"/>
      <c r="AD416" s="2"/>
      <c r="AE416" s="2"/>
      <c r="AF416" s="2"/>
      <c r="AG416" s="2"/>
      <c r="AH416" s="2"/>
      <c r="AI416" s="2"/>
      <c r="AJ416" s="2"/>
      <c r="AK416" s="2"/>
      <c r="AL416" s="2"/>
      <c r="AM416" s="2"/>
      <c r="AN416" s="2"/>
      <c r="AO416" s="2"/>
      <c r="AP416" s="2"/>
      <c r="AQ416" s="2"/>
      <c r="AR416" s="2"/>
      <c r="AS416" s="2"/>
      <c r="AT416" s="2"/>
      <c r="AU416" s="2"/>
      <c r="AV416" s="2"/>
      <c r="AW416" s="2"/>
      <c r="AX416" s="2"/>
      <c r="AY416" s="2"/>
      <c r="AZ416" s="2"/>
      <c r="BA416" s="2"/>
      <c r="BB416" s="2"/>
      <c r="BC416" s="2"/>
      <c r="BD416" s="2"/>
      <c r="BE416" s="2"/>
      <c r="BF416" s="2"/>
      <c r="BG416" s="2"/>
      <c r="BH416" s="2"/>
      <c r="BI416" s="2"/>
      <c r="BJ416" s="2"/>
      <c r="BK416" s="2"/>
      <c r="BL416" s="2"/>
      <c r="BM416" s="2"/>
      <c r="BN416" s="2"/>
      <c r="BO416" s="2"/>
      <c r="BP416" s="2"/>
      <c r="BQ416" s="2"/>
      <c r="BR416" s="2"/>
      <c r="BS416" s="2"/>
      <c r="BT416" s="2"/>
      <c r="BU416" s="2"/>
      <c r="BV416" s="2"/>
      <c r="BW416" s="2"/>
      <c r="BX416" s="2"/>
      <c r="BY416" s="2"/>
      <c r="BZ416" s="2"/>
      <c r="CA416" s="2"/>
      <c r="CB416" s="2"/>
      <c r="CC416" s="2"/>
      <c r="CD416" s="2"/>
      <c r="CE416" s="2"/>
      <c r="CF416" s="2"/>
      <c r="CG416" s="2"/>
      <c r="CH416" s="2"/>
      <c r="CI416" s="2"/>
      <c r="CJ416" s="2"/>
      <c r="CK416" s="2"/>
      <c r="CL416" s="2"/>
      <c r="CM416" s="2"/>
      <c r="CN416" s="2"/>
      <c r="CO416" s="2"/>
      <c r="CP416" s="2"/>
      <c r="CQ416" s="2"/>
      <c r="CR416" s="2"/>
      <c r="CS416" s="2"/>
      <c r="CT416" s="2"/>
      <c r="CU416" s="2"/>
      <c r="CV416" s="2"/>
      <c r="CW416" s="2"/>
      <c r="CX416" s="2"/>
      <c r="CY416" s="2"/>
      <c r="CZ416" s="2"/>
      <c r="DA416" s="2"/>
      <c r="DB416" s="2"/>
      <c r="DC416" s="2"/>
      <c r="DD416" s="2"/>
      <c r="DE416" s="2"/>
      <c r="DF416" s="2"/>
      <c r="DG416" s="2"/>
      <c r="DH416" s="2"/>
      <c r="DI416" s="2"/>
      <c r="DJ416" s="2"/>
      <c r="DK416" s="2"/>
      <c r="DL416" s="2"/>
      <c r="DM416" s="2"/>
      <c r="DN416" s="2"/>
      <c r="DO416" s="2"/>
      <c r="DP416" s="2"/>
      <c r="DQ416" s="2"/>
      <c r="DR416" s="2"/>
      <c r="DS416" s="2"/>
      <c r="DT416" s="2"/>
      <c r="DU416" s="2"/>
      <c r="DV416" s="2"/>
      <c r="DW416" s="2"/>
      <c r="DX416" s="2"/>
      <c r="DY416" s="2"/>
      <c r="DZ416" s="2"/>
      <c r="EA416" s="2"/>
      <c r="EB416" s="2"/>
      <c r="EC416" s="2"/>
      <c r="ED416" s="2"/>
      <c r="EE416" s="2"/>
      <c r="EF416" s="2"/>
      <c r="EG416" s="2"/>
      <c r="EH416" s="2"/>
      <c r="EI416" s="2"/>
      <c r="EJ416" s="2"/>
      <c r="EK416" s="2"/>
      <c r="EL416" s="2"/>
      <c r="EM416" s="2"/>
      <c r="EN416" s="2"/>
      <c r="EO416" s="2"/>
      <c r="EP416" s="2"/>
      <c r="EQ416" s="2"/>
      <c r="ER416" s="2"/>
      <c r="ES416" s="2"/>
      <c r="ET416" s="2"/>
      <c r="EU416" s="2"/>
      <c r="EV416" s="2"/>
      <c r="EW416" s="2"/>
      <c r="EX416" s="2"/>
      <c r="EY416" s="2"/>
      <c r="EZ416" s="2"/>
      <c r="FA416" s="2"/>
      <c r="FB416" s="2"/>
      <c r="FC416" s="2"/>
      <c r="FD416" s="2"/>
      <c r="FE416" s="2"/>
      <c r="FF416" s="2"/>
      <c r="FG416" s="2"/>
      <c r="FH416" s="2"/>
      <c r="FI416" s="2"/>
      <c r="FJ416" s="2"/>
      <c r="FK416" s="2"/>
      <c r="FL416" s="2"/>
      <c r="FM416" s="2"/>
      <c r="FN416" s="2"/>
      <c r="FO416" s="2"/>
      <c r="FP416" s="2"/>
      <c r="FQ416" s="2"/>
      <c r="FR416" s="2"/>
      <c r="FS416" s="2"/>
      <c r="FT416" s="2"/>
      <c r="FU416" s="2"/>
      <c r="FV416" s="2"/>
      <c r="FW416" s="2"/>
      <c r="FX416" s="2"/>
      <c r="FY416" s="2"/>
      <c r="FZ416" s="2"/>
      <c r="GA416" s="2"/>
      <c r="GB416" s="2"/>
      <c r="GC416" s="2"/>
      <c r="GD416" s="2"/>
      <c r="GE416" s="2"/>
      <c r="GF416" s="2"/>
      <c r="GG416" s="2"/>
      <c r="GH416" s="2"/>
      <c r="GI416" s="2"/>
      <c r="GJ416" s="2"/>
      <c r="GK416" s="2"/>
      <c r="GL416" s="2"/>
      <c r="GM416" s="2"/>
      <c r="GN416" s="2"/>
      <c r="GO416" s="2"/>
      <c r="GP416" s="2"/>
      <c r="GQ416" s="2"/>
      <c r="GR416" s="2"/>
      <c r="GS416" s="2"/>
      <c r="GT416" s="2"/>
      <c r="GU416" s="2"/>
      <c r="GV416" s="2"/>
      <c r="GW416" s="2"/>
      <c r="GX416" s="2"/>
      <c r="GY416" s="2"/>
      <c r="GZ416" s="2"/>
      <c r="HA416" s="2"/>
      <c r="HB416" s="2"/>
      <c r="HC416" s="2"/>
      <c r="HD416" s="2"/>
      <c r="HE416" s="2"/>
      <c r="HF416" s="2"/>
      <c r="HG416" s="2"/>
      <c r="HH416" s="2"/>
      <c r="HI416" s="2"/>
      <c r="HJ416" s="2"/>
      <c r="HK416" s="2"/>
      <c r="HL416" s="2"/>
      <c r="HM416" s="2"/>
      <c r="HN416" s="2"/>
      <c r="HO416" s="2"/>
      <c r="HP416" s="2"/>
      <c r="HQ416" s="2"/>
      <c r="HR416" s="2"/>
      <c r="HS416" s="2"/>
      <c r="HT416" s="2"/>
      <c r="HU416" s="2"/>
      <c r="HV416" s="2"/>
      <c r="HW416" s="2"/>
      <c r="HX416" s="2"/>
      <c r="HY416" s="2"/>
      <c r="HZ416" s="2"/>
      <c r="IA416" s="2"/>
      <c r="IB416" s="2"/>
      <c r="IC416" s="2"/>
    </row>
    <row r="417" spans="1:237" x14ac:dyDescent="0.2">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c r="AB417" s="2"/>
      <c r="AC417" s="2"/>
      <c r="AD417" s="2"/>
      <c r="AE417" s="2"/>
      <c r="AF417" s="2"/>
      <c r="AG417" s="2"/>
      <c r="AH417" s="2"/>
      <c r="AI417" s="2"/>
      <c r="AJ417" s="2"/>
      <c r="AK417" s="2"/>
      <c r="AL417" s="2"/>
      <c r="AM417" s="2"/>
      <c r="AN417" s="2"/>
      <c r="AO417" s="2"/>
      <c r="AP417" s="2"/>
      <c r="AQ417" s="2"/>
      <c r="AR417" s="2"/>
      <c r="AS417" s="2"/>
      <c r="AT417" s="2"/>
      <c r="AU417" s="2"/>
      <c r="AV417" s="2"/>
      <c r="AW417" s="2"/>
      <c r="AX417" s="2"/>
      <c r="AY417" s="2"/>
      <c r="AZ417" s="2"/>
      <c r="BA417" s="2"/>
      <c r="BB417" s="2"/>
      <c r="BC417" s="2"/>
      <c r="BD417" s="2"/>
      <c r="BE417" s="2"/>
      <c r="BF417" s="2"/>
      <c r="BG417" s="2"/>
      <c r="BH417" s="2"/>
      <c r="BI417" s="2"/>
      <c r="BJ417" s="2"/>
      <c r="BK417" s="2"/>
      <c r="BL417" s="2"/>
      <c r="BM417" s="2"/>
      <c r="BN417" s="2"/>
      <c r="BO417" s="2"/>
      <c r="BP417" s="2"/>
      <c r="BQ417" s="2"/>
      <c r="BR417" s="2"/>
      <c r="BS417" s="2"/>
      <c r="BT417" s="2"/>
      <c r="BU417" s="2"/>
      <c r="BV417" s="2"/>
      <c r="BW417" s="2"/>
      <c r="BX417" s="2"/>
      <c r="BY417" s="2"/>
      <c r="BZ417" s="2"/>
      <c r="CA417" s="2"/>
      <c r="CB417" s="2"/>
      <c r="CC417" s="2"/>
      <c r="CD417" s="2"/>
      <c r="CE417" s="2"/>
      <c r="CF417" s="2"/>
      <c r="CG417" s="2"/>
      <c r="CH417" s="2"/>
      <c r="CI417" s="2"/>
      <c r="CJ417" s="2"/>
      <c r="CK417" s="2"/>
      <c r="CL417" s="2"/>
      <c r="CM417" s="2"/>
      <c r="CN417" s="2"/>
      <c r="CO417" s="2"/>
      <c r="CP417" s="2"/>
      <c r="CQ417" s="2"/>
      <c r="CR417" s="2"/>
      <c r="CS417" s="2"/>
      <c r="CT417" s="2"/>
      <c r="CU417" s="2"/>
      <c r="CV417" s="2"/>
      <c r="CW417" s="2"/>
      <c r="CX417" s="2"/>
      <c r="CY417" s="2"/>
      <c r="CZ417" s="2"/>
      <c r="DA417" s="2"/>
      <c r="DB417" s="2"/>
      <c r="DC417" s="2"/>
      <c r="DD417" s="2"/>
      <c r="DE417" s="2"/>
      <c r="DF417" s="2"/>
      <c r="DG417" s="2"/>
      <c r="DH417" s="2"/>
      <c r="DI417" s="2"/>
      <c r="DJ417" s="2"/>
      <c r="DK417" s="2"/>
      <c r="DL417" s="2"/>
      <c r="DM417" s="2"/>
      <c r="DN417" s="2"/>
      <c r="DO417" s="2"/>
      <c r="DP417" s="2"/>
      <c r="DQ417" s="2"/>
      <c r="DR417" s="2"/>
      <c r="DS417" s="2"/>
      <c r="DT417" s="2"/>
      <c r="DU417" s="2"/>
      <c r="DV417" s="2"/>
      <c r="DW417" s="2"/>
      <c r="DX417" s="2"/>
      <c r="DY417" s="2"/>
      <c r="DZ417" s="2"/>
      <c r="EA417" s="2"/>
      <c r="EB417" s="2"/>
      <c r="EC417" s="2"/>
      <c r="ED417" s="2"/>
      <c r="EE417" s="2"/>
      <c r="EF417" s="2"/>
      <c r="EG417" s="2"/>
      <c r="EH417" s="2"/>
      <c r="EI417" s="2"/>
      <c r="EJ417" s="2"/>
      <c r="EK417" s="2"/>
      <c r="EL417" s="2"/>
      <c r="EM417" s="2"/>
      <c r="EN417" s="2"/>
      <c r="EO417" s="2"/>
      <c r="EP417" s="2"/>
      <c r="EQ417" s="2"/>
      <c r="ER417" s="2"/>
      <c r="ES417" s="2"/>
      <c r="ET417" s="2"/>
      <c r="EU417" s="2"/>
      <c r="EV417" s="2"/>
      <c r="EW417" s="2"/>
      <c r="EX417" s="2"/>
      <c r="EY417" s="2"/>
      <c r="EZ417" s="2"/>
      <c r="FA417" s="2"/>
      <c r="FB417" s="2"/>
      <c r="FC417" s="2"/>
      <c r="FD417" s="2"/>
      <c r="FE417" s="2"/>
      <c r="FF417" s="2"/>
      <c r="FG417" s="2"/>
      <c r="FH417" s="2"/>
      <c r="FI417" s="2"/>
      <c r="FJ417" s="2"/>
      <c r="FK417" s="2"/>
      <c r="FL417" s="2"/>
      <c r="FM417" s="2"/>
      <c r="FN417" s="2"/>
      <c r="FO417" s="2"/>
      <c r="FP417" s="2"/>
      <c r="FQ417" s="2"/>
      <c r="FR417" s="2"/>
      <c r="FS417" s="2"/>
      <c r="FT417" s="2"/>
      <c r="FU417" s="2"/>
      <c r="FV417" s="2"/>
      <c r="FW417" s="2"/>
      <c r="FX417" s="2"/>
      <c r="FY417" s="2"/>
      <c r="FZ417" s="2"/>
      <c r="GA417" s="2"/>
      <c r="GB417" s="2"/>
      <c r="GC417" s="2"/>
      <c r="GD417" s="2"/>
      <c r="GE417" s="2"/>
      <c r="GF417" s="2"/>
      <c r="GG417" s="2"/>
      <c r="GH417" s="2"/>
      <c r="GI417" s="2"/>
      <c r="GJ417" s="2"/>
      <c r="GK417" s="2"/>
      <c r="GL417" s="2"/>
      <c r="GM417" s="2"/>
      <c r="GN417" s="2"/>
      <c r="GO417" s="2"/>
      <c r="GP417" s="2"/>
      <c r="GQ417" s="2"/>
      <c r="GR417" s="2"/>
      <c r="GS417" s="2"/>
      <c r="GT417" s="2"/>
      <c r="GU417" s="2"/>
      <c r="GV417" s="2"/>
      <c r="GW417" s="2"/>
      <c r="GX417" s="2"/>
      <c r="GY417" s="2"/>
      <c r="GZ417" s="2"/>
      <c r="HA417" s="2"/>
      <c r="HB417" s="2"/>
      <c r="HC417" s="2"/>
      <c r="HD417" s="2"/>
      <c r="HE417" s="2"/>
      <c r="HF417" s="2"/>
      <c r="HG417" s="2"/>
      <c r="HH417" s="2"/>
      <c r="HI417" s="2"/>
      <c r="HJ417" s="2"/>
      <c r="HK417" s="2"/>
      <c r="HL417" s="2"/>
      <c r="HM417" s="2"/>
      <c r="HN417" s="2"/>
      <c r="HO417" s="2"/>
      <c r="HP417" s="2"/>
      <c r="HQ417" s="2"/>
      <c r="HR417" s="2"/>
      <c r="HS417" s="2"/>
      <c r="HT417" s="2"/>
      <c r="HU417" s="2"/>
      <c r="HV417" s="2"/>
      <c r="HW417" s="2"/>
      <c r="HX417" s="2"/>
      <c r="HY417" s="2"/>
      <c r="HZ417" s="2"/>
      <c r="IA417" s="2"/>
      <c r="IB417" s="2"/>
      <c r="IC417" s="2"/>
    </row>
    <row r="418" spans="1:237" x14ac:dyDescent="0.2">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c r="AB418" s="2"/>
      <c r="AC418" s="2"/>
      <c r="AD418" s="2"/>
      <c r="AE418" s="2"/>
      <c r="AF418" s="2"/>
      <c r="AG418" s="2"/>
      <c r="AH418" s="2"/>
      <c r="AI418" s="2"/>
      <c r="AJ418" s="2"/>
      <c r="AK418" s="2"/>
      <c r="AL418" s="2"/>
      <c r="AM418" s="2"/>
      <c r="AN418" s="2"/>
      <c r="AO418" s="2"/>
      <c r="AP418" s="2"/>
      <c r="AQ418" s="2"/>
      <c r="AR418" s="2"/>
      <c r="AS418" s="2"/>
      <c r="AT418" s="2"/>
      <c r="AU418" s="2"/>
      <c r="AV418" s="2"/>
      <c r="AW418" s="2"/>
      <c r="AX418" s="2"/>
      <c r="AY418" s="2"/>
      <c r="AZ418" s="2"/>
      <c r="BA418" s="2"/>
      <c r="BB418" s="2"/>
      <c r="BC418" s="2"/>
      <c r="BD418" s="2"/>
      <c r="BE418" s="2"/>
      <c r="BF418" s="2"/>
      <c r="BG418" s="2"/>
      <c r="BH418" s="2"/>
      <c r="BI418" s="2"/>
      <c r="BJ418" s="2"/>
      <c r="BK418" s="2"/>
      <c r="BL418" s="2"/>
      <c r="BM418" s="2"/>
      <c r="BN418" s="2"/>
      <c r="BO418" s="2"/>
      <c r="BP418" s="2"/>
      <c r="BQ418" s="2"/>
      <c r="BR418" s="2"/>
      <c r="BS418" s="2"/>
      <c r="BT418" s="2"/>
      <c r="BU418" s="2"/>
      <c r="BV418" s="2"/>
      <c r="BW418" s="2"/>
      <c r="BX418" s="2"/>
      <c r="BY418" s="2"/>
      <c r="BZ418" s="2"/>
      <c r="CA418" s="2"/>
      <c r="CB418" s="2"/>
      <c r="CC418" s="2"/>
      <c r="CD418" s="2"/>
      <c r="CE418" s="2"/>
      <c r="CF418" s="2"/>
      <c r="CG418" s="2"/>
      <c r="CH418" s="2"/>
      <c r="CI418" s="2"/>
      <c r="CJ418" s="2"/>
      <c r="CK418" s="2"/>
      <c r="CL418" s="2"/>
      <c r="CM418" s="2"/>
      <c r="CN418" s="2"/>
      <c r="CO418" s="2"/>
      <c r="CP418" s="2"/>
      <c r="CQ418" s="2"/>
      <c r="CR418" s="2"/>
      <c r="CS418" s="2"/>
      <c r="CT418" s="2"/>
      <c r="CU418" s="2"/>
      <c r="CV418" s="2"/>
      <c r="CW418" s="2"/>
      <c r="CX418" s="2"/>
      <c r="CY418" s="2"/>
      <c r="CZ418" s="2"/>
      <c r="DA418" s="2"/>
      <c r="DB418" s="2"/>
      <c r="DC418" s="2"/>
      <c r="DD418" s="2"/>
      <c r="DE418" s="2"/>
      <c r="DF418" s="2"/>
      <c r="DG418" s="2"/>
      <c r="DH418" s="2"/>
      <c r="DI418" s="2"/>
      <c r="DJ418" s="2"/>
      <c r="DK418" s="2"/>
      <c r="DL418" s="2"/>
      <c r="DM418" s="2"/>
      <c r="DN418" s="2"/>
      <c r="DO418" s="2"/>
      <c r="DP418" s="2"/>
      <c r="DQ418" s="2"/>
      <c r="DR418" s="2"/>
      <c r="DS418" s="2"/>
      <c r="DT418" s="2"/>
      <c r="DU418" s="2"/>
      <c r="DV418" s="2"/>
      <c r="DW418" s="2"/>
      <c r="DX418" s="2"/>
      <c r="DY418" s="2"/>
      <c r="DZ418" s="2"/>
      <c r="EA418" s="2"/>
      <c r="EB418" s="2"/>
      <c r="EC418" s="2"/>
      <c r="ED418" s="2"/>
      <c r="EE418" s="2"/>
      <c r="EF418" s="2"/>
      <c r="EG418" s="2"/>
      <c r="EH418" s="2"/>
      <c r="EI418" s="2"/>
      <c r="EJ418" s="2"/>
      <c r="EK418" s="2"/>
      <c r="EL418" s="2"/>
      <c r="EM418" s="2"/>
      <c r="EN418" s="2"/>
      <c r="EO418" s="2"/>
      <c r="EP418" s="2"/>
      <c r="EQ418" s="2"/>
      <c r="ER418" s="2"/>
      <c r="ES418" s="2"/>
      <c r="ET418" s="2"/>
      <c r="EU418" s="2"/>
      <c r="EV418" s="2"/>
      <c r="EW418" s="2"/>
      <c r="EX418" s="2"/>
      <c r="EY418" s="2"/>
      <c r="EZ418" s="2"/>
      <c r="FA418" s="2"/>
      <c r="FB418" s="2"/>
      <c r="FC418" s="2"/>
      <c r="FD418" s="2"/>
      <c r="FE418" s="2"/>
      <c r="FF418" s="2"/>
      <c r="FG418" s="2"/>
      <c r="FH418" s="2"/>
      <c r="FI418" s="2"/>
      <c r="FJ418" s="2"/>
      <c r="FK418" s="2"/>
      <c r="FL418" s="2"/>
      <c r="FM418" s="2"/>
      <c r="FN418" s="2"/>
      <c r="FO418" s="2"/>
      <c r="FP418" s="2"/>
      <c r="FQ418" s="2"/>
      <c r="FR418" s="2"/>
      <c r="FS418" s="2"/>
      <c r="FT418" s="2"/>
      <c r="FU418" s="2"/>
      <c r="FV418" s="2"/>
      <c r="FW418" s="2"/>
      <c r="FX418" s="2"/>
      <c r="FY418" s="2"/>
      <c r="FZ418" s="2"/>
      <c r="GA418" s="2"/>
      <c r="GB418" s="2"/>
      <c r="GC418" s="2"/>
      <c r="GD418" s="2"/>
      <c r="GE418" s="2"/>
      <c r="GF418" s="2"/>
      <c r="GG418" s="2"/>
      <c r="GH418" s="2"/>
      <c r="GI418" s="2"/>
      <c r="GJ418" s="2"/>
      <c r="GK418" s="2"/>
      <c r="GL418" s="2"/>
      <c r="GM418" s="2"/>
      <c r="GN418" s="2"/>
      <c r="GO418" s="2"/>
      <c r="GP418" s="2"/>
      <c r="GQ418" s="2"/>
      <c r="GR418" s="2"/>
      <c r="GS418" s="2"/>
      <c r="GT418" s="2"/>
      <c r="GU418" s="2"/>
      <c r="GV418" s="2"/>
      <c r="GW418" s="2"/>
      <c r="GX418" s="2"/>
      <c r="GY418" s="2"/>
      <c r="GZ418" s="2"/>
      <c r="HA418" s="2"/>
      <c r="HB418" s="2"/>
      <c r="HC418" s="2"/>
      <c r="HD418" s="2"/>
      <c r="HE418" s="2"/>
      <c r="HF418" s="2"/>
      <c r="HG418" s="2"/>
      <c r="HH418" s="2"/>
      <c r="HI418" s="2"/>
      <c r="HJ418" s="2"/>
      <c r="HK418" s="2"/>
      <c r="HL418" s="2"/>
      <c r="HM418" s="2"/>
      <c r="HN418" s="2"/>
      <c r="HO418" s="2"/>
      <c r="HP418" s="2"/>
      <c r="HQ418" s="2"/>
      <c r="HR418" s="2"/>
      <c r="HS418" s="2"/>
      <c r="HT418" s="2"/>
      <c r="HU418" s="2"/>
      <c r="HV418" s="2"/>
      <c r="HW418" s="2"/>
      <c r="HX418" s="2"/>
      <c r="HY418" s="2"/>
      <c r="HZ418" s="2"/>
      <c r="IA418" s="2"/>
      <c r="IB418" s="2"/>
      <c r="IC418" s="2"/>
    </row>
    <row r="419" spans="1:237" x14ac:dyDescent="0.2">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c r="AB419" s="2"/>
      <c r="AC419" s="2"/>
      <c r="AD419" s="2"/>
      <c r="AE419" s="2"/>
      <c r="AF419" s="2"/>
      <c r="AG419" s="2"/>
      <c r="AH419" s="2"/>
      <c r="AI419" s="2"/>
      <c r="AJ419" s="2"/>
      <c r="AK419" s="2"/>
      <c r="AL419" s="2"/>
      <c r="AM419" s="2"/>
      <c r="AN419" s="2"/>
      <c r="AO419" s="2"/>
      <c r="AP419" s="2"/>
      <c r="AQ419" s="2"/>
      <c r="AR419" s="2"/>
      <c r="AS419" s="2"/>
      <c r="AT419" s="2"/>
      <c r="AU419" s="2"/>
      <c r="AV419" s="2"/>
      <c r="AW419" s="2"/>
      <c r="AX419" s="2"/>
      <c r="AY419" s="2"/>
      <c r="AZ419" s="2"/>
      <c r="BA419" s="2"/>
      <c r="BB419" s="2"/>
      <c r="BC419" s="2"/>
      <c r="BD419" s="2"/>
      <c r="BE419" s="2"/>
      <c r="BF419" s="2"/>
      <c r="BG419" s="2"/>
      <c r="BH419" s="2"/>
      <c r="BI419" s="2"/>
      <c r="BJ419" s="2"/>
      <c r="BK419" s="2"/>
      <c r="BL419" s="2"/>
      <c r="BM419" s="2"/>
      <c r="BN419" s="2"/>
      <c r="BO419" s="2"/>
      <c r="BP419" s="2"/>
      <c r="BQ419" s="2"/>
      <c r="BR419" s="2"/>
      <c r="BS419" s="2"/>
      <c r="BT419" s="2"/>
      <c r="BU419" s="2"/>
      <c r="BV419" s="2"/>
      <c r="BW419" s="2"/>
      <c r="BX419" s="2"/>
      <c r="BY419" s="2"/>
      <c r="BZ419" s="2"/>
      <c r="CA419" s="2"/>
      <c r="CB419" s="2"/>
      <c r="CC419" s="2"/>
      <c r="CD419" s="2"/>
      <c r="CE419" s="2"/>
      <c r="CF419" s="2"/>
      <c r="CG419" s="2"/>
      <c r="CH419" s="2"/>
      <c r="CI419" s="2"/>
      <c r="CJ419" s="2"/>
      <c r="CK419" s="2"/>
      <c r="CL419" s="2"/>
      <c r="CM419" s="2"/>
      <c r="CN419" s="2"/>
      <c r="CO419" s="2"/>
      <c r="CP419" s="2"/>
      <c r="CQ419" s="2"/>
      <c r="CR419" s="2"/>
      <c r="CS419" s="2"/>
      <c r="CT419" s="2"/>
      <c r="CU419" s="2"/>
      <c r="CV419" s="2"/>
      <c r="CW419" s="2"/>
      <c r="CX419" s="2"/>
      <c r="CY419" s="2"/>
      <c r="CZ419" s="2"/>
      <c r="DA419" s="2"/>
      <c r="DB419" s="2"/>
      <c r="DC419" s="2"/>
      <c r="DD419" s="2"/>
      <c r="DE419" s="2"/>
      <c r="DF419" s="2"/>
      <c r="DG419" s="2"/>
      <c r="DH419" s="2"/>
      <c r="DI419" s="2"/>
      <c r="DJ419" s="2"/>
      <c r="DK419" s="2"/>
      <c r="DL419" s="2"/>
      <c r="DM419" s="2"/>
      <c r="DN419" s="2"/>
      <c r="DO419" s="2"/>
      <c r="DP419" s="2"/>
      <c r="DQ419" s="2"/>
      <c r="DR419" s="2"/>
      <c r="DS419" s="2"/>
      <c r="DT419" s="2"/>
      <c r="DU419" s="2"/>
      <c r="DV419" s="2"/>
      <c r="DW419" s="2"/>
      <c r="DX419" s="2"/>
      <c r="DY419" s="2"/>
      <c r="DZ419" s="2"/>
      <c r="EA419" s="2"/>
      <c r="EB419" s="2"/>
      <c r="EC419" s="2"/>
      <c r="ED419" s="2"/>
      <c r="EE419" s="2"/>
      <c r="EF419" s="2"/>
      <c r="EG419" s="2"/>
      <c r="EH419" s="2"/>
      <c r="EI419" s="2"/>
      <c r="EJ419" s="2"/>
      <c r="EK419" s="2"/>
      <c r="EL419" s="2"/>
      <c r="EM419" s="2"/>
      <c r="EN419" s="2"/>
      <c r="EO419" s="2"/>
      <c r="EP419" s="2"/>
      <c r="EQ419" s="2"/>
      <c r="ER419" s="2"/>
      <c r="ES419" s="2"/>
      <c r="ET419" s="2"/>
      <c r="EU419" s="2"/>
      <c r="EV419" s="2"/>
      <c r="EW419" s="2"/>
      <c r="EX419" s="2"/>
      <c r="EY419" s="2"/>
      <c r="EZ419" s="2"/>
      <c r="FA419" s="2"/>
      <c r="FB419" s="2"/>
      <c r="FC419" s="2"/>
      <c r="FD419" s="2"/>
      <c r="FE419" s="2"/>
      <c r="FF419" s="2"/>
      <c r="FG419" s="2"/>
      <c r="FH419" s="2"/>
      <c r="FI419" s="2"/>
      <c r="FJ419" s="2"/>
      <c r="FK419" s="2"/>
      <c r="FL419" s="2"/>
      <c r="FM419" s="2"/>
      <c r="FN419" s="2"/>
      <c r="FO419" s="2"/>
      <c r="FP419" s="2"/>
      <c r="FQ419" s="2"/>
      <c r="FR419" s="2"/>
      <c r="FS419" s="2"/>
      <c r="FT419" s="2"/>
      <c r="FU419" s="2"/>
      <c r="FV419" s="2"/>
      <c r="FW419" s="2"/>
      <c r="FX419" s="2"/>
      <c r="FY419" s="2"/>
      <c r="FZ419" s="2"/>
      <c r="GA419" s="2"/>
      <c r="GB419" s="2"/>
      <c r="GC419" s="2"/>
      <c r="GD419" s="2"/>
      <c r="GE419" s="2"/>
      <c r="GF419" s="2"/>
      <c r="GG419" s="2"/>
      <c r="GH419" s="2"/>
      <c r="GI419" s="2"/>
      <c r="GJ419" s="2"/>
      <c r="GK419" s="2"/>
      <c r="GL419" s="2"/>
      <c r="GM419" s="2"/>
      <c r="GN419" s="2"/>
      <c r="GO419" s="2"/>
      <c r="GP419" s="2"/>
      <c r="GQ419" s="2"/>
      <c r="GR419" s="2"/>
      <c r="GS419" s="2"/>
      <c r="GT419" s="2"/>
      <c r="GU419" s="2"/>
      <c r="GV419" s="2"/>
      <c r="GW419" s="2"/>
      <c r="GX419" s="2"/>
      <c r="GY419" s="2"/>
      <c r="GZ419" s="2"/>
      <c r="HA419" s="2"/>
      <c r="HB419" s="2"/>
      <c r="HC419" s="2"/>
      <c r="HD419" s="2"/>
      <c r="HE419" s="2"/>
      <c r="HF419" s="2"/>
      <c r="HG419" s="2"/>
      <c r="HH419" s="2"/>
      <c r="HI419" s="2"/>
      <c r="HJ419" s="2"/>
      <c r="HK419" s="2"/>
      <c r="HL419" s="2"/>
      <c r="HM419" s="2"/>
      <c r="HN419" s="2"/>
      <c r="HO419" s="2"/>
      <c r="HP419" s="2"/>
      <c r="HQ419" s="2"/>
      <c r="HR419" s="2"/>
      <c r="HS419" s="2"/>
      <c r="HT419" s="2"/>
      <c r="HU419" s="2"/>
      <c r="HV419" s="2"/>
      <c r="HW419" s="2"/>
      <c r="HX419" s="2"/>
      <c r="HY419" s="2"/>
      <c r="HZ419" s="2"/>
      <c r="IA419" s="2"/>
      <c r="IB419" s="2"/>
      <c r="IC419" s="2"/>
    </row>
    <row r="420" spans="1:237" x14ac:dyDescent="0.2">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c r="AB420" s="2"/>
      <c r="AC420" s="2"/>
      <c r="AD420" s="2"/>
      <c r="AE420" s="2"/>
      <c r="AF420" s="2"/>
      <c r="AG420" s="2"/>
      <c r="AH420" s="2"/>
      <c r="AI420" s="2"/>
      <c r="AJ420" s="2"/>
      <c r="AK420" s="2"/>
      <c r="AL420" s="2"/>
      <c r="AM420" s="2"/>
      <c r="AN420" s="2"/>
      <c r="AO420" s="2"/>
      <c r="AP420" s="2"/>
      <c r="AQ420" s="2"/>
      <c r="AR420" s="2"/>
      <c r="AS420" s="2"/>
      <c r="AT420" s="2"/>
      <c r="AU420" s="2"/>
      <c r="AV420" s="2"/>
      <c r="AW420" s="2"/>
      <c r="AX420" s="2"/>
      <c r="AY420" s="2"/>
      <c r="AZ420" s="2"/>
      <c r="BA420" s="2"/>
      <c r="BB420" s="2"/>
      <c r="BC420" s="2"/>
      <c r="BD420" s="2"/>
      <c r="BE420" s="2"/>
      <c r="BF420" s="2"/>
      <c r="BG420" s="2"/>
      <c r="BH420" s="2"/>
      <c r="BI420" s="2"/>
      <c r="BJ420" s="2"/>
      <c r="BK420" s="2"/>
      <c r="BL420" s="2"/>
      <c r="BM420" s="2"/>
      <c r="BN420" s="2"/>
      <c r="BO420" s="2"/>
      <c r="BP420" s="2"/>
      <c r="BQ420" s="2"/>
      <c r="BR420" s="2"/>
      <c r="BS420" s="2"/>
      <c r="BT420" s="2"/>
      <c r="BU420" s="2"/>
      <c r="BV420" s="2"/>
      <c r="BW420" s="2"/>
      <c r="BX420" s="2"/>
      <c r="BY420" s="2"/>
      <c r="BZ420" s="2"/>
      <c r="CA420" s="2"/>
      <c r="CB420" s="2"/>
      <c r="CC420" s="2"/>
      <c r="CD420" s="2"/>
      <c r="CE420" s="2"/>
      <c r="CF420" s="2"/>
      <c r="CG420" s="2"/>
      <c r="CH420" s="2"/>
      <c r="CI420" s="2"/>
      <c r="CJ420" s="2"/>
      <c r="CK420" s="2"/>
      <c r="CL420" s="2"/>
      <c r="CM420" s="2"/>
      <c r="CN420" s="2"/>
      <c r="CO420" s="2"/>
      <c r="CP420" s="2"/>
      <c r="CQ420" s="2"/>
      <c r="CR420" s="2"/>
      <c r="CS420" s="2"/>
      <c r="CT420" s="2"/>
      <c r="CU420" s="2"/>
      <c r="CV420" s="2"/>
      <c r="CW420" s="2"/>
      <c r="CX420" s="2"/>
      <c r="CY420" s="2"/>
      <c r="CZ420" s="2"/>
      <c r="DA420" s="2"/>
      <c r="DB420" s="2"/>
      <c r="DC420" s="2"/>
      <c r="DD420" s="2"/>
      <c r="DE420" s="2"/>
      <c r="DF420" s="2"/>
      <c r="DG420" s="2"/>
      <c r="DH420" s="2"/>
      <c r="DI420" s="2"/>
      <c r="DJ420" s="2"/>
      <c r="DK420" s="2"/>
      <c r="DL420" s="2"/>
      <c r="DM420" s="2"/>
      <c r="DN420" s="2"/>
      <c r="DO420" s="2"/>
      <c r="DP420" s="2"/>
      <c r="DQ420" s="2"/>
      <c r="DR420" s="2"/>
      <c r="DS420" s="2"/>
      <c r="DT420" s="2"/>
      <c r="DU420" s="2"/>
      <c r="DV420" s="2"/>
      <c r="DW420" s="2"/>
      <c r="DX420" s="2"/>
      <c r="DY420" s="2"/>
      <c r="DZ420" s="2"/>
      <c r="EA420" s="2"/>
      <c r="EB420" s="2"/>
      <c r="EC420" s="2"/>
      <c r="ED420" s="2"/>
      <c r="EE420" s="2"/>
      <c r="EF420" s="2"/>
      <c r="EG420" s="2"/>
      <c r="EH420" s="2"/>
      <c r="EI420" s="2"/>
      <c r="EJ420" s="2"/>
      <c r="EK420" s="2"/>
      <c r="EL420" s="2"/>
      <c r="EM420" s="2"/>
      <c r="EN420" s="2"/>
      <c r="EO420" s="2"/>
      <c r="EP420" s="2"/>
      <c r="EQ420" s="2"/>
      <c r="ER420" s="2"/>
      <c r="ES420" s="2"/>
      <c r="ET420" s="2"/>
      <c r="EU420" s="2"/>
      <c r="EV420" s="2"/>
      <c r="EW420" s="2"/>
      <c r="EX420" s="2"/>
      <c r="EY420" s="2"/>
      <c r="EZ420" s="2"/>
      <c r="FA420" s="2"/>
      <c r="FB420" s="2"/>
      <c r="FC420" s="2"/>
      <c r="FD420" s="2"/>
      <c r="FE420" s="2"/>
      <c r="FF420" s="2"/>
      <c r="FG420" s="2"/>
      <c r="FH420" s="2"/>
      <c r="FI420" s="2"/>
      <c r="FJ420" s="2"/>
      <c r="FK420" s="2"/>
      <c r="FL420" s="2"/>
      <c r="FM420" s="2"/>
      <c r="FN420" s="2"/>
      <c r="FO420" s="2"/>
      <c r="FP420" s="2"/>
      <c r="FQ420" s="2"/>
      <c r="FR420" s="2"/>
      <c r="FS420" s="2"/>
      <c r="FT420" s="2"/>
      <c r="FU420" s="2"/>
      <c r="FV420" s="2"/>
      <c r="FW420" s="2"/>
      <c r="FX420" s="2"/>
      <c r="FY420" s="2"/>
      <c r="FZ420" s="2"/>
      <c r="GA420" s="2"/>
      <c r="GB420" s="2"/>
      <c r="GC420" s="2"/>
      <c r="GD420" s="2"/>
      <c r="GE420" s="2"/>
      <c r="GF420" s="2"/>
      <c r="GG420" s="2"/>
      <c r="GH420" s="2"/>
      <c r="GI420" s="2"/>
      <c r="GJ420" s="2"/>
      <c r="GK420" s="2"/>
      <c r="GL420" s="2"/>
      <c r="GM420" s="2"/>
      <c r="GN420" s="2"/>
      <c r="GO420" s="2"/>
      <c r="GP420" s="2"/>
      <c r="GQ420" s="2"/>
      <c r="GR420" s="2"/>
      <c r="GS420" s="2"/>
      <c r="GT420" s="2"/>
      <c r="GU420" s="2"/>
      <c r="GV420" s="2"/>
      <c r="GW420" s="2"/>
      <c r="GX420" s="2"/>
      <c r="GY420" s="2"/>
      <c r="GZ420" s="2"/>
      <c r="HA420" s="2"/>
      <c r="HB420" s="2"/>
      <c r="HC420" s="2"/>
      <c r="HD420" s="2"/>
      <c r="HE420" s="2"/>
      <c r="HF420" s="2"/>
      <c r="HG420" s="2"/>
      <c r="HH420" s="2"/>
      <c r="HI420" s="2"/>
      <c r="HJ420" s="2"/>
      <c r="HK420" s="2"/>
      <c r="HL420" s="2"/>
      <c r="HM420" s="2"/>
      <c r="HN420" s="2"/>
      <c r="HO420" s="2"/>
      <c r="HP420" s="2"/>
      <c r="HQ420" s="2"/>
      <c r="HR420" s="2"/>
      <c r="HS420" s="2"/>
      <c r="HT420" s="2"/>
      <c r="HU420" s="2"/>
      <c r="HV420" s="2"/>
      <c r="HW420" s="2"/>
      <c r="HX420" s="2"/>
      <c r="HY420" s="2"/>
      <c r="HZ420" s="2"/>
      <c r="IA420" s="2"/>
      <c r="IB420" s="2"/>
      <c r="IC420" s="2"/>
    </row>
    <row r="421" spans="1:237" x14ac:dyDescent="0.2">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c r="AB421" s="2"/>
      <c r="AC421" s="2"/>
      <c r="AD421" s="2"/>
      <c r="AE421" s="2"/>
      <c r="AF421" s="2"/>
      <c r="AG421" s="2"/>
      <c r="AH421" s="2"/>
      <c r="AI421" s="2"/>
      <c r="AJ421" s="2"/>
      <c r="AK421" s="2"/>
      <c r="AL421" s="2"/>
      <c r="AM421" s="2"/>
      <c r="AN421" s="2"/>
      <c r="AO421" s="2"/>
      <c r="AP421" s="2"/>
      <c r="AQ421" s="2"/>
      <c r="AR421" s="2"/>
      <c r="AS421" s="2"/>
      <c r="AT421" s="2"/>
      <c r="AU421" s="2"/>
      <c r="AV421" s="2"/>
      <c r="AW421" s="2"/>
      <c r="AX421" s="2"/>
      <c r="AY421" s="2"/>
      <c r="AZ421" s="2"/>
      <c r="BA421" s="2"/>
      <c r="BB421" s="2"/>
      <c r="BC421" s="2"/>
      <c r="BD421" s="2"/>
      <c r="BE421" s="2"/>
      <c r="BF421" s="2"/>
      <c r="BG421" s="2"/>
      <c r="BH421" s="2"/>
      <c r="BI421" s="2"/>
      <c r="BJ421" s="2"/>
      <c r="BK421" s="2"/>
      <c r="BL421" s="2"/>
      <c r="BM421" s="2"/>
      <c r="BN421" s="2"/>
      <c r="BO421" s="2"/>
      <c r="BP421" s="2"/>
      <c r="BQ421" s="2"/>
      <c r="BR421" s="2"/>
      <c r="BS421" s="2"/>
      <c r="BT421" s="2"/>
      <c r="BU421" s="2"/>
      <c r="BV421" s="2"/>
      <c r="BW421" s="2"/>
      <c r="BX421" s="2"/>
      <c r="BY421" s="2"/>
      <c r="BZ421" s="2"/>
      <c r="CA421" s="2"/>
      <c r="CB421" s="2"/>
      <c r="CC421" s="2"/>
      <c r="CD421" s="2"/>
      <c r="CE421" s="2"/>
      <c r="CF421" s="2"/>
      <c r="CG421" s="2"/>
      <c r="CH421" s="2"/>
      <c r="CI421" s="2"/>
      <c r="CJ421" s="2"/>
      <c r="CK421" s="2"/>
      <c r="CL421" s="2"/>
      <c r="CM421" s="2"/>
      <c r="CN421" s="2"/>
      <c r="CO421" s="2"/>
      <c r="CP421" s="2"/>
      <c r="CQ421" s="2"/>
      <c r="CR421" s="2"/>
      <c r="CS421" s="2"/>
      <c r="CT421" s="2"/>
      <c r="CU421" s="2"/>
      <c r="CV421" s="2"/>
      <c r="CW421" s="2"/>
      <c r="CX421" s="2"/>
      <c r="CY421" s="2"/>
      <c r="CZ421" s="2"/>
      <c r="DA421" s="2"/>
      <c r="DB421" s="2"/>
      <c r="DC421" s="2"/>
      <c r="DD421" s="2"/>
      <c r="DE421" s="2"/>
      <c r="DF421" s="2"/>
      <c r="DG421" s="2"/>
      <c r="DH421" s="2"/>
      <c r="DI421" s="2"/>
      <c r="DJ421" s="2"/>
      <c r="DK421" s="2"/>
      <c r="DL421" s="2"/>
      <c r="DM421" s="2"/>
      <c r="DN421" s="2"/>
      <c r="DO421" s="2"/>
      <c r="DP421" s="2"/>
      <c r="DQ421" s="2"/>
      <c r="DR421" s="2"/>
      <c r="DS421" s="2"/>
      <c r="DT421" s="2"/>
      <c r="DU421" s="2"/>
      <c r="DV421" s="2"/>
      <c r="DW421" s="2"/>
      <c r="DX421" s="2"/>
      <c r="DY421" s="2"/>
      <c r="DZ421" s="2"/>
      <c r="EA421" s="2"/>
      <c r="EB421" s="2"/>
      <c r="EC421" s="2"/>
      <c r="ED421" s="2"/>
      <c r="EE421" s="2"/>
      <c r="EF421" s="2"/>
      <c r="EG421" s="2"/>
      <c r="EH421" s="2"/>
      <c r="EI421" s="2"/>
      <c r="EJ421" s="2"/>
      <c r="EK421" s="2"/>
      <c r="EL421" s="2"/>
      <c r="EM421" s="2"/>
      <c r="EN421" s="2"/>
      <c r="EO421" s="2"/>
      <c r="EP421" s="2"/>
      <c r="EQ421" s="2"/>
      <c r="ER421" s="2"/>
      <c r="ES421" s="2"/>
      <c r="ET421" s="2"/>
      <c r="EU421" s="2"/>
      <c r="EV421" s="2"/>
      <c r="EW421" s="2"/>
      <c r="EX421" s="2"/>
      <c r="EY421" s="2"/>
      <c r="EZ421" s="2"/>
      <c r="FA421" s="2"/>
      <c r="FB421" s="2"/>
      <c r="FC421" s="2"/>
      <c r="FD421" s="2"/>
      <c r="FE421" s="2"/>
      <c r="FF421" s="2"/>
      <c r="FG421" s="2"/>
      <c r="FH421" s="2"/>
      <c r="FI421" s="2"/>
      <c r="FJ421" s="2"/>
      <c r="FK421" s="2"/>
      <c r="FL421" s="2"/>
      <c r="FM421" s="2"/>
      <c r="FN421" s="2"/>
      <c r="FO421" s="2"/>
      <c r="FP421" s="2"/>
      <c r="FQ421" s="2"/>
      <c r="FR421" s="2"/>
      <c r="FS421" s="2"/>
      <c r="FT421" s="2"/>
      <c r="FU421" s="2"/>
      <c r="FV421" s="2"/>
      <c r="FW421" s="2"/>
      <c r="FX421" s="2"/>
      <c r="FY421" s="2"/>
      <c r="FZ421" s="2"/>
      <c r="GA421" s="2"/>
      <c r="GB421" s="2"/>
      <c r="GC421" s="2"/>
      <c r="GD421" s="2"/>
      <c r="GE421" s="2"/>
      <c r="GF421" s="2"/>
      <c r="GG421" s="2"/>
      <c r="GH421" s="2"/>
      <c r="GI421" s="2"/>
      <c r="GJ421" s="2"/>
      <c r="GK421" s="2"/>
      <c r="GL421" s="2"/>
      <c r="GM421" s="2"/>
      <c r="GN421" s="2"/>
      <c r="GO421" s="2"/>
      <c r="GP421" s="2"/>
      <c r="GQ421" s="2"/>
      <c r="GR421" s="2"/>
      <c r="GS421" s="2"/>
      <c r="GT421" s="2"/>
      <c r="GU421" s="2"/>
      <c r="GV421" s="2"/>
      <c r="GW421" s="2"/>
      <c r="GX421" s="2"/>
      <c r="GY421" s="2"/>
      <c r="GZ421" s="2"/>
      <c r="HA421" s="2"/>
      <c r="HB421" s="2"/>
      <c r="HC421" s="2"/>
      <c r="HD421" s="2"/>
      <c r="HE421" s="2"/>
      <c r="HF421" s="2"/>
      <c r="HG421" s="2"/>
      <c r="HH421" s="2"/>
      <c r="HI421" s="2"/>
      <c r="HJ421" s="2"/>
      <c r="HK421" s="2"/>
      <c r="HL421" s="2"/>
      <c r="HM421" s="2"/>
      <c r="HN421" s="2"/>
      <c r="HO421" s="2"/>
      <c r="HP421" s="2"/>
      <c r="HQ421" s="2"/>
      <c r="HR421" s="2"/>
      <c r="HS421" s="2"/>
      <c r="HT421" s="2"/>
      <c r="HU421" s="2"/>
      <c r="HV421" s="2"/>
      <c r="HW421" s="2"/>
      <c r="HX421" s="2"/>
      <c r="HY421" s="2"/>
      <c r="HZ421" s="2"/>
      <c r="IA421" s="2"/>
      <c r="IB421" s="2"/>
      <c r="IC421" s="2"/>
    </row>
    <row r="422" spans="1:237" x14ac:dyDescent="0.2">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c r="AB422" s="2"/>
      <c r="AC422" s="2"/>
      <c r="AD422" s="2"/>
      <c r="AE422" s="2"/>
      <c r="AF422" s="2"/>
      <c r="AG422" s="2"/>
      <c r="AH422" s="2"/>
      <c r="AI422" s="2"/>
      <c r="AJ422" s="2"/>
      <c r="AK422" s="2"/>
      <c r="AL422" s="2"/>
      <c r="AM422" s="2"/>
      <c r="AN422" s="2"/>
      <c r="AO422" s="2"/>
      <c r="AP422" s="2"/>
      <c r="AQ422" s="2"/>
      <c r="AR422" s="2"/>
      <c r="AS422" s="2"/>
      <c r="AT422" s="2"/>
      <c r="AU422" s="2"/>
      <c r="AV422" s="2"/>
      <c r="AW422" s="2"/>
      <c r="AX422" s="2"/>
      <c r="AY422" s="2"/>
      <c r="AZ422" s="2"/>
      <c r="BA422" s="2"/>
      <c r="BB422" s="2"/>
      <c r="BC422" s="2"/>
      <c r="BD422" s="2"/>
      <c r="BE422" s="2"/>
      <c r="BF422" s="2"/>
      <c r="BG422" s="2"/>
      <c r="BH422" s="2"/>
      <c r="BI422" s="2"/>
      <c r="BJ422" s="2"/>
      <c r="BK422" s="2"/>
      <c r="BL422" s="2"/>
      <c r="BM422" s="2"/>
      <c r="BN422" s="2"/>
      <c r="BO422" s="2"/>
      <c r="BP422" s="2"/>
      <c r="BQ422" s="2"/>
      <c r="BR422" s="2"/>
      <c r="BS422" s="2"/>
      <c r="BT422" s="2"/>
      <c r="BU422" s="2"/>
      <c r="BV422" s="2"/>
      <c r="BW422" s="2"/>
      <c r="BX422" s="2"/>
      <c r="BY422" s="2"/>
      <c r="BZ422" s="2"/>
      <c r="CA422" s="2"/>
      <c r="CB422" s="2"/>
      <c r="CC422" s="2"/>
      <c r="CD422" s="2"/>
      <c r="CE422" s="2"/>
      <c r="CF422" s="2"/>
      <c r="CG422" s="2"/>
      <c r="CH422" s="2"/>
      <c r="CI422" s="2"/>
      <c r="CJ422" s="2"/>
      <c r="CK422" s="2"/>
      <c r="CL422" s="2"/>
      <c r="CM422" s="2"/>
      <c r="CN422" s="2"/>
      <c r="CO422" s="2"/>
      <c r="CP422" s="2"/>
      <c r="CQ422" s="2"/>
      <c r="CR422" s="2"/>
      <c r="CS422" s="2"/>
      <c r="CT422" s="2"/>
      <c r="CU422" s="2"/>
      <c r="CV422" s="2"/>
      <c r="CW422" s="2"/>
      <c r="CX422" s="2"/>
      <c r="CY422" s="2"/>
      <c r="CZ422" s="2"/>
      <c r="DA422" s="2"/>
      <c r="DB422" s="2"/>
      <c r="DC422" s="2"/>
      <c r="DD422" s="2"/>
      <c r="DE422" s="2"/>
      <c r="DF422" s="2"/>
      <c r="DG422" s="2"/>
      <c r="DH422" s="2"/>
      <c r="DI422" s="2"/>
      <c r="DJ422" s="2"/>
      <c r="DK422" s="2"/>
      <c r="DL422" s="2"/>
      <c r="DM422" s="2"/>
      <c r="DN422" s="2"/>
      <c r="DO422" s="2"/>
      <c r="DP422" s="2"/>
      <c r="DQ422" s="2"/>
      <c r="DR422" s="2"/>
      <c r="DS422" s="2"/>
      <c r="DT422" s="2"/>
      <c r="DU422" s="2"/>
      <c r="DV422" s="2"/>
      <c r="DW422" s="2"/>
      <c r="DX422" s="2"/>
      <c r="DY422" s="2"/>
      <c r="DZ422" s="2"/>
      <c r="EA422" s="2"/>
      <c r="EB422" s="2"/>
      <c r="EC422" s="2"/>
      <c r="ED422" s="2"/>
      <c r="EE422" s="2"/>
      <c r="EF422" s="2"/>
      <c r="EG422" s="2"/>
      <c r="EH422" s="2"/>
      <c r="EI422" s="2"/>
      <c r="EJ422" s="2"/>
      <c r="EK422" s="2"/>
      <c r="EL422" s="2"/>
      <c r="EM422" s="2"/>
      <c r="EN422" s="2"/>
      <c r="EO422" s="2"/>
      <c r="EP422" s="2"/>
      <c r="EQ422" s="2"/>
      <c r="ER422" s="2"/>
      <c r="ES422" s="2"/>
      <c r="ET422" s="2"/>
      <c r="EU422" s="2"/>
      <c r="EV422" s="2"/>
      <c r="EW422" s="2"/>
      <c r="EX422" s="2"/>
      <c r="EY422" s="2"/>
      <c r="EZ422" s="2"/>
      <c r="FA422" s="2"/>
      <c r="FB422" s="2"/>
      <c r="FC422" s="2"/>
      <c r="FD422" s="2"/>
      <c r="FE422" s="2"/>
      <c r="FF422" s="2"/>
      <c r="FG422" s="2"/>
      <c r="FH422" s="2"/>
      <c r="FI422" s="2"/>
      <c r="FJ422" s="2"/>
      <c r="FK422" s="2"/>
      <c r="FL422" s="2"/>
      <c r="FM422" s="2"/>
      <c r="FN422" s="2"/>
      <c r="FO422" s="2"/>
      <c r="FP422" s="2"/>
      <c r="FQ422" s="2"/>
      <c r="FR422" s="2"/>
      <c r="FS422" s="2"/>
      <c r="FT422" s="2"/>
      <c r="FU422" s="2"/>
      <c r="FV422" s="2"/>
      <c r="FW422" s="2"/>
      <c r="FX422" s="2"/>
      <c r="FY422" s="2"/>
      <c r="FZ422" s="2"/>
      <c r="GA422" s="2"/>
      <c r="GB422" s="2"/>
      <c r="GC422" s="2"/>
      <c r="GD422" s="2"/>
      <c r="GE422" s="2"/>
      <c r="GF422" s="2"/>
      <c r="GG422" s="2"/>
      <c r="GH422" s="2"/>
      <c r="GI422" s="2"/>
      <c r="GJ422" s="2"/>
      <c r="GK422" s="2"/>
      <c r="GL422" s="2"/>
      <c r="GM422" s="2"/>
      <c r="GN422" s="2"/>
      <c r="GO422" s="2"/>
      <c r="GP422" s="2"/>
      <c r="GQ422" s="2"/>
      <c r="GR422" s="2"/>
      <c r="GS422" s="2"/>
      <c r="GT422" s="2"/>
      <c r="GU422" s="2"/>
      <c r="GV422" s="2"/>
      <c r="GW422" s="2"/>
      <c r="GX422" s="2"/>
      <c r="GY422" s="2"/>
      <c r="GZ422" s="2"/>
      <c r="HA422" s="2"/>
      <c r="HB422" s="2"/>
      <c r="HC422" s="2"/>
      <c r="HD422" s="2"/>
      <c r="HE422" s="2"/>
      <c r="HF422" s="2"/>
      <c r="HG422" s="2"/>
      <c r="HH422" s="2"/>
      <c r="HI422" s="2"/>
      <c r="HJ422" s="2"/>
      <c r="HK422" s="2"/>
      <c r="HL422" s="2"/>
      <c r="HM422" s="2"/>
      <c r="HN422" s="2"/>
      <c r="HO422" s="2"/>
      <c r="HP422" s="2"/>
      <c r="HQ422" s="2"/>
      <c r="HR422" s="2"/>
      <c r="HS422" s="2"/>
      <c r="HT422" s="2"/>
      <c r="HU422" s="2"/>
      <c r="HV422" s="2"/>
      <c r="HW422" s="2"/>
      <c r="HX422" s="2"/>
      <c r="HY422" s="2"/>
      <c r="HZ422" s="2"/>
      <c r="IA422" s="2"/>
      <c r="IB422" s="2"/>
      <c r="IC422" s="2"/>
    </row>
    <row r="423" spans="1:237" x14ac:dyDescent="0.2">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c r="AB423" s="2"/>
      <c r="AC423" s="2"/>
      <c r="AD423" s="2"/>
      <c r="AE423" s="2"/>
      <c r="AF423" s="2"/>
      <c r="AG423" s="2"/>
      <c r="AH423" s="2"/>
      <c r="AI423" s="2"/>
      <c r="AJ423" s="2"/>
      <c r="AK423" s="2"/>
      <c r="AL423" s="2"/>
      <c r="AM423" s="2"/>
      <c r="AN423" s="2"/>
      <c r="AO423" s="2"/>
      <c r="AP423" s="2"/>
      <c r="AQ423" s="2"/>
      <c r="AR423" s="2"/>
      <c r="AS423" s="2"/>
      <c r="AT423" s="2"/>
      <c r="AU423" s="2"/>
      <c r="AV423" s="2"/>
      <c r="AW423" s="2"/>
      <c r="AX423" s="2"/>
      <c r="AY423" s="2"/>
      <c r="AZ423" s="2"/>
      <c r="BA423" s="2"/>
      <c r="BB423" s="2"/>
      <c r="BC423" s="2"/>
      <c r="BD423" s="2"/>
      <c r="BE423" s="2"/>
      <c r="BF423" s="2"/>
      <c r="BG423" s="2"/>
      <c r="BH423" s="2"/>
      <c r="BI423" s="2"/>
      <c r="BJ423" s="2"/>
      <c r="BK423" s="2"/>
      <c r="BL423" s="2"/>
      <c r="BM423" s="2"/>
      <c r="BN423" s="2"/>
      <c r="BO423" s="2"/>
      <c r="BP423" s="2"/>
      <c r="BQ423" s="2"/>
      <c r="BR423" s="2"/>
      <c r="BS423" s="2"/>
      <c r="BT423" s="2"/>
      <c r="BU423" s="2"/>
      <c r="BV423" s="2"/>
      <c r="BW423" s="2"/>
      <c r="BX423" s="2"/>
      <c r="BY423" s="2"/>
      <c r="BZ423" s="2"/>
      <c r="CA423" s="2"/>
      <c r="CB423" s="2"/>
      <c r="CC423" s="2"/>
      <c r="CD423" s="2"/>
      <c r="CE423" s="2"/>
      <c r="CF423" s="2"/>
      <c r="CG423" s="2"/>
      <c r="CH423" s="2"/>
      <c r="CI423" s="2"/>
      <c r="CJ423" s="2"/>
      <c r="CK423" s="2"/>
      <c r="CL423" s="2"/>
      <c r="CM423" s="2"/>
      <c r="CN423" s="2"/>
      <c r="CO423" s="2"/>
      <c r="CP423" s="2"/>
      <c r="CQ423" s="2"/>
      <c r="CR423" s="2"/>
      <c r="CS423" s="2"/>
      <c r="CT423" s="2"/>
      <c r="CU423" s="2"/>
      <c r="CV423" s="2"/>
      <c r="CW423" s="2"/>
      <c r="CX423" s="2"/>
      <c r="CY423" s="2"/>
      <c r="CZ423" s="2"/>
      <c r="DA423" s="2"/>
      <c r="DB423" s="2"/>
      <c r="DC423" s="2"/>
      <c r="DD423" s="2"/>
      <c r="DE423" s="2"/>
      <c r="DF423" s="2"/>
      <c r="DG423" s="2"/>
      <c r="DH423" s="2"/>
      <c r="DI423" s="2"/>
      <c r="DJ423" s="2"/>
      <c r="DK423" s="2"/>
      <c r="DL423" s="2"/>
      <c r="DM423" s="2"/>
      <c r="DN423" s="2"/>
      <c r="DO423" s="2"/>
      <c r="DP423" s="2"/>
      <c r="DQ423" s="2"/>
      <c r="DR423" s="2"/>
      <c r="DS423" s="2"/>
      <c r="DT423" s="2"/>
      <c r="DU423" s="2"/>
      <c r="DV423" s="2"/>
      <c r="DW423" s="2"/>
      <c r="DX423" s="2"/>
      <c r="DY423" s="2"/>
      <c r="DZ423" s="2"/>
      <c r="EA423" s="2"/>
      <c r="EB423" s="2"/>
      <c r="EC423" s="2"/>
      <c r="ED423" s="2"/>
      <c r="EE423" s="2"/>
      <c r="EF423" s="2"/>
      <c r="EG423" s="2"/>
      <c r="EH423" s="2"/>
      <c r="EI423" s="2"/>
      <c r="EJ423" s="2"/>
      <c r="EK423" s="2"/>
      <c r="EL423" s="2"/>
      <c r="EM423" s="2"/>
      <c r="EN423" s="2"/>
      <c r="EO423" s="2"/>
      <c r="EP423" s="2"/>
      <c r="EQ423" s="2"/>
      <c r="ER423" s="2"/>
      <c r="ES423" s="2"/>
      <c r="ET423" s="2"/>
      <c r="EU423" s="2"/>
      <c r="EV423" s="2"/>
      <c r="EW423" s="2"/>
      <c r="EX423" s="2"/>
      <c r="EY423" s="2"/>
      <c r="EZ423" s="2"/>
      <c r="FA423" s="2"/>
      <c r="FB423" s="2"/>
      <c r="FC423" s="2"/>
      <c r="FD423" s="2"/>
      <c r="FE423" s="2"/>
      <c r="FF423" s="2"/>
      <c r="FG423" s="2"/>
      <c r="FH423" s="2"/>
      <c r="FI423" s="2"/>
      <c r="FJ423" s="2"/>
      <c r="FK423" s="2"/>
      <c r="FL423" s="2"/>
      <c r="FM423" s="2"/>
      <c r="FN423" s="2"/>
      <c r="FO423" s="2"/>
      <c r="FP423" s="2"/>
      <c r="FQ423" s="2"/>
      <c r="FR423" s="2"/>
      <c r="FS423" s="2"/>
      <c r="FT423" s="2"/>
      <c r="FU423" s="2"/>
      <c r="FV423" s="2"/>
      <c r="FW423" s="2"/>
      <c r="FX423" s="2"/>
      <c r="FY423" s="2"/>
      <c r="FZ423" s="2"/>
      <c r="GA423" s="2"/>
      <c r="GB423" s="2"/>
      <c r="GC423" s="2"/>
      <c r="GD423" s="2"/>
      <c r="GE423" s="2"/>
      <c r="GF423" s="2"/>
      <c r="GG423" s="2"/>
      <c r="GH423" s="2"/>
      <c r="GI423" s="2"/>
      <c r="GJ423" s="2"/>
      <c r="GK423" s="2"/>
      <c r="GL423" s="2"/>
      <c r="GM423" s="2"/>
      <c r="GN423" s="2"/>
      <c r="GO423" s="2"/>
      <c r="GP423" s="2"/>
      <c r="GQ423" s="2"/>
      <c r="GR423" s="2"/>
      <c r="GS423" s="2"/>
      <c r="GT423" s="2"/>
      <c r="GU423" s="2"/>
      <c r="GV423" s="2"/>
      <c r="GW423" s="2"/>
      <c r="GX423" s="2"/>
      <c r="GY423" s="2"/>
      <c r="GZ423" s="2"/>
      <c r="HA423" s="2"/>
      <c r="HB423" s="2"/>
      <c r="HC423" s="2"/>
      <c r="HD423" s="2"/>
      <c r="HE423" s="2"/>
      <c r="HF423" s="2"/>
      <c r="HG423" s="2"/>
      <c r="HH423" s="2"/>
      <c r="HI423" s="2"/>
      <c r="HJ423" s="2"/>
      <c r="HK423" s="2"/>
      <c r="HL423" s="2"/>
      <c r="HM423" s="2"/>
      <c r="HN423" s="2"/>
      <c r="HO423" s="2"/>
      <c r="HP423" s="2"/>
      <c r="HQ423" s="2"/>
      <c r="HR423" s="2"/>
      <c r="HS423" s="2"/>
      <c r="HT423" s="2"/>
      <c r="HU423" s="2"/>
      <c r="HV423" s="2"/>
      <c r="HW423" s="2"/>
      <c r="HX423" s="2"/>
      <c r="HY423" s="2"/>
      <c r="HZ423" s="2"/>
      <c r="IA423" s="2"/>
      <c r="IB423" s="2"/>
      <c r="IC423" s="2"/>
    </row>
    <row r="424" spans="1:237" x14ac:dyDescent="0.2">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c r="AB424" s="2"/>
      <c r="AC424" s="2"/>
      <c r="AD424" s="2"/>
      <c r="AE424" s="2"/>
      <c r="AF424" s="2"/>
      <c r="AG424" s="2"/>
      <c r="AH424" s="2"/>
      <c r="AI424" s="2"/>
      <c r="AJ424" s="2"/>
      <c r="AK424" s="2"/>
      <c r="AL424" s="2"/>
      <c r="AM424" s="2"/>
      <c r="AN424" s="2"/>
      <c r="AO424" s="2"/>
      <c r="AP424" s="2"/>
      <c r="AQ424" s="2"/>
      <c r="AR424" s="2"/>
      <c r="AS424" s="2"/>
      <c r="AT424" s="2"/>
      <c r="AU424" s="2"/>
      <c r="AV424" s="2"/>
      <c r="AW424" s="2"/>
      <c r="AX424" s="2"/>
      <c r="AY424" s="2"/>
      <c r="AZ424" s="2"/>
      <c r="BA424" s="2"/>
      <c r="BB424" s="2"/>
      <c r="BC424" s="2"/>
      <c r="BD424" s="2"/>
      <c r="BE424" s="2"/>
      <c r="BF424" s="2"/>
      <c r="BG424" s="2"/>
      <c r="BH424" s="2"/>
      <c r="BI424" s="2"/>
      <c r="BJ424" s="2"/>
      <c r="BK424" s="2"/>
      <c r="BL424" s="2"/>
      <c r="BM424" s="2"/>
      <c r="BN424" s="2"/>
      <c r="BO424" s="2"/>
      <c r="BP424" s="2"/>
      <c r="BQ424" s="2"/>
      <c r="BR424" s="2"/>
      <c r="BS424" s="2"/>
      <c r="BT424" s="2"/>
      <c r="BU424" s="2"/>
      <c r="BV424" s="2"/>
      <c r="BW424" s="2"/>
      <c r="BX424" s="2"/>
      <c r="BY424" s="2"/>
      <c r="BZ424" s="2"/>
      <c r="CA424" s="2"/>
      <c r="CB424" s="2"/>
      <c r="CC424" s="2"/>
      <c r="CD424" s="2"/>
      <c r="CE424" s="2"/>
      <c r="CF424" s="2"/>
      <c r="CG424" s="2"/>
      <c r="CH424" s="2"/>
      <c r="CI424" s="2"/>
      <c r="CJ424" s="2"/>
      <c r="CK424" s="2"/>
      <c r="CL424" s="2"/>
      <c r="CM424" s="2"/>
      <c r="CN424" s="2"/>
      <c r="CO424" s="2"/>
      <c r="CP424" s="2"/>
      <c r="CQ424" s="2"/>
      <c r="CR424" s="2"/>
      <c r="CS424" s="2"/>
      <c r="CT424" s="2"/>
      <c r="CU424" s="2"/>
      <c r="CV424" s="2"/>
      <c r="CW424" s="2"/>
      <c r="CX424" s="2"/>
      <c r="CY424" s="2"/>
      <c r="CZ424" s="2"/>
      <c r="DA424" s="2"/>
      <c r="DB424" s="2"/>
      <c r="DC424" s="2"/>
      <c r="DD424" s="2"/>
      <c r="DE424" s="2"/>
      <c r="DF424" s="2"/>
      <c r="DG424" s="2"/>
      <c r="DH424" s="2"/>
      <c r="DI424" s="2"/>
      <c r="DJ424" s="2"/>
      <c r="DK424" s="2"/>
      <c r="DL424" s="2"/>
      <c r="DM424" s="2"/>
      <c r="DN424" s="2"/>
      <c r="DO424" s="2"/>
      <c r="DP424" s="2"/>
      <c r="DQ424" s="2"/>
      <c r="DR424" s="2"/>
      <c r="DS424" s="2"/>
      <c r="DT424" s="2"/>
      <c r="DU424" s="2"/>
      <c r="DV424" s="2"/>
      <c r="DW424" s="2"/>
      <c r="DX424" s="2"/>
      <c r="DY424" s="2"/>
      <c r="DZ424" s="2"/>
      <c r="EA424" s="2"/>
      <c r="EB424" s="2"/>
      <c r="EC424" s="2"/>
      <c r="ED424" s="2"/>
      <c r="EE424" s="2"/>
      <c r="EF424" s="2"/>
      <c r="EG424" s="2"/>
      <c r="EH424" s="2"/>
      <c r="EI424" s="2"/>
      <c r="EJ424" s="2"/>
      <c r="EK424" s="2"/>
      <c r="EL424" s="2"/>
      <c r="EM424" s="2"/>
      <c r="EN424" s="2"/>
      <c r="EO424" s="2"/>
      <c r="EP424" s="2"/>
      <c r="EQ424" s="2"/>
      <c r="ER424" s="2"/>
      <c r="ES424" s="2"/>
      <c r="ET424" s="2"/>
      <c r="EU424" s="2"/>
      <c r="EV424" s="2"/>
      <c r="EW424" s="2"/>
      <c r="EX424" s="2"/>
      <c r="EY424" s="2"/>
      <c r="EZ424" s="2"/>
      <c r="FA424" s="2"/>
      <c r="FB424" s="2"/>
      <c r="FC424" s="2"/>
      <c r="FD424" s="2"/>
      <c r="FE424" s="2"/>
      <c r="FF424" s="2"/>
      <c r="FG424" s="2"/>
      <c r="FH424" s="2"/>
      <c r="FI424" s="2"/>
      <c r="FJ424" s="2"/>
      <c r="FK424" s="2"/>
      <c r="FL424" s="2"/>
      <c r="FM424" s="2"/>
      <c r="FN424" s="2"/>
      <c r="FO424" s="2"/>
      <c r="FP424" s="2"/>
      <c r="FQ424" s="2"/>
      <c r="FR424" s="2"/>
      <c r="FS424" s="2"/>
      <c r="FT424" s="2"/>
      <c r="FU424" s="2"/>
      <c r="FV424" s="2"/>
      <c r="FW424" s="2"/>
      <c r="FX424" s="2"/>
      <c r="FY424" s="2"/>
      <c r="FZ424" s="2"/>
      <c r="GA424" s="2"/>
      <c r="GB424" s="2"/>
      <c r="GC424" s="2"/>
      <c r="GD424" s="2"/>
      <c r="GE424" s="2"/>
      <c r="GF424" s="2"/>
      <c r="GG424" s="2"/>
      <c r="GH424" s="2"/>
      <c r="GI424" s="2"/>
      <c r="GJ424" s="2"/>
      <c r="GK424" s="2"/>
      <c r="GL424" s="2"/>
      <c r="GM424" s="2"/>
      <c r="GN424" s="2"/>
      <c r="GO424" s="2"/>
      <c r="GP424" s="2"/>
      <c r="GQ424" s="2"/>
      <c r="GR424" s="2"/>
      <c r="GS424" s="2"/>
      <c r="GT424" s="2"/>
      <c r="GU424" s="2"/>
      <c r="GV424" s="2"/>
      <c r="GW424" s="2"/>
      <c r="GX424" s="2"/>
      <c r="GY424" s="2"/>
      <c r="GZ424" s="2"/>
      <c r="HA424" s="2"/>
      <c r="HB424" s="2"/>
      <c r="HC424" s="2"/>
      <c r="HD424" s="2"/>
      <c r="HE424" s="2"/>
      <c r="HF424" s="2"/>
      <c r="HG424" s="2"/>
      <c r="HH424" s="2"/>
      <c r="HI424" s="2"/>
      <c r="HJ424" s="2"/>
      <c r="HK424" s="2"/>
      <c r="HL424" s="2"/>
      <c r="HM424" s="2"/>
      <c r="HN424" s="2"/>
      <c r="HO424" s="2"/>
      <c r="HP424" s="2"/>
      <c r="HQ424" s="2"/>
      <c r="HR424" s="2"/>
      <c r="HS424" s="2"/>
      <c r="HT424" s="2"/>
      <c r="HU424" s="2"/>
      <c r="HV424" s="2"/>
      <c r="HW424" s="2"/>
      <c r="HX424" s="2"/>
      <c r="HY424" s="2"/>
      <c r="HZ424" s="2"/>
      <c r="IA424" s="2"/>
      <c r="IB424" s="2"/>
      <c r="IC424" s="2"/>
    </row>
    <row r="425" spans="1:237" x14ac:dyDescent="0.2">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c r="AB425" s="2"/>
      <c r="AC425" s="2"/>
      <c r="AD425" s="2"/>
      <c r="AE425" s="2"/>
      <c r="AF425" s="2"/>
      <c r="AG425" s="2"/>
      <c r="AH425" s="2"/>
      <c r="AI425" s="2"/>
      <c r="AJ425" s="2"/>
      <c r="AK425" s="2"/>
      <c r="AL425" s="2"/>
      <c r="AM425" s="2"/>
      <c r="AN425" s="2"/>
      <c r="AO425" s="2"/>
      <c r="AP425" s="2"/>
      <c r="AQ425" s="2"/>
      <c r="AR425" s="2"/>
      <c r="AS425" s="2"/>
      <c r="AT425" s="2"/>
      <c r="AU425" s="2"/>
      <c r="AV425" s="2"/>
      <c r="AW425" s="2"/>
      <c r="AX425" s="2"/>
      <c r="AY425" s="2"/>
      <c r="AZ425" s="2"/>
      <c r="BA425" s="2"/>
      <c r="BB425" s="2"/>
      <c r="BC425" s="2"/>
      <c r="BD425" s="2"/>
      <c r="BE425" s="2"/>
      <c r="BF425" s="2"/>
      <c r="BG425" s="2"/>
      <c r="BH425" s="2"/>
      <c r="BI425" s="2"/>
      <c r="BJ425" s="2"/>
      <c r="BK425" s="2"/>
      <c r="BL425" s="2"/>
      <c r="BM425" s="2"/>
      <c r="BN425" s="2"/>
      <c r="BO425" s="2"/>
      <c r="BP425" s="2"/>
      <c r="BQ425" s="2"/>
      <c r="BR425" s="2"/>
      <c r="BS425" s="2"/>
      <c r="BT425" s="2"/>
      <c r="BU425" s="2"/>
      <c r="BV425" s="2"/>
      <c r="BW425" s="2"/>
      <c r="BX425" s="2"/>
      <c r="BY425" s="2"/>
      <c r="BZ425" s="2"/>
      <c r="CA425" s="2"/>
      <c r="CB425" s="2"/>
      <c r="CC425" s="2"/>
      <c r="CD425" s="2"/>
      <c r="CE425" s="2"/>
      <c r="CF425" s="2"/>
      <c r="CG425" s="2"/>
      <c r="CH425" s="2"/>
      <c r="CI425" s="2"/>
      <c r="CJ425" s="2"/>
      <c r="CK425" s="2"/>
      <c r="CL425" s="2"/>
      <c r="CM425" s="2"/>
      <c r="CN425" s="2"/>
      <c r="CO425" s="2"/>
      <c r="CP425" s="2"/>
      <c r="CQ425" s="2"/>
      <c r="CR425" s="2"/>
      <c r="CS425" s="2"/>
      <c r="CT425" s="2"/>
      <c r="CU425" s="2"/>
      <c r="CV425" s="2"/>
      <c r="CW425" s="2"/>
      <c r="CX425" s="2"/>
      <c r="CY425" s="2"/>
      <c r="CZ425" s="2"/>
      <c r="DA425" s="2"/>
      <c r="DB425" s="2"/>
      <c r="DC425" s="2"/>
      <c r="DD425" s="2"/>
      <c r="DE425" s="2"/>
      <c r="DF425" s="2"/>
      <c r="DG425" s="2"/>
      <c r="DH425" s="2"/>
      <c r="DI425" s="2"/>
      <c r="DJ425" s="2"/>
      <c r="DK425" s="2"/>
      <c r="DL425" s="2"/>
      <c r="DM425" s="2"/>
      <c r="DN425" s="2"/>
      <c r="DO425" s="2"/>
      <c r="DP425" s="2"/>
      <c r="DQ425" s="2"/>
      <c r="DR425" s="2"/>
      <c r="DS425" s="2"/>
      <c r="DT425" s="2"/>
      <c r="DU425" s="2"/>
      <c r="DV425" s="2"/>
      <c r="DW425" s="2"/>
      <c r="DX425" s="2"/>
      <c r="DY425" s="2"/>
      <c r="DZ425" s="2"/>
      <c r="EA425" s="2"/>
      <c r="EB425" s="2"/>
      <c r="EC425" s="2"/>
      <c r="ED425" s="2"/>
      <c r="EE425" s="2"/>
      <c r="EF425" s="2"/>
      <c r="EG425" s="2"/>
      <c r="EH425" s="2"/>
      <c r="EI425" s="2"/>
      <c r="EJ425" s="2"/>
      <c r="EK425" s="2"/>
      <c r="EL425" s="2"/>
      <c r="EM425" s="2"/>
      <c r="EN425" s="2"/>
      <c r="EO425" s="2"/>
      <c r="EP425" s="2"/>
      <c r="EQ425" s="2"/>
      <c r="ER425" s="2"/>
      <c r="ES425" s="2"/>
      <c r="ET425" s="2"/>
      <c r="EU425" s="2"/>
      <c r="EV425" s="2"/>
      <c r="EW425" s="2"/>
      <c r="EX425" s="2"/>
      <c r="EY425" s="2"/>
      <c r="EZ425" s="2"/>
      <c r="FA425" s="2"/>
      <c r="FB425" s="2"/>
      <c r="FC425" s="2"/>
      <c r="FD425" s="2"/>
      <c r="FE425" s="2"/>
      <c r="FF425" s="2"/>
      <c r="FG425" s="2"/>
      <c r="FH425" s="2"/>
      <c r="FI425" s="2"/>
      <c r="FJ425" s="2"/>
      <c r="FK425" s="2"/>
      <c r="FL425" s="2"/>
      <c r="FM425" s="2"/>
      <c r="FN425" s="2"/>
      <c r="FO425" s="2"/>
      <c r="FP425" s="2"/>
      <c r="FQ425" s="2"/>
      <c r="FR425" s="2"/>
      <c r="FS425" s="2"/>
      <c r="FT425" s="2"/>
      <c r="FU425" s="2"/>
      <c r="FV425" s="2"/>
      <c r="FW425" s="2"/>
      <c r="FX425" s="2"/>
      <c r="FY425" s="2"/>
      <c r="FZ425" s="2"/>
      <c r="GA425" s="2"/>
      <c r="GB425" s="2"/>
      <c r="GC425" s="2"/>
      <c r="GD425" s="2"/>
      <c r="GE425" s="2"/>
      <c r="GF425" s="2"/>
      <c r="GG425" s="2"/>
      <c r="GH425" s="2"/>
      <c r="GI425" s="2"/>
      <c r="GJ425" s="2"/>
      <c r="GK425" s="2"/>
      <c r="GL425" s="2"/>
      <c r="GM425" s="2"/>
      <c r="GN425" s="2"/>
      <c r="GO425" s="2"/>
      <c r="GP425" s="2"/>
      <c r="GQ425" s="2"/>
      <c r="GR425" s="2"/>
      <c r="GS425" s="2"/>
      <c r="GT425" s="2"/>
      <c r="GU425" s="2"/>
      <c r="GV425" s="2"/>
      <c r="GW425" s="2"/>
      <c r="GX425" s="2"/>
      <c r="GY425" s="2"/>
      <c r="GZ425" s="2"/>
      <c r="HA425" s="2"/>
      <c r="HB425" s="2"/>
      <c r="HC425" s="2"/>
      <c r="HD425" s="2"/>
      <c r="HE425" s="2"/>
      <c r="HF425" s="2"/>
      <c r="HG425" s="2"/>
      <c r="HH425" s="2"/>
      <c r="HI425" s="2"/>
      <c r="HJ425" s="2"/>
      <c r="HK425" s="2"/>
      <c r="HL425" s="2"/>
      <c r="HM425" s="2"/>
      <c r="HN425" s="2"/>
      <c r="HO425" s="2"/>
      <c r="HP425" s="2"/>
      <c r="HQ425" s="2"/>
      <c r="HR425" s="2"/>
      <c r="HS425" s="2"/>
      <c r="HT425" s="2"/>
      <c r="HU425" s="2"/>
      <c r="HV425" s="2"/>
      <c r="HW425" s="2"/>
      <c r="HX425" s="2"/>
      <c r="HY425" s="2"/>
      <c r="HZ425" s="2"/>
      <c r="IA425" s="2"/>
      <c r="IB425" s="2"/>
      <c r="IC425" s="2"/>
    </row>
    <row r="426" spans="1:237" x14ac:dyDescent="0.2">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c r="AB426" s="2"/>
      <c r="AC426" s="2"/>
      <c r="AD426" s="2"/>
      <c r="AE426" s="2"/>
      <c r="AF426" s="2"/>
      <c r="AG426" s="2"/>
      <c r="AH426" s="2"/>
      <c r="AI426" s="2"/>
      <c r="AJ426" s="2"/>
      <c r="AK426" s="2"/>
      <c r="AL426" s="2"/>
      <c r="AM426" s="2"/>
      <c r="AN426" s="2"/>
      <c r="AO426" s="2"/>
      <c r="AP426" s="2"/>
      <c r="AQ426" s="2"/>
      <c r="AR426" s="2"/>
      <c r="AS426" s="2"/>
      <c r="AT426" s="2"/>
      <c r="AU426" s="2"/>
      <c r="AV426" s="2"/>
      <c r="AW426" s="2"/>
      <c r="AX426" s="2"/>
      <c r="AY426" s="2"/>
      <c r="AZ426" s="2"/>
      <c r="BA426" s="2"/>
      <c r="BB426" s="2"/>
      <c r="BC426" s="2"/>
      <c r="BD426" s="2"/>
      <c r="BE426" s="2"/>
      <c r="BF426" s="2"/>
      <c r="BG426" s="2"/>
      <c r="BH426" s="2"/>
      <c r="BI426" s="2"/>
      <c r="BJ426" s="2"/>
      <c r="BK426" s="2"/>
      <c r="BL426" s="2"/>
      <c r="BM426" s="2"/>
      <c r="BN426" s="2"/>
      <c r="BO426" s="2"/>
      <c r="BP426" s="2"/>
      <c r="BQ426" s="2"/>
      <c r="BR426" s="2"/>
      <c r="BS426" s="2"/>
      <c r="BT426" s="2"/>
      <c r="BU426" s="2"/>
      <c r="BV426" s="2"/>
      <c r="BW426" s="2"/>
      <c r="BX426" s="2"/>
      <c r="BY426" s="2"/>
      <c r="BZ426" s="2"/>
      <c r="CA426" s="2"/>
      <c r="CB426" s="2"/>
      <c r="CC426" s="2"/>
      <c r="CD426" s="2"/>
      <c r="CE426" s="2"/>
      <c r="CF426" s="2"/>
      <c r="CG426" s="2"/>
      <c r="CH426" s="2"/>
      <c r="CI426" s="2"/>
      <c r="CJ426" s="2"/>
      <c r="CK426" s="2"/>
      <c r="CL426" s="2"/>
      <c r="CM426" s="2"/>
      <c r="CN426" s="2"/>
      <c r="CO426" s="2"/>
      <c r="CP426" s="2"/>
      <c r="CQ426" s="2"/>
      <c r="CR426" s="2"/>
      <c r="CS426" s="2"/>
      <c r="CT426" s="2"/>
      <c r="CU426" s="2"/>
      <c r="CV426" s="2"/>
      <c r="CW426" s="2"/>
      <c r="CX426" s="2"/>
      <c r="CY426" s="2"/>
      <c r="CZ426" s="2"/>
      <c r="DA426" s="2"/>
      <c r="DB426" s="2"/>
      <c r="DC426" s="2"/>
      <c r="DD426" s="2"/>
      <c r="DE426" s="2"/>
      <c r="DF426" s="2"/>
      <c r="DG426" s="2"/>
      <c r="DH426" s="2"/>
      <c r="DI426" s="2"/>
      <c r="DJ426" s="2"/>
      <c r="DK426" s="2"/>
      <c r="DL426" s="2"/>
      <c r="DM426" s="2"/>
      <c r="DN426" s="2"/>
      <c r="DO426" s="2"/>
      <c r="DP426" s="2"/>
      <c r="DQ426" s="2"/>
      <c r="DR426" s="2"/>
      <c r="DS426" s="2"/>
      <c r="DT426" s="2"/>
      <c r="DU426" s="2"/>
      <c r="DV426" s="2"/>
      <c r="DW426" s="2"/>
      <c r="DX426" s="2"/>
      <c r="DY426" s="2"/>
      <c r="DZ426" s="2"/>
      <c r="EA426" s="2"/>
      <c r="EB426" s="2"/>
      <c r="EC426" s="2"/>
      <c r="ED426" s="2"/>
      <c r="EE426" s="2"/>
      <c r="EF426" s="2"/>
      <c r="EG426" s="2"/>
      <c r="EH426" s="2"/>
      <c r="EI426" s="2"/>
      <c r="EJ426" s="2"/>
      <c r="EK426" s="2"/>
      <c r="EL426" s="2"/>
      <c r="EM426" s="2"/>
      <c r="EN426" s="2"/>
      <c r="EO426" s="2"/>
      <c r="EP426" s="2"/>
      <c r="EQ426" s="2"/>
      <c r="ER426" s="2"/>
      <c r="ES426" s="2"/>
      <c r="ET426" s="2"/>
      <c r="EU426" s="2"/>
      <c r="EV426" s="2"/>
      <c r="EW426" s="2"/>
      <c r="EX426" s="2"/>
      <c r="EY426" s="2"/>
      <c r="EZ426" s="2"/>
      <c r="FA426" s="2"/>
      <c r="FB426" s="2"/>
      <c r="FC426" s="2"/>
      <c r="FD426" s="2"/>
      <c r="FE426" s="2"/>
      <c r="FF426" s="2"/>
      <c r="FG426" s="2"/>
      <c r="FH426" s="2"/>
      <c r="FI426" s="2"/>
      <c r="FJ426" s="2"/>
      <c r="FK426" s="2"/>
      <c r="FL426" s="2"/>
      <c r="FM426" s="2"/>
      <c r="FN426" s="2"/>
      <c r="FO426" s="2"/>
      <c r="FP426" s="2"/>
      <c r="FQ426" s="2"/>
      <c r="FR426" s="2"/>
      <c r="FS426" s="2"/>
      <c r="FT426" s="2"/>
      <c r="FU426" s="2"/>
      <c r="FV426" s="2"/>
      <c r="FW426" s="2"/>
      <c r="FX426" s="2"/>
      <c r="FY426" s="2"/>
      <c r="FZ426" s="2"/>
      <c r="GA426" s="2"/>
      <c r="GB426" s="2"/>
      <c r="GC426" s="2"/>
      <c r="GD426" s="2"/>
      <c r="GE426" s="2"/>
      <c r="GF426" s="2"/>
      <c r="GG426" s="2"/>
      <c r="GH426" s="2"/>
      <c r="GI426" s="2"/>
      <c r="GJ426" s="2"/>
      <c r="GK426" s="2"/>
      <c r="GL426" s="2"/>
      <c r="GM426" s="2"/>
      <c r="GN426" s="2"/>
      <c r="GO426" s="2"/>
      <c r="GP426" s="2"/>
      <c r="GQ426" s="2"/>
      <c r="GR426" s="2"/>
      <c r="GS426" s="2"/>
      <c r="GT426" s="2"/>
      <c r="GU426" s="2"/>
      <c r="GV426" s="2"/>
      <c r="GW426" s="2"/>
      <c r="GX426" s="2"/>
      <c r="GY426" s="2"/>
      <c r="GZ426" s="2"/>
      <c r="HA426" s="2"/>
      <c r="HB426" s="2"/>
      <c r="HC426" s="2"/>
      <c r="HD426" s="2"/>
      <c r="HE426" s="2"/>
      <c r="HF426" s="2"/>
      <c r="HG426" s="2"/>
      <c r="HH426" s="2"/>
      <c r="HI426" s="2"/>
      <c r="HJ426" s="2"/>
      <c r="HK426" s="2"/>
      <c r="HL426" s="2"/>
      <c r="HM426" s="2"/>
      <c r="HN426" s="2"/>
      <c r="HO426" s="2"/>
      <c r="HP426" s="2"/>
      <c r="HQ426" s="2"/>
      <c r="HR426" s="2"/>
      <c r="HS426" s="2"/>
      <c r="HT426" s="2"/>
      <c r="HU426" s="2"/>
      <c r="HV426" s="2"/>
      <c r="HW426" s="2"/>
      <c r="HX426" s="2"/>
      <c r="HY426" s="2"/>
      <c r="HZ426" s="2"/>
      <c r="IA426" s="2"/>
      <c r="IB426" s="2"/>
      <c r="IC426" s="2"/>
    </row>
    <row r="427" spans="1:237" x14ac:dyDescent="0.2">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c r="AB427" s="2"/>
      <c r="AC427" s="2"/>
      <c r="AD427" s="2"/>
      <c r="AE427" s="2"/>
      <c r="AF427" s="2"/>
      <c r="AG427" s="2"/>
      <c r="AH427" s="2"/>
      <c r="AI427" s="2"/>
      <c r="AJ427" s="2"/>
      <c r="AK427" s="2"/>
      <c r="AL427" s="2"/>
      <c r="AM427" s="2"/>
      <c r="AN427" s="2"/>
      <c r="AO427" s="2"/>
      <c r="AP427" s="2"/>
      <c r="AQ427" s="2"/>
      <c r="AR427" s="2"/>
      <c r="AS427" s="2"/>
      <c r="AT427" s="2"/>
      <c r="AU427" s="2"/>
      <c r="AV427" s="2"/>
      <c r="AW427" s="2"/>
      <c r="AX427" s="2"/>
      <c r="AY427" s="2"/>
      <c r="AZ427" s="2"/>
      <c r="BA427" s="2"/>
      <c r="BB427" s="2"/>
      <c r="BC427" s="2"/>
      <c r="BD427" s="2"/>
      <c r="BE427" s="2"/>
      <c r="BF427" s="2"/>
      <c r="BG427" s="2"/>
      <c r="BH427" s="2"/>
      <c r="BI427" s="2"/>
      <c r="BJ427" s="2"/>
      <c r="BK427" s="2"/>
      <c r="BL427" s="2"/>
      <c r="BM427" s="2"/>
      <c r="BN427" s="2"/>
      <c r="BO427" s="2"/>
      <c r="BP427" s="2"/>
      <c r="BQ427" s="2"/>
      <c r="BR427" s="2"/>
      <c r="BS427" s="2"/>
      <c r="BT427" s="2"/>
      <c r="BU427" s="2"/>
      <c r="BV427" s="2"/>
      <c r="BW427" s="2"/>
      <c r="BX427" s="2"/>
      <c r="BY427" s="2"/>
      <c r="BZ427" s="2"/>
      <c r="CA427" s="2"/>
      <c r="CB427" s="2"/>
      <c r="CC427" s="2"/>
      <c r="CD427" s="2"/>
      <c r="CE427" s="2"/>
      <c r="CF427" s="2"/>
      <c r="CG427" s="2"/>
      <c r="CH427" s="2"/>
      <c r="CI427" s="2"/>
      <c r="CJ427" s="2"/>
      <c r="CK427" s="2"/>
      <c r="CL427" s="2"/>
      <c r="CM427" s="2"/>
      <c r="CN427" s="2"/>
      <c r="CO427" s="2"/>
      <c r="CP427" s="2"/>
      <c r="CQ427" s="2"/>
      <c r="CR427" s="2"/>
      <c r="CS427" s="2"/>
      <c r="CT427" s="2"/>
      <c r="CU427" s="2"/>
      <c r="CV427" s="2"/>
      <c r="CW427" s="2"/>
      <c r="CX427" s="2"/>
      <c r="CY427" s="2"/>
      <c r="CZ427" s="2"/>
      <c r="DA427" s="2"/>
      <c r="DB427" s="2"/>
      <c r="DC427" s="2"/>
      <c r="DD427" s="2"/>
      <c r="DE427" s="2"/>
      <c r="DF427" s="2"/>
      <c r="DG427" s="2"/>
      <c r="DH427" s="2"/>
      <c r="DI427" s="2"/>
      <c r="DJ427" s="2"/>
      <c r="DK427" s="2"/>
      <c r="DL427" s="2"/>
      <c r="DM427" s="2"/>
      <c r="DN427" s="2"/>
      <c r="DO427" s="2"/>
      <c r="DP427" s="2"/>
      <c r="DQ427" s="2"/>
      <c r="DR427" s="2"/>
      <c r="DS427" s="2"/>
      <c r="DT427" s="2"/>
      <c r="DU427" s="2"/>
      <c r="DV427" s="2"/>
      <c r="DW427" s="2"/>
      <c r="DX427" s="2"/>
      <c r="DY427" s="2"/>
      <c r="DZ427" s="2"/>
      <c r="EA427" s="2"/>
      <c r="EB427" s="2"/>
      <c r="EC427" s="2"/>
      <c r="ED427" s="2"/>
      <c r="EE427" s="2"/>
      <c r="EF427" s="2"/>
      <c r="EG427" s="2"/>
      <c r="EH427" s="2"/>
      <c r="EI427" s="2"/>
      <c r="EJ427" s="2"/>
      <c r="EK427" s="2"/>
      <c r="EL427" s="2"/>
      <c r="EM427" s="2"/>
      <c r="EN427" s="2"/>
      <c r="EO427" s="2"/>
      <c r="EP427" s="2"/>
      <c r="EQ427" s="2"/>
      <c r="ER427" s="2"/>
      <c r="ES427" s="2"/>
      <c r="ET427" s="2"/>
      <c r="EU427" s="2"/>
      <c r="EV427" s="2"/>
      <c r="EW427" s="2"/>
      <c r="EX427" s="2"/>
      <c r="EY427" s="2"/>
      <c r="EZ427" s="2"/>
      <c r="FA427" s="2"/>
      <c r="FB427" s="2"/>
      <c r="FC427" s="2"/>
      <c r="FD427" s="2"/>
      <c r="FE427" s="2"/>
      <c r="FF427" s="2"/>
      <c r="FG427" s="2"/>
      <c r="FH427" s="2"/>
      <c r="FI427" s="2"/>
      <c r="FJ427" s="2"/>
      <c r="FK427" s="2"/>
      <c r="FL427" s="2"/>
      <c r="FM427" s="2"/>
      <c r="FN427" s="2"/>
      <c r="FO427" s="2"/>
      <c r="FP427" s="2"/>
      <c r="FQ427" s="2"/>
      <c r="FR427" s="2"/>
      <c r="FS427" s="2"/>
      <c r="FT427" s="2"/>
      <c r="FU427" s="2"/>
      <c r="FV427" s="2"/>
      <c r="FW427" s="2"/>
      <c r="FX427" s="2"/>
      <c r="FY427" s="2"/>
      <c r="FZ427" s="2"/>
      <c r="GA427" s="2"/>
      <c r="GB427" s="2"/>
      <c r="GC427" s="2"/>
      <c r="GD427" s="2"/>
      <c r="GE427" s="2"/>
      <c r="GF427" s="2"/>
      <c r="GG427" s="2"/>
      <c r="GH427" s="2"/>
      <c r="GI427" s="2"/>
      <c r="GJ427" s="2"/>
      <c r="GK427" s="2"/>
      <c r="GL427" s="2"/>
      <c r="GM427" s="2"/>
      <c r="GN427" s="2"/>
      <c r="GO427" s="2"/>
      <c r="GP427" s="2"/>
      <c r="GQ427" s="2"/>
      <c r="GR427" s="2"/>
      <c r="GS427" s="2"/>
      <c r="GT427" s="2"/>
      <c r="GU427" s="2"/>
      <c r="GV427" s="2"/>
      <c r="GW427" s="2"/>
      <c r="GX427" s="2"/>
      <c r="GY427" s="2"/>
      <c r="GZ427" s="2"/>
      <c r="HA427" s="2"/>
      <c r="HB427" s="2"/>
      <c r="HC427" s="2"/>
      <c r="HD427" s="2"/>
      <c r="HE427" s="2"/>
      <c r="HF427" s="2"/>
      <c r="HG427" s="2"/>
      <c r="HH427" s="2"/>
      <c r="HI427" s="2"/>
      <c r="HJ427" s="2"/>
      <c r="HK427" s="2"/>
      <c r="HL427" s="2"/>
      <c r="HM427" s="2"/>
      <c r="HN427" s="2"/>
      <c r="HO427" s="2"/>
      <c r="HP427" s="2"/>
      <c r="HQ427" s="2"/>
      <c r="HR427" s="2"/>
      <c r="HS427" s="2"/>
      <c r="HT427" s="2"/>
      <c r="HU427" s="2"/>
      <c r="HV427" s="2"/>
      <c r="HW427" s="2"/>
      <c r="HX427" s="2"/>
      <c r="HY427" s="2"/>
      <c r="HZ427" s="2"/>
      <c r="IA427" s="2"/>
      <c r="IB427" s="2"/>
      <c r="IC427" s="2"/>
    </row>
    <row r="428" spans="1:237" x14ac:dyDescent="0.2">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c r="AB428" s="2"/>
      <c r="AC428" s="2"/>
      <c r="AD428" s="2"/>
      <c r="AE428" s="2"/>
      <c r="AF428" s="2"/>
      <c r="AG428" s="2"/>
      <c r="AH428" s="2"/>
      <c r="AI428" s="2"/>
      <c r="AJ428" s="2"/>
      <c r="AK428" s="2"/>
      <c r="AL428" s="2"/>
      <c r="AM428" s="2"/>
      <c r="AN428" s="2"/>
      <c r="AO428" s="2"/>
      <c r="AP428" s="2"/>
      <c r="AQ428" s="2"/>
      <c r="AR428" s="2"/>
      <c r="AS428" s="2"/>
      <c r="AT428" s="2"/>
      <c r="AU428" s="2"/>
      <c r="AV428" s="2"/>
      <c r="AW428" s="2"/>
      <c r="AX428" s="2"/>
      <c r="AY428" s="2"/>
      <c r="AZ428" s="2"/>
      <c r="BA428" s="2"/>
      <c r="BB428" s="2"/>
      <c r="BC428" s="2"/>
      <c r="BD428" s="2"/>
      <c r="BE428" s="2"/>
      <c r="BF428" s="2"/>
      <c r="BG428" s="2"/>
      <c r="BH428" s="2"/>
      <c r="BI428" s="2"/>
      <c r="BJ428" s="2"/>
      <c r="BK428" s="2"/>
      <c r="BL428" s="2"/>
      <c r="BM428" s="2"/>
      <c r="BN428" s="2"/>
      <c r="BO428" s="2"/>
      <c r="BP428" s="2"/>
      <c r="BQ428" s="2"/>
      <c r="BR428" s="2"/>
      <c r="BS428" s="2"/>
      <c r="BT428" s="2"/>
      <c r="BU428" s="2"/>
      <c r="BV428" s="2"/>
      <c r="BW428" s="2"/>
      <c r="BX428" s="2"/>
      <c r="BY428" s="2"/>
      <c r="BZ428" s="2"/>
      <c r="CA428" s="2"/>
      <c r="CB428" s="2"/>
      <c r="CC428" s="2"/>
      <c r="CD428" s="2"/>
      <c r="CE428" s="2"/>
      <c r="CF428" s="2"/>
      <c r="CG428" s="2"/>
      <c r="CH428" s="2"/>
      <c r="CI428" s="2"/>
      <c r="CJ428" s="2"/>
      <c r="CK428" s="2"/>
      <c r="CL428" s="2"/>
      <c r="CM428" s="2"/>
      <c r="CN428" s="2"/>
      <c r="CO428" s="2"/>
      <c r="CP428" s="2"/>
      <c r="CQ428" s="2"/>
      <c r="CR428" s="2"/>
      <c r="CS428" s="2"/>
      <c r="CT428" s="2"/>
      <c r="CU428" s="2"/>
      <c r="CV428" s="2"/>
      <c r="CW428" s="2"/>
      <c r="CX428" s="2"/>
      <c r="CY428" s="2"/>
      <c r="CZ428" s="2"/>
      <c r="DA428" s="2"/>
      <c r="DB428" s="2"/>
      <c r="DC428" s="2"/>
      <c r="DD428" s="2"/>
      <c r="DE428" s="2"/>
      <c r="DF428" s="2"/>
      <c r="DG428" s="2"/>
      <c r="DH428" s="2"/>
      <c r="DI428" s="2"/>
      <c r="DJ428" s="2"/>
      <c r="DK428" s="2"/>
      <c r="DL428" s="2"/>
      <c r="DM428" s="2"/>
      <c r="DN428" s="2"/>
      <c r="DO428" s="2"/>
      <c r="DP428" s="2"/>
      <c r="DQ428" s="2"/>
      <c r="DR428" s="2"/>
      <c r="DS428" s="2"/>
      <c r="DT428" s="2"/>
      <c r="DU428" s="2"/>
      <c r="DV428" s="2"/>
      <c r="DW428" s="2"/>
      <c r="DX428" s="2"/>
      <c r="DY428" s="2"/>
      <c r="DZ428" s="2"/>
      <c r="EA428" s="2"/>
      <c r="EB428" s="2"/>
      <c r="EC428" s="2"/>
      <c r="ED428" s="2"/>
      <c r="EE428" s="2"/>
      <c r="EF428" s="2"/>
      <c r="EG428" s="2"/>
      <c r="EH428" s="2"/>
      <c r="EI428" s="2"/>
      <c r="EJ428" s="2"/>
      <c r="EK428" s="2"/>
      <c r="EL428" s="2"/>
      <c r="EM428" s="2"/>
      <c r="EN428" s="2"/>
      <c r="EO428" s="2"/>
      <c r="EP428" s="2"/>
      <c r="EQ428" s="2"/>
      <c r="ER428" s="2"/>
      <c r="ES428" s="2"/>
      <c r="ET428" s="2"/>
      <c r="EU428" s="2"/>
      <c r="EV428" s="2"/>
      <c r="EW428" s="2"/>
      <c r="EX428" s="2"/>
      <c r="EY428" s="2"/>
      <c r="EZ428" s="2"/>
      <c r="FA428" s="2"/>
      <c r="FB428" s="2"/>
      <c r="FC428" s="2"/>
      <c r="FD428" s="2"/>
      <c r="FE428" s="2"/>
      <c r="FF428" s="2"/>
      <c r="FG428" s="2"/>
      <c r="FH428" s="2"/>
      <c r="FI428" s="2"/>
      <c r="FJ428" s="2"/>
      <c r="FK428" s="2"/>
      <c r="FL428" s="2"/>
      <c r="FM428" s="2"/>
      <c r="FN428" s="2"/>
      <c r="FO428" s="2"/>
      <c r="FP428" s="2"/>
      <c r="FQ428" s="2"/>
      <c r="FR428" s="2"/>
      <c r="FS428" s="2"/>
      <c r="FT428" s="2"/>
      <c r="FU428" s="2"/>
      <c r="FV428" s="2"/>
      <c r="FW428" s="2"/>
      <c r="FX428" s="2"/>
      <c r="FY428" s="2"/>
      <c r="FZ428" s="2"/>
      <c r="GA428" s="2"/>
      <c r="GB428" s="2"/>
      <c r="GC428" s="2"/>
      <c r="GD428" s="2"/>
      <c r="GE428" s="2"/>
      <c r="GF428" s="2"/>
      <c r="GG428" s="2"/>
      <c r="GH428" s="2"/>
      <c r="GI428" s="2"/>
      <c r="GJ428" s="2"/>
      <c r="GK428" s="2"/>
      <c r="GL428" s="2"/>
      <c r="GM428" s="2"/>
      <c r="GN428" s="2"/>
      <c r="GO428" s="2"/>
      <c r="GP428" s="2"/>
      <c r="GQ428" s="2"/>
      <c r="GR428" s="2"/>
      <c r="GS428" s="2"/>
      <c r="GT428" s="2"/>
      <c r="GU428" s="2"/>
      <c r="GV428" s="2"/>
      <c r="GW428" s="2"/>
      <c r="GX428" s="2"/>
      <c r="GY428" s="2"/>
      <c r="GZ428" s="2"/>
      <c r="HA428" s="2"/>
      <c r="HB428" s="2"/>
      <c r="HC428" s="2"/>
      <c r="HD428" s="2"/>
      <c r="HE428" s="2"/>
      <c r="HF428" s="2"/>
      <c r="HG428" s="2"/>
      <c r="HH428" s="2"/>
      <c r="HI428" s="2"/>
      <c r="HJ428" s="2"/>
      <c r="HK428" s="2"/>
      <c r="HL428" s="2"/>
      <c r="HM428" s="2"/>
      <c r="HN428" s="2"/>
      <c r="HO428" s="2"/>
      <c r="HP428" s="2"/>
      <c r="HQ428" s="2"/>
      <c r="HR428" s="2"/>
      <c r="HS428" s="2"/>
      <c r="HT428" s="2"/>
      <c r="HU428" s="2"/>
      <c r="HV428" s="2"/>
      <c r="HW428" s="2"/>
      <c r="HX428" s="2"/>
      <c r="HY428" s="2"/>
      <c r="HZ428" s="2"/>
      <c r="IA428" s="2"/>
      <c r="IB428" s="2"/>
      <c r="IC428" s="2"/>
    </row>
    <row r="429" spans="1:237" x14ac:dyDescent="0.2">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c r="AB429" s="2"/>
      <c r="AC429" s="2"/>
      <c r="AD429" s="2"/>
      <c r="AE429" s="2"/>
      <c r="AF429" s="2"/>
      <c r="AG429" s="2"/>
      <c r="AH429" s="2"/>
      <c r="AI429" s="2"/>
      <c r="AJ429" s="2"/>
      <c r="AK429" s="2"/>
      <c r="AL429" s="2"/>
      <c r="AM429" s="2"/>
      <c r="AN429" s="2"/>
      <c r="AO429" s="2"/>
      <c r="AP429" s="2"/>
      <c r="AQ429" s="2"/>
      <c r="AR429" s="2"/>
      <c r="AS429" s="2"/>
      <c r="AT429" s="2"/>
      <c r="AU429" s="2"/>
      <c r="AV429" s="2"/>
      <c r="AW429" s="2"/>
      <c r="AX429" s="2"/>
      <c r="AY429" s="2"/>
      <c r="AZ429" s="2"/>
      <c r="BA429" s="2"/>
      <c r="BB429" s="2"/>
      <c r="BC429" s="2"/>
      <c r="BD429" s="2"/>
      <c r="BE429" s="2"/>
      <c r="BF429" s="2"/>
      <c r="BG429" s="2"/>
      <c r="BH429" s="2"/>
      <c r="BI429" s="2"/>
      <c r="BJ429" s="2"/>
      <c r="BK429" s="2"/>
      <c r="BL429" s="2"/>
      <c r="BM429" s="2"/>
      <c r="BN429" s="2"/>
      <c r="BO429" s="2"/>
      <c r="BP429" s="2"/>
      <c r="BQ429" s="2"/>
      <c r="BR429" s="2"/>
      <c r="BS429" s="2"/>
      <c r="BT429" s="2"/>
      <c r="BU429" s="2"/>
      <c r="BV429" s="2"/>
      <c r="BW429" s="2"/>
      <c r="BX429" s="2"/>
      <c r="BY429" s="2"/>
      <c r="BZ429" s="2"/>
      <c r="CA429" s="2"/>
      <c r="CB429" s="2"/>
      <c r="CC429" s="2"/>
      <c r="CD429" s="2"/>
      <c r="CE429" s="2"/>
      <c r="CF429" s="2"/>
      <c r="CG429" s="2"/>
      <c r="CH429" s="2"/>
      <c r="CI429" s="2"/>
      <c r="CJ429" s="2"/>
      <c r="CK429" s="2"/>
      <c r="CL429" s="2"/>
      <c r="CM429" s="2"/>
      <c r="CN429" s="2"/>
      <c r="CO429" s="2"/>
      <c r="CP429" s="2"/>
      <c r="CQ429" s="2"/>
      <c r="CR429" s="2"/>
      <c r="CS429" s="2"/>
      <c r="CT429" s="2"/>
      <c r="CU429" s="2"/>
      <c r="CV429" s="2"/>
      <c r="CW429" s="2"/>
      <c r="CX429" s="2"/>
      <c r="CY429" s="2"/>
      <c r="CZ429" s="2"/>
      <c r="DA429" s="2"/>
      <c r="DB429" s="2"/>
      <c r="DC429" s="2"/>
      <c r="DD429" s="2"/>
      <c r="DE429" s="2"/>
      <c r="DF429" s="2"/>
      <c r="DG429" s="2"/>
      <c r="DH429" s="2"/>
      <c r="DI429" s="2"/>
      <c r="DJ429" s="2"/>
      <c r="DK429" s="2"/>
      <c r="DL429" s="2"/>
      <c r="DM429" s="2"/>
      <c r="DN429" s="2"/>
      <c r="DO429" s="2"/>
      <c r="DP429" s="2"/>
      <c r="DQ429" s="2"/>
      <c r="DR429" s="2"/>
      <c r="DS429" s="2"/>
      <c r="DT429" s="2"/>
      <c r="DU429" s="2"/>
      <c r="DV429" s="2"/>
      <c r="DW429" s="2"/>
      <c r="DX429" s="2"/>
      <c r="DY429" s="2"/>
      <c r="DZ429" s="2"/>
      <c r="EA429" s="2"/>
      <c r="EB429" s="2"/>
      <c r="EC429" s="2"/>
      <c r="ED429" s="2"/>
      <c r="EE429" s="2"/>
      <c r="EF429" s="2"/>
      <c r="EG429" s="2"/>
      <c r="EH429" s="2"/>
      <c r="EI429" s="2"/>
      <c r="EJ429" s="2"/>
      <c r="EK429" s="2"/>
      <c r="EL429" s="2"/>
      <c r="EM429" s="2"/>
      <c r="EN429" s="2"/>
      <c r="EO429" s="2"/>
      <c r="EP429" s="2"/>
      <c r="EQ429" s="2"/>
      <c r="ER429" s="2"/>
      <c r="ES429" s="2"/>
      <c r="ET429" s="2"/>
      <c r="EU429" s="2"/>
      <c r="EV429" s="2"/>
      <c r="EW429" s="2"/>
      <c r="EX429" s="2"/>
      <c r="EY429" s="2"/>
      <c r="EZ429" s="2"/>
      <c r="FA429" s="2"/>
      <c r="FB429" s="2"/>
      <c r="FC429" s="2"/>
      <c r="FD429" s="2"/>
      <c r="FE429" s="2"/>
      <c r="FF429" s="2"/>
      <c r="FG429" s="2"/>
      <c r="FH429" s="2"/>
      <c r="FI429" s="2"/>
      <c r="FJ429" s="2"/>
      <c r="FK429" s="2"/>
      <c r="FL429" s="2"/>
      <c r="FM429" s="2"/>
      <c r="FN429" s="2"/>
      <c r="FO429" s="2"/>
      <c r="FP429" s="2"/>
      <c r="FQ429" s="2"/>
      <c r="FR429" s="2"/>
      <c r="FS429" s="2"/>
      <c r="FT429" s="2"/>
      <c r="FU429" s="2"/>
      <c r="FV429" s="2"/>
      <c r="FW429" s="2"/>
      <c r="FX429" s="2"/>
      <c r="FY429" s="2"/>
      <c r="FZ429" s="2"/>
      <c r="GA429" s="2"/>
      <c r="GB429" s="2"/>
      <c r="GC429" s="2"/>
      <c r="GD429" s="2"/>
      <c r="GE429" s="2"/>
      <c r="GF429" s="2"/>
      <c r="GG429" s="2"/>
      <c r="GH429" s="2"/>
      <c r="GI429" s="2"/>
      <c r="GJ429" s="2"/>
      <c r="GK429" s="2"/>
      <c r="GL429" s="2"/>
      <c r="GM429" s="2"/>
      <c r="GN429" s="2"/>
      <c r="GO429" s="2"/>
      <c r="GP429" s="2"/>
      <c r="GQ429" s="2"/>
      <c r="GR429" s="2"/>
      <c r="GS429" s="2"/>
      <c r="GT429" s="2"/>
      <c r="GU429" s="2"/>
      <c r="GV429" s="2"/>
      <c r="GW429" s="2"/>
      <c r="GX429" s="2"/>
      <c r="GY429" s="2"/>
      <c r="GZ429" s="2"/>
      <c r="HA429" s="2"/>
      <c r="HB429" s="2"/>
      <c r="HC429" s="2"/>
      <c r="HD429" s="2"/>
      <c r="HE429" s="2"/>
      <c r="HF429" s="2"/>
      <c r="HG429" s="2"/>
      <c r="HH429" s="2"/>
      <c r="HI429" s="2"/>
      <c r="HJ429" s="2"/>
      <c r="HK429" s="2"/>
      <c r="HL429" s="2"/>
      <c r="HM429" s="2"/>
      <c r="HN429" s="2"/>
      <c r="HO429" s="2"/>
      <c r="HP429" s="2"/>
      <c r="HQ429" s="2"/>
      <c r="HR429" s="2"/>
      <c r="HS429" s="2"/>
      <c r="HT429" s="2"/>
      <c r="HU429" s="2"/>
      <c r="HV429" s="2"/>
      <c r="HW429" s="2"/>
      <c r="HX429" s="2"/>
      <c r="HY429" s="2"/>
      <c r="HZ429" s="2"/>
      <c r="IA429" s="2"/>
      <c r="IB429" s="2"/>
      <c r="IC429" s="2"/>
    </row>
    <row r="430" spans="1:237" x14ac:dyDescent="0.2">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c r="AB430" s="2"/>
      <c r="AC430" s="2"/>
      <c r="AD430" s="2"/>
      <c r="AE430" s="2"/>
      <c r="AF430" s="2"/>
      <c r="AG430" s="2"/>
      <c r="AH430" s="2"/>
      <c r="AI430" s="2"/>
      <c r="AJ430" s="2"/>
      <c r="AK430" s="2"/>
      <c r="AL430" s="2"/>
      <c r="AM430" s="2"/>
      <c r="AN430" s="2"/>
      <c r="AO430" s="2"/>
      <c r="AP430" s="2"/>
      <c r="AQ430" s="2"/>
      <c r="AR430" s="2"/>
      <c r="AS430" s="2"/>
      <c r="AT430" s="2"/>
      <c r="AU430" s="2"/>
      <c r="AV430" s="2"/>
      <c r="AW430" s="2"/>
      <c r="AX430" s="2"/>
      <c r="AY430" s="2"/>
      <c r="AZ430" s="2"/>
      <c r="BA430" s="2"/>
      <c r="BB430" s="2"/>
      <c r="BC430" s="2"/>
      <c r="BD430" s="2"/>
      <c r="BE430" s="2"/>
      <c r="BF430" s="2"/>
      <c r="BG430" s="2"/>
      <c r="BH430" s="2"/>
      <c r="BI430" s="2"/>
      <c r="BJ430" s="2"/>
      <c r="BK430" s="2"/>
      <c r="BL430" s="2"/>
      <c r="BM430" s="2"/>
      <c r="BN430" s="2"/>
      <c r="BO430" s="2"/>
      <c r="BP430" s="2"/>
      <c r="BQ430" s="2"/>
      <c r="BR430" s="2"/>
      <c r="BS430" s="2"/>
      <c r="BT430" s="2"/>
      <c r="BU430" s="2"/>
      <c r="BV430" s="2"/>
      <c r="BW430" s="2"/>
      <c r="BX430" s="2"/>
      <c r="BY430" s="2"/>
      <c r="BZ430" s="2"/>
      <c r="CA430" s="2"/>
      <c r="CB430" s="2"/>
      <c r="CC430" s="2"/>
      <c r="CD430" s="2"/>
      <c r="CE430" s="2"/>
      <c r="CF430" s="2"/>
      <c r="CG430" s="2"/>
      <c r="CH430" s="2"/>
      <c r="CI430" s="2"/>
      <c r="CJ430" s="2"/>
      <c r="CK430" s="2"/>
      <c r="CL430" s="2"/>
      <c r="CM430" s="2"/>
      <c r="CN430" s="2"/>
      <c r="CO430" s="2"/>
      <c r="CP430" s="2"/>
      <c r="CQ430" s="2"/>
      <c r="CR430" s="2"/>
      <c r="CS430" s="2"/>
      <c r="CT430" s="2"/>
      <c r="CU430" s="2"/>
      <c r="CV430" s="2"/>
      <c r="CW430" s="2"/>
      <c r="CX430" s="2"/>
      <c r="CY430" s="2"/>
      <c r="CZ430" s="2"/>
      <c r="DA430" s="2"/>
      <c r="DB430" s="2"/>
      <c r="DC430" s="2"/>
      <c r="DD430" s="2"/>
      <c r="DE430" s="2"/>
      <c r="DF430" s="2"/>
      <c r="DG430" s="2"/>
      <c r="DH430" s="2"/>
      <c r="DI430" s="2"/>
      <c r="DJ430" s="2"/>
      <c r="DK430" s="2"/>
      <c r="DL430" s="2"/>
      <c r="DM430" s="2"/>
      <c r="DN430" s="2"/>
      <c r="DO430" s="2"/>
      <c r="DP430" s="2"/>
      <c r="DQ430" s="2"/>
      <c r="DR430" s="2"/>
      <c r="DS430" s="2"/>
      <c r="DT430" s="2"/>
      <c r="DU430" s="2"/>
      <c r="DV430" s="2"/>
      <c r="DW430" s="2"/>
      <c r="DX430" s="2"/>
      <c r="DY430" s="2"/>
      <c r="DZ430" s="2"/>
      <c r="EA430" s="2"/>
      <c r="EB430" s="2"/>
      <c r="EC430" s="2"/>
      <c r="ED430" s="2"/>
      <c r="EE430" s="2"/>
      <c r="EF430" s="2"/>
      <c r="EG430" s="2"/>
      <c r="EH430" s="2"/>
      <c r="EI430" s="2"/>
      <c r="EJ430" s="2"/>
      <c r="EK430" s="2"/>
      <c r="EL430" s="2"/>
      <c r="EM430" s="2"/>
      <c r="EN430" s="2"/>
      <c r="EO430" s="2"/>
      <c r="EP430" s="2"/>
      <c r="EQ430" s="2"/>
      <c r="ER430" s="2"/>
      <c r="ES430" s="2"/>
      <c r="ET430" s="2"/>
      <c r="EU430" s="2"/>
      <c r="EV430" s="2"/>
      <c r="EW430" s="2"/>
      <c r="EX430" s="2"/>
      <c r="EY430" s="2"/>
      <c r="EZ430" s="2"/>
      <c r="FA430" s="2"/>
      <c r="FB430" s="2"/>
      <c r="FC430" s="2"/>
      <c r="FD430" s="2"/>
      <c r="FE430" s="2"/>
      <c r="FF430" s="2"/>
      <c r="FG430" s="2"/>
      <c r="FH430" s="2"/>
      <c r="FI430" s="2"/>
      <c r="FJ430" s="2"/>
      <c r="FK430" s="2"/>
      <c r="FL430" s="2"/>
      <c r="FM430" s="2"/>
      <c r="FN430" s="2"/>
      <c r="FO430" s="2"/>
      <c r="FP430" s="2"/>
      <c r="FQ430" s="2"/>
      <c r="FR430" s="2"/>
      <c r="FS430" s="2"/>
      <c r="FT430" s="2"/>
      <c r="FU430" s="2"/>
      <c r="FV430" s="2"/>
      <c r="FW430" s="2"/>
      <c r="FX430" s="2"/>
      <c r="FY430" s="2"/>
      <c r="FZ430" s="2"/>
      <c r="GA430" s="2"/>
      <c r="GB430" s="2"/>
      <c r="GC430" s="2"/>
      <c r="GD430" s="2"/>
      <c r="GE430" s="2"/>
      <c r="GF430" s="2"/>
      <c r="GG430" s="2"/>
      <c r="GH430" s="2"/>
      <c r="GI430" s="2"/>
      <c r="GJ430" s="2"/>
      <c r="GK430" s="2"/>
      <c r="GL430" s="2"/>
      <c r="GM430" s="2"/>
      <c r="GN430" s="2"/>
      <c r="GO430" s="2"/>
      <c r="GP430" s="2"/>
      <c r="GQ430" s="2"/>
      <c r="GR430" s="2"/>
      <c r="GS430" s="2"/>
      <c r="GT430" s="2"/>
      <c r="GU430" s="2"/>
      <c r="GV430" s="2"/>
      <c r="GW430" s="2"/>
      <c r="GX430" s="2"/>
      <c r="GY430" s="2"/>
      <c r="GZ430" s="2"/>
      <c r="HA430" s="2"/>
      <c r="HB430" s="2"/>
      <c r="HC430" s="2"/>
      <c r="HD430" s="2"/>
      <c r="HE430" s="2"/>
      <c r="HF430" s="2"/>
      <c r="HG430" s="2"/>
      <c r="HH430" s="2"/>
      <c r="HI430" s="2"/>
      <c r="HJ430" s="2"/>
      <c r="HK430" s="2"/>
      <c r="HL430" s="2"/>
      <c r="HM430" s="2"/>
      <c r="HN430" s="2"/>
      <c r="HO430" s="2"/>
      <c r="HP430" s="2"/>
      <c r="HQ430" s="2"/>
      <c r="HR430" s="2"/>
      <c r="HS430" s="2"/>
      <c r="HT430" s="2"/>
      <c r="HU430" s="2"/>
      <c r="HV430" s="2"/>
      <c r="HW430" s="2"/>
      <c r="HX430" s="2"/>
      <c r="HY430" s="2"/>
      <c r="HZ430" s="2"/>
      <c r="IA430" s="2"/>
      <c r="IB430" s="2"/>
      <c r="IC430" s="2"/>
    </row>
    <row r="431" spans="1:237" x14ac:dyDescent="0.2">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c r="AB431" s="2"/>
      <c r="AC431" s="2"/>
      <c r="AD431" s="2"/>
      <c r="AE431" s="2"/>
      <c r="AF431" s="2"/>
      <c r="AG431" s="2"/>
      <c r="AH431" s="2"/>
      <c r="AI431" s="2"/>
      <c r="AJ431" s="2"/>
      <c r="AK431" s="2"/>
      <c r="AL431" s="2"/>
      <c r="AM431" s="2"/>
      <c r="AN431" s="2"/>
      <c r="AO431" s="2"/>
      <c r="AP431" s="2"/>
      <c r="AQ431" s="2"/>
      <c r="AR431" s="2"/>
      <c r="AS431" s="2"/>
      <c r="AT431" s="2"/>
      <c r="AU431" s="2"/>
      <c r="AV431" s="2"/>
      <c r="AW431" s="2"/>
      <c r="AX431" s="2"/>
      <c r="AY431" s="2"/>
      <c r="AZ431" s="2"/>
      <c r="BA431" s="2"/>
      <c r="BB431" s="2"/>
      <c r="BC431" s="2"/>
      <c r="BD431" s="2"/>
      <c r="BE431" s="2"/>
      <c r="BF431" s="2"/>
      <c r="BG431" s="2"/>
      <c r="BH431" s="2"/>
      <c r="BI431" s="2"/>
      <c r="BJ431" s="2"/>
      <c r="BK431" s="2"/>
      <c r="BL431" s="2"/>
      <c r="BM431" s="2"/>
      <c r="BN431" s="2"/>
      <c r="BO431" s="2"/>
      <c r="BP431" s="2"/>
      <c r="BQ431" s="2"/>
      <c r="BR431" s="2"/>
      <c r="BS431" s="2"/>
      <c r="BT431" s="2"/>
      <c r="BU431" s="2"/>
      <c r="BV431" s="2"/>
      <c r="BW431" s="2"/>
      <c r="BX431" s="2"/>
      <c r="BY431" s="2"/>
      <c r="BZ431" s="2"/>
      <c r="CA431" s="2"/>
      <c r="CB431" s="2"/>
      <c r="CC431" s="2"/>
      <c r="CD431" s="2"/>
      <c r="CE431" s="2"/>
      <c r="CF431" s="2"/>
      <c r="CG431" s="2"/>
      <c r="CH431" s="2"/>
      <c r="CI431" s="2"/>
      <c r="CJ431" s="2"/>
      <c r="CK431" s="2"/>
      <c r="CL431" s="2"/>
      <c r="CM431" s="2"/>
      <c r="CN431" s="2"/>
      <c r="CO431" s="2"/>
      <c r="CP431" s="2"/>
      <c r="CQ431" s="2"/>
      <c r="CR431" s="2"/>
      <c r="CS431" s="2"/>
      <c r="CT431" s="2"/>
      <c r="CU431" s="2"/>
      <c r="CV431" s="2"/>
      <c r="CW431" s="2"/>
      <c r="CX431" s="2"/>
      <c r="CY431" s="2"/>
      <c r="CZ431" s="2"/>
      <c r="DA431" s="2"/>
      <c r="DB431" s="2"/>
      <c r="DC431" s="2"/>
      <c r="DD431" s="2"/>
      <c r="DE431" s="2"/>
      <c r="DF431" s="2"/>
      <c r="DG431" s="2"/>
      <c r="DH431" s="2"/>
      <c r="DI431" s="2"/>
      <c r="DJ431" s="2"/>
      <c r="DK431" s="2"/>
      <c r="DL431" s="2"/>
      <c r="DM431" s="2"/>
      <c r="DN431" s="2"/>
      <c r="DO431" s="2"/>
      <c r="DP431" s="2"/>
      <c r="DQ431" s="2"/>
      <c r="DR431" s="2"/>
      <c r="DS431" s="2"/>
      <c r="DT431" s="2"/>
      <c r="DU431" s="2"/>
      <c r="DV431" s="2"/>
      <c r="DW431" s="2"/>
      <c r="DX431" s="2"/>
      <c r="DY431" s="2"/>
      <c r="DZ431" s="2"/>
      <c r="EA431" s="2"/>
      <c r="EB431" s="2"/>
      <c r="EC431" s="2"/>
      <c r="ED431" s="2"/>
      <c r="EE431" s="2"/>
      <c r="EF431" s="2"/>
      <c r="EG431" s="2"/>
      <c r="EH431" s="2"/>
      <c r="EI431" s="2"/>
      <c r="EJ431" s="2"/>
      <c r="EK431" s="2"/>
      <c r="EL431" s="2"/>
      <c r="EM431" s="2"/>
      <c r="EN431" s="2"/>
      <c r="EO431" s="2"/>
      <c r="EP431" s="2"/>
      <c r="EQ431" s="2"/>
      <c r="ER431" s="2"/>
      <c r="ES431" s="2"/>
      <c r="ET431" s="2"/>
      <c r="EU431" s="2"/>
      <c r="EV431" s="2"/>
      <c r="EW431" s="2"/>
      <c r="EX431" s="2"/>
      <c r="EY431" s="2"/>
      <c r="EZ431" s="2"/>
      <c r="FA431" s="2"/>
      <c r="FB431" s="2"/>
      <c r="FC431" s="2"/>
      <c r="FD431" s="2"/>
      <c r="FE431" s="2"/>
      <c r="FF431" s="2"/>
      <c r="FG431" s="2"/>
      <c r="FH431" s="2"/>
      <c r="FI431" s="2"/>
      <c r="FJ431" s="2"/>
      <c r="FK431" s="2"/>
      <c r="FL431" s="2"/>
      <c r="FM431" s="2"/>
      <c r="FN431" s="2"/>
      <c r="FO431" s="2"/>
      <c r="FP431" s="2"/>
      <c r="FQ431" s="2"/>
      <c r="FR431" s="2"/>
      <c r="FS431" s="2"/>
      <c r="FT431" s="2"/>
      <c r="FU431" s="2"/>
      <c r="FV431" s="2"/>
      <c r="FW431" s="2"/>
      <c r="FX431" s="2"/>
      <c r="FY431" s="2"/>
      <c r="FZ431" s="2"/>
      <c r="GA431" s="2"/>
      <c r="GB431" s="2"/>
      <c r="GC431" s="2"/>
      <c r="GD431" s="2"/>
      <c r="GE431" s="2"/>
      <c r="GF431" s="2"/>
      <c r="GG431" s="2"/>
      <c r="GH431" s="2"/>
      <c r="GI431" s="2"/>
      <c r="GJ431" s="2"/>
      <c r="GK431" s="2"/>
      <c r="GL431" s="2"/>
      <c r="GM431" s="2"/>
      <c r="GN431" s="2"/>
      <c r="GO431" s="2"/>
      <c r="GP431" s="2"/>
      <c r="GQ431" s="2"/>
      <c r="GR431" s="2"/>
      <c r="GS431" s="2"/>
      <c r="GT431" s="2"/>
      <c r="GU431" s="2"/>
      <c r="GV431" s="2"/>
      <c r="GW431" s="2"/>
      <c r="GX431" s="2"/>
      <c r="GY431" s="2"/>
      <c r="GZ431" s="2"/>
      <c r="HA431" s="2"/>
      <c r="HB431" s="2"/>
      <c r="HC431" s="2"/>
      <c r="HD431" s="2"/>
      <c r="HE431" s="2"/>
      <c r="HF431" s="2"/>
      <c r="HG431" s="2"/>
      <c r="HH431" s="2"/>
      <c r="HI431" s="2"/>
      <c r="HJ431" s="2"/>
      <c r="HK431" s="2"/>
      <c r="HL431" s="2"/>
      <c r="HM431" s="2"/>
      <c r="HN431" s="2"/>
      <c r="HO431" s="2"/>
      <c r="HP431" s="2"/>
      <c r="HQ431" s="2"/>
      <c r="HR431" s="2"/>
      <c r="HS431" s="2"/>
      <c r="HT431" s="2"/>
      <c r="HU431" s="2"/>
      <c r="HV431" s="2"/>
      <c r="HW431" s="2"/>
      <c r="HX431" s="2"/>
      <c r="HY431" s="2"/>
      <c r="HZ431" s="2"/>
      <c r="IA431" s="2"/>
      <c r="IB431" s="2"/>
      <c r="IC431" s="2"/>
    </row>
    <row r="432" spans="1:237" x14ac:dyDescent="0.2">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c r="AB432" s="2"/>
      <c r="AC432" s="2"/>
      <c r="AD432" s="2"/>
      <c r="AE432" s="2"/>
      <c r="AF432" s="2"/>
      <c r="AG432" s="2"/>
      <c r="AH432" s="2"/>
      <c r="AI432" s="2"/>
      <c r="AJ432" s="2"/>
      <c r="AK432" s="2"/>
      <c r="AL432" s="2"/>
      <c r="AM432" s="2"/>
      <c r="AN432" s="2"/>
      <c r="AO432" s="2"/>
      <c r="AP432" s="2"/>
      <c r="AQ432" s="2"/>
      <c r="AR432" s="2"/>
      <c r="AS432" s="2"/>
      <c r="AT432" s="2"/>
      <c r="AU432" s="2"/>
      <c r="AV432" s="2"/>
      <c r="AW432" s="2"/>
      <c r="AX432" s="2"/>
      <c r="AY432" s="2"/>
      <c r="AZ432" s="2"/>
      <c r="BA432" s="2"/>
      <c r="BB432" s="2"/>
      <c r="BC432" s="2"/>
      <c r="BD432" s="2"/>
      <c r="BE432" s="2"/>
      <c r="BF432" s="2"/>
      <c r="BG432" s="2"/>
      <c r="BH432" s="2"/>
      <c r="BI432" s="2"/>
      <c r="BJ432" s="2"/>
      <c r="BK432" s="2"/>
      <c r="BL432" s="2"/>
      <c r="BM432" s="2"/>
      <c r="BN432" s="2"/>
      <c r="BO432" s="2"/>
      <c r="BP432" s="2"/>
      <c r="BQ432" s="2"/>
      <c r="BR432" s="2"/>
      <c r="BS432" s="2"/>
      <c r="BT432" s="2"/>
      <c r="BU432" s="2"/>
      <c r="BV432" s="2"/>
      <c r="BW432" s="2"/>
      <c r="BX432" s="2"/>
      <c r="BY432" s="2"/>
      <c r="BZ432" s="2"/>
      <c r="CA432" s="2"/>
      <c r="CB432" s="2"/>
      <c r="CC432" s="2"/>
      <c r="CD432" s="2"/>
      <c r="CE432" s="2"/>
      <c r="CF432" s="2"/>
      <c r="CG432" s="2"/>
      <c r="CH432" s="2"/>
      <c r="CI432" s="2"/>
      <c r="CJ432" s="2"/>
      <c r="CK432" s="2"/>
      <c r="CL432" s="2"/>
      <c r="CM432" s="2"/>
      <c r="CN432" s="2"/>
      <c r="CO432" s="2"/>
      <c r="CP432" s="2"/>
      <c r="CQ432" s="2"/>
      <c r="CR432" s="2"/>
      <c r="CS432" s="2"/>
      <c r="CT432" s="2"/>
      <c r="CU432" s="2"/>
      <c r="CV432" s="2"/>
      <c r="CW432" s="2"/>
      <c r="CX432" s="2"/>
      <c r="CY432" s="2"/>
      <c r="CZ432" s="2"/>
      <c r="DA432" s="2"/>
      <c r="DB432" s="2"/>
      <c r="DC432" s="2"/>
      <c r="DD432" s="2"/>
      <c r="DE432" s="2"/>
      <c r="DF432" s="2"/>
      <c r="DG432" s="2"/>
      <c r="DH432" s="2"/>
      <c r="DI432" s="2"/>
      <c r="DJ432" s="2"/>
      <c r="DK432" s="2"/>
      <c r="DL432" s="2"/>
      <c r="DM432" s="2"/>
      <c r="DN432" s="2"/>
      <c r="DO432" s="2"/>
      <c r="DP432" s="2"/>
      <c r="DQ432" s="2"/>
      <c r="DR432" s="2"/>
      <c r="DS432" s="2"/>
      <c r="DT432" s="2"/>
      <c r="DU432" s="2"/>
      <c r="DV432" s="2"/>
      <c r="DW432" s="2"/>
      <c r="DX432" s="2"/>
      <c r="DY432" s="2"/>
      <c r="DZ432" s="2"/>
      <c r="EA432" s="2"/>
      <c r="EB432" s="2"/>
      <c r="EC432" s="2"/>
      <c r="ED432" s="2"/>
      <c r="EE432" s="2"/>
      <c r="EF432" s="2"/>
      <c r="EG432" s="2"/>
      <c r="EH432" s="2"/>
      <c r="EI432" s="2"/>
      <c r="EJ432" s="2"/>
      <c r="EK432" s="2"/>
      <c r="EL432" s="2"/>
      <c r="EM432" s="2"/>
      <c r="EN432" s="2"/>
      <c r="EO432" s="2"/>
      <c r="EP432" s="2"/>
      <c r="EQ432" s="2"/>
      <c r="ER432" s="2"/>
      <c r="ES432" s="2"/>
      <c r="ET432" s="2"/>
      <c r="EU432" s="2"/>
      <c r="EV432" s="2"/>
      <c r="EW432" s="2"/>
      <c r="EX432" s="2"/>
      <c r="EY432" s="2"/>
      <c r="EZ432" s="2"/>
      <c r="FA432" s="2"/>
      <c r="FB432" s="2"/>
      <c r="FC432" s="2"/>
      <c r="FD432" s="2"/>
      <c r="FE432" s="2"/>
      <c r="FF432" s="2"/>
      <c r="FG432" s="2"/>
      <c r="FH432" s="2"/>
      <c r="FI432" s="2"/>
      <c r="FJ432" s="2"/>
      <c r="FK432" s="2"/>
      <c r="FL432" s="2"/>
      <c r="FM432" s="2"/>
      <c r="FN432" s="2"/>
      <c r="FO432" s="2"/>
      <c r="FP432" s="2"/>
      <c r="FQ432" s="2"/>
      <c r="FR432" s="2"/>
      <c r="FS432" s="2"/>
      <c r="FT432" s="2"/>
      <c r="FU432" s="2"/>
      <c r="FV432" s="2"/>
      <c r="FW432" s="2"/>
      <c r="FX432" s="2"/>
      <c r="FY432" s="2"/>
      <c r="FZ432" s="2"/>
      <c r="GA432" s="2"/>
      <c r="GB432" s="2"/>
      <c r="GC432" s="2"/>
      <c r="GD432" s="2"/>
      <c r="GE432" s="2"/>
      <c r="GF432" s="2"/>
      <c r="GG432" s="2"/>
      <c r="GH432" s="2"/>
      <c r="GI432" s="2"/>
      <c r="GJ432" s="2"/>
      <c r="GK432" s="2"/>
      <c r="GL432" s="2"/>
      <c r="GM432" s="2"/>
      <c r="GN432" s="2"/>
      <c r="GO432" s="2"/>
      <c r="GP432" s="2"/>
      <c r="GQ432" s="2"/>
      <c r="GR432" s="2"/>
      <c r="GS432" s="2"/>
      <c r="GT432" s="2"/>
      <c r="GU432" s="2"/>
      <c r="GV432" s="2"/>
      <c r="GW432" s="2"/>
      <c r="GX432" s="2"/>
      <c r="GY432" s="2"/>
      <c r="GZ432" s="2"/>
      <c r="HA432" s="2"/>
      <c r="HB432" s="2"/>
      <c r="HC432" s="2"/>
      <c r="HD432" s="2"/>
      <c r="HE432" s="2"/>
      <c r="HF432" s="2"/>
      <c r="HG432" s="2"/>
      <c r="HH432" s="2"/>
      <c r="HI432" s="2"/>
      <c r="HJ432" s="2"/>
      <c r="HK432" s="2"/>
      <c r="HL432" s="2"/>
      <c r="HM432" s="2"/>
      <c r="HN432" s="2"/>
      <c r="HO432" s="2"/>
      <c r="HP432" s="2"/>
      <c r="HQ432" s="2"/>
      <c r="HR432" s="2"/>
      <c r="HS432" s="2"/>
      <c r="HT432" s="2"/>
      <c r="HU432" s="2"/>
      <c r="HV432" s="2"/>
      <c r="HW432" s="2"/>
      <c r="HX432" s="2"/>
      <c r="HY432" s="2"/>
      <c r="HZ432" s="2"/>
      <c r="IA432" s="2"/>
      <c r="IB432" s="2"/>
      <c r="IC432" s="2"/>
    </row>
    <row r="433" spans="1:237" x14ac:dyDescent="0.2">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c r="AB433" s="2"/>
      <c r="AC433" s="2"/>
      <c r="AD433" s="2"/>
      <c r="AE433" s="2"/>
      <c r="AF433" s="2"/>
      <c r="AG433" s="2"/>
      <c r="AH433" s="2"/>
      <c r="AI433" s="2"/>
      <c r="AJ433" s="2"/>
      <c r="AK433" s="2"/>
      <c r="AL433" s="2"/>
      <c r="AM433" s="2"/>
      <c r="AN433" s="2"/>
      <c r="AO433" s="2"/>
      <c r="AP433" s="2"/>
      <c r="AQ433" s="2"/>
      <c r="AR433" s="2"/>
      <c r="AS433" s="2"/>
      <c r="AT433" s="2"/>
      <c r="AU433" s="2"/>
      <c r="AV433" s="2"/>
      <c r="AW433" s="2"/>
      <c r="AX433" s="2"/>
      <c r="AY433" s="2"/>
      <c r="AZ433" s="2"/>
      <c r="BA433" s="2"/>
      <c r="BB433" s="2"/>
      <c r="BC433" s="2"/>
      <c r="BD433" s="2"/>
      <c r="BE433" s="2"/>
      <c r="BF433" s="2"/>
      <c r="BG433" s="2"/>
      <c r="BH433" s="2"/>
      <c r="BI433" s="2"/>
      <c r="BJ433" s="2"/>
      <c r="BK433" s="2"/>
      <c r="BL433" s="2"/>
      <c r="BM433" s="2"/>
      <c r="BN433" s="2"/>
      <c r="BO433" s="2"/>
      <c r="BP433" s="2"/>
      <c r="BQ433" s="2"/>
      <c r="BR433" s="2"/>
      <c r="BS433" s="2"/>
      <c r="BT433" s="2"/>
      <c r="BU433" s="2"/>
      <c r="BV433" s="2"/>
      <c r="BW433" s="2"/>
      <c r="BX433" s="2"/>
      <c r="BY433" s="2"/>
      <c r="BZ433" s="2"/>
      <c r="CA433" s="2"/>
      <c r="CB433" s="2"/>
      <c r="CC433" s="2"/>
      <c r="CD433" s="2"/>
      <c r="CE433" s="2"/>
      <c r="CF433" s="2"/>
      <c r="CG433" s="2"/>
      <c r="CH433" s="2"/>
      <c r="CI433" s="2"/>
      <c r="CJ433" s="2"/>
      <c r="CK433" s="2"/>
      <c r="CL433" s="2"/>
      <c r="CM433" s="2"/>
      <c r="CN433" s="2"/>
      <c r="CO433" s="2"/>
      <c r="CP433" s="2"/>
      <c r="CQ433" s="2"/>
      <c r="CR433" s="2"/>
      <c r="CS433" s="2"/>
      <c r="CT433" s="2"/>
      <c r="CU433" s="2"/>
      <c r="CV433" s="2"/>
      <c r="CW433" s="2"/>
      <c r="CX433" s="2"/>
      <c r="CY433" s="2"/>
      <c r="CZ433" s="2"/>
      <c r="DA433" s="2"/>
      <c r="DB433" s="2"/>
      <c r="DC433" s="2"/>
      <c r="DD433" s="2"/>
      <c r="DE433" s="2"/>
      <c r="DF433" s="2"/>
      <c r="DG433" s="2"/>
      <c r="DH433" s="2"/>
      <c r="DI433" s="2"/>
      <c r="DJ433" s="2"/>
      <c r="DK433" s="2"/>
      <c r="DL433" s="2"/>
      <c r="DM433" s="2"/>
      <c r="DN433" s="2"/>
      <c r="DO433" s="2"/>
      <c r="DP433" s="2"/>
      <c r="DQ433" s="2"/>
      <c r="DR433" s="2"/>
      <c r="DS433" s="2"/>
      <c r="DT433" s="2"/>
      <c r="DU433" s="2"/>
      <c r="DV433" s="2"/>
      <c r="DW433" s="2"/>
      <c r="DX433" s="2"/>
      <c r="DY433" s="2"/>
      <c r="DZ433" s="2"/>
      <c r="EA433" s="2"/>
      <c r="EB433" s="2"/>
      <c r="EC433" s="2"/>
      <c r="ED433" s="2"/>
      <c r="EE433" s="2"/>
      <c r="EF433" s="2"/>
      <c r="EG433" s="2"/>
      <c r="EH433" s="2"/>
      <c r="EI433" s="2"/>
      <c r="EJ433" s="2"/>
      <c r="EK433" s="2"/>
      <c r="EL433" s="2"/>
      <c r="EM433" s="2"/>
      <c r="EN433" s="2"/>
      <c r="EO433" s="2"/>
      <c r="EP433" s="2"/>
      <c r="EQ433" s="2"/>
      <c r="ER433" s="2"/>
      <c r="ES433" s="2"/>
      <c r="ET433" s="2"/>
      <c r="EU433" s="2"/>
      <c r="EV433" s="2"/>
      <c r="EW433" s="2"/>
      <c r="EX433" s="2"/>
      <c r="EY433" s="2"/>
      <c r="EZ433" s="2"/>
      <c r="FA433" s="2"/>
      <c r="FB433" s="2"/>
      <c r="FC433" s="2"/>
      <c r="FD433" s="2"/>
      <c r="FE433" s="2"/>
      <c r="FF433" s="2"/>
      <c r="FG433" s="2"/>
      <c r="FH433" s="2"/>
      <c r="FI433" s="2"/>
      <c r="FJ433" s="2"/>
      <c r="FK433" s="2"/>
      <c r="FL433" s="2"/>
      <c r="FM433" s="2"/>
      <c r="FN433" s="2"/>
      <c r="FO433" s="2"/>
      <c r="FP433" s="2"/>
      <c r="FQ433" s="2"/>
      <c r="FR433" s="2"/>
      <c r="FS433" s="2"/>
      <c r="FT433" s="2"/>
      <c r="FU433" s="2"/>
      <c r="FV433" s="2"/>
      <c r="FW433" s="2"/>
      <c r="FX433" s="2"/>
      <c r="FY433" s="2"/>
      <c r="FZ433" s="2"/>
      <c r="GA433" s="2"/>
      <c r="GB433" s="2"/>
      <c r="GC433" s="2"/>
      <c r="GD433" s="2"/>
      <c r="GE433" s="2"/>
      <c r="GF433" s="2"/>
      <c r="GG433" s="2"/>
      <c r="GH433" s="2"/>
      <c r="GI433" s="2"/>
      <c r="GJ433" s="2"/>
      <c r="GK433" s="2"/>
      <c r="GL433" s="2"/>
      <c r="GM433" s="2"/>
      <c r="GN433" s="2"/>
      <c r="GO433" s="2"/>
      <c r="GP433" s="2"/>
      <c r="GQ433" s="2"/>
      <c r="GR433" s="2"/>
      <c r="GS433" s="2"/>
      <c r="GT433" s="2"/>
      <c r="GU433" s="2"/>
      <c r="GV433" s="2"/>
      <c r="GW433" s="2"/>
      <c r="GX433" s="2"/>
      <c r="GY433" s="2"/>
      <c r="GZ433" s="2"/>
      <c r="HA433" s="2"/>
      <c r="HB433" s="2"/>
      <c r="HC433" s="2"/>
      <c r="HD433" s="2"/>
      <c r="HE433" s="2"/>
      <c r="HF433" s="2"/>
      <c r="HG433" s="2"/>
      <c r="HH433" s="2"/>
      <c r="HI433" s="2"/>
      <c r="HJ433" s="2"/>
      <c r="HK433" s="2"/>
      <c r="HL433" s="2"/>
      <c r="HM433" s="2"/>
      <c r="HN433" s="2"/>
      <c r="HO433" s="2"/>
      <c r="HP433" s="2"/>
      <c r="HQ433" s="2"/>
      <c r="HR433" s="2"/>
      <c r="HS433" s="2"/>
      <c r="HT433" s="2"/>
      <c r="HU433" s="2"/>
      <c r="HV433" s="2"/>
      <c r="HW433" s="2"/>
      <c r="HX433" s="2"/>
      <c r="HY433" s="2"/>
      <c r="HZ433" s="2"/>
      <c r="IA433" s="2"/>
      <c r="IB433" s="2"/>
      <c r="IC433" s="2"/>
    </row>
    <row r="434" spans="1:237" x14ac:dyDescent="0.2">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c r="AB434" s="2"/>
      <c r="AC434" s="2"/>
      <c r="AD434" s="2"/>
      <c r="AE434" s="2"/>
      <c r="AF434" s="2"/>
      <c r="AG434" s="2"/>
      <c r="AH434" s="2"/>
      <c r="AI434" s="2"/>
      <c r="AJ434" s="2"/>
      <c r="AK434" s="2"/>
      <c r="AL434" s="2"/>
      <c r="AM434" s="2"/>
      <c r="AN434" s="2"/>
      <c r="AO434" s="2"/>
      <c r="AP434" s="2"/>
      <c r="AQ434" s="2"/>
      <c r="AR434" s="2"/>
      <c r="AS434" s="2"/>
      <c r="AT434" s="2"/>
      <c r="AU434" s="2"/>
      <c r="AV434" s="2"/>
      <c r="AW434" s="2"/>
      <c r="AX434" s="2"/>
      <c r="AY434" s="2"/>
      <c r="AZ434" s="2"/>
      <c r="BA434" s="2"/>
      <c r="BB434" s="2"/>
      <c r="BC434" s="2"/>
      <c r="BD434" s="2"/>
      <c r="BE434" s="2"/>
      <c r="BF434" s="2"/>
      <c r="BG434" s="2"/>
      <c r="BH434" s="2"/>
      <c r="BI434" s="2"/>
      <c r="BJ434" s="2"/>
      <c r="BK434" s="2"/>
      <c r="BL434" s="2"/>
      <c r="BM434" s="2"/>
      <c r="BN434" s="2"/>
      <c r="BO434" s="2"/>
      <c r="BP434" s="2"/>
      <c r="BQ434" s="2"/>
      <c r="BR434" s="2"/>
      <c r="BS434" s="2"/>
      <c r="BT434" s="2"/>
      <c r="BU434" s="2"/>
      <c r="BV434" s="2"/>
      <c r="BW434" s="2"/>
      <c r="BX434" s="2"/>
      <c r="BY434" s="2"/>
      <c r="BZ434" s="2"/>
      <c r="CA434" s="2"/>
      <c r="CB434" s="2"/>
      <c r="CC434" s="2"/>
      <c r="CD434" s="2"/>
      <c r="CE434" s="2"/>
      <c r="CF434" s="2"/>
      <c r="CG434" s="2"/>
      <c r="CH434" s="2"/>
      <c r="CI434" s="2"/>
      <c r="CJ434" s="2"/>
      <c r="CK434" s="2"/>
      <c r="CL434" s="2"/>
      <c r="CM434" s="2"/>
      <c r="CN434" s="2"/>
      <c r="CO434" s="2"/>
      <c r="CP434" s="2"/>
      <c r="CQ434" s="2"/>
      <c r="CR434" s="2"/>
      <c r="CS434" s="2"/>
      <c r="CT434" s="2"/>
      <c r="CU434" s="2"/>
      <c r="CV434" s="2"/>
      <c r="CW434" s="2"/>
      <c r="CX434" s="2"/>
      <c r="CY434" s="2"/>
      <c r="CZ434" s="2"/>
      <c r="DA434" s="2"/>
      <c r="DB434" s="2"/>
      <c r="DC434" s="2"/>
      <c r="DD434" s="2"/>
      <c r="DE434" s="2"/>
      <c r="DF434" s="2"/>
      <c r="DG434" s="2"/>
      <c r="DH434" s="2"/>
      <c r="DI434" s="2"/>
      <c r="DJ434" s="2"/>
      <c r="DK434" s="2"/>
      <c r="DL434" s="2"/>
      <c r="DM434" s="2"/>
      <c r="DN434" s="2"/>
      <c r="DO434" s="2"/>
      <c r="DP434" s="2"/>
      <c r="DQ434" s="2"/>
      <c r="DR434" s="2"/>
      <c r="DS434" s="2"/>
      <c r="DT434" s="2"/>
      <c r="DU434" s="2"/>
      <c r="DV434" s="2"/>
      <c r="DW434" s="2"/>
      <c r="DX434" s="2"/>
      <c r="DY434" s="2"/>
      <c r="DZ434" s="2"/>
      <c r="EA434" s="2"/>
      <c r="EB434" s="2"/>
      <c r="EC434" s="2"/>
      <c r="ED434" s="2"/>
      <c r="EE434" s="2"/>
      <c r="EF434" s="2"/>
      <c r="EG434" s="2"/>
      <c r="EH434" s="2"/>
      <c r="EI434" s="2"/>
      <c r="EJ434" s="2"/>
      <c r="EK434" s="2"/>
      <c r="EL434" s="2"/>
      <c r="EM434" s="2"/>
      <c r="EN434" s="2"/>
      <c r="EO434" s="2"/>
      <c r="EP434" s="2"/>
      <c r="EQ434" s="2"/>
      <c r="ER434" s="2"/>
      <c r="ES434" s="2"/>
      <c r="ET434" s="2"/>
      <c r="EU434" s="2"/>
      <c r="EV434" s="2"/>
      <c r="EW434" s="2"/>
      <c r="EX434" s="2"/>
      <c r="EY434" s="2"/>
      <c r="EZ434" s="2"/>
      <c r="FA434" s="2"/>
      <c r="FB434" s="2"/>
      <c r="FC434" s="2"/>
      <c r="FD434" s="2"/>
      <c r="FE434" s="2"/>
      <c r="FF434" s="2"/>
      <c r="FG434" s="2"/>
      <c r="FH434" s="2"/>
      <c r="FI434" s="2"/>
      <c r="FJ434" s="2"/>
      <c r="FK434" s="2"/>
      <c r="FL434" s="2"/>
      <c r="FM434" s="2"/>
      <c r="FN434" s="2"/>
      <c r="FO434" s="2"/>
      <c r="FP434" s="2"/>
      <c r="FQ434" s="2"/>
      <c r="FR434" s="2"/>
      <c r="FS434" s="2"/>
      <c r="FT434" s="2"/>
      <c r="FU434" s="2"/>
      <c r="FV434" s="2"/>
      <c r="FW434" s="2"/>
      <c r="FX434" s="2"/>
      <c r="FY434" s="2"/>
      <c r="FZ434" s="2"/>
      <c r="GA434" s="2"/>
      <c r="GB434" s="2"/>
      <c r="GC434" s="2"/>
      <c r="GD434" s="2"/>
      <c r="GE434" s="2"/>
      <c r="GF434" s="2"/>
      <c r="GG434" s="2"/>
      <c r="GH434" s="2"/>
      <c r="GI434" s="2"/>
      <c r="GJ434" s="2"/>
      <c r="GK434" s="2"/>
      <c r="GL434" s="2"/>
      <c r="GM434" s="2"/>
      <c r="GN434" s="2"/>
      <c r="GO434" s="2"/>
      <c r="GP434" s="2"/>
      <c r="GQ434" s="2"/>
      <c r="GR434" s="2"/>
      <c r="GS434" s="2"/>
      <c r="GT434" s="2"/>
      <c r="GU434" s="2"/>
      <c r="GV434" s="2"/>
      <c r="GW434" s="2"/>
      <c r="GX434" s="2"/>
      <c r="GY434" s="2"/>
      <c r="GZ434" s="2"/>
      <c r="HA434" s="2"/>
      <c r="HB434" s="2"/>
      <c r="HC434" s="2"/>
      <c r="HD434" s="2"/>
      <c r="HE434" s="2"/>
      <c r="HF434" s="2"/>
      <c r="HG434" s="2"/>
      <c r="HH434" s="2"/>
      <c r="HI434" s="2"/>
      <c r="HJ434" s="2"/>
      <c r="HK434" s="2"/>
      <c r="HL434" s="2"/>
      <c r="HM434" s="2"/>
      <c r="HN434" s="2"/>
      <c r="HO434" s="2"/>
      <c r="HP434" s="2"/>
      <c r="HQ434" s="2"/>
      <c r="HR434" s="2"/>
      <c r="HS434" s="2"/>
      <c r="HT434" s="2"/>
      <c r="HU434" s="2"/>
      <c r="HV434" s="2"/>
      <c r="HW434" s="2"/>
      <c r="HX434" s="2"/>
      <c r="HY434" s="2"/>
      <c r="HZ434" s="2"/>
      <c r="IA434" s="2"/>
      <c r="IB434" s="2"/>
      <c r="IC434" s="2"/>
    </row>
    <row r="435" spans="1:237" x14ac:dyDescent="0.2">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c r="AB435" s="2"/>
      <c r="AC435" s="2"/>
      <c r="AD435" s="2"/>
      <c r="AE435" s="2"/>
      <c r="AF435" s="2"/>
      <c r="AG435" s="2"/>
      <c r="AH435" s="2"/>
      <c r="AI435" s="2"/>
      <c r="AJ435" s="2"/>
      <c r="AK435" s="2"/>
      <c r="AL435" s="2"/>
      <c r="AM435" s="2"/>
      <c r="AN435" s="2"/>
      <c r="AO435" s="2"/>
      <c r="AP435" s="2"/>
      <c r="AQ435" s="2"/>
      <c r="AR435" s="2"/>
      <c r="AS435" s="2"/>
      <c r="AT435" s="2"/>
      <c r="AU435" s="2"/>
      <c r="AV435" s="2"/>
      <c r="AW435" s="2"/>
      <c r="AX435" s="2"/>
      <c r="AY435" s="2"/>
      <c r="AZ435" s="2"/>
      <c r="BA435" s="2"/>
      <c r="BB435" s="2"/>
      <c r="BC435" s="2"/>
      <c r="BD435" s="2"/>
      <c r="BE435" s="2"/>
      <c r="BF435" s="2"/>
      <c r="BG435" s="2"/>
      <c r="BH435" s="2"/>
      <c r="BI435" s="2"/>
      <c r="BJ435" s="2"/>
      <c r="BK435" s="2"/>
      <c r="BL435" s="2"/>
      <c r="BM435" s="2"/>
      <c r="BN435" s="2"/>
      <c r="BO435" s="2"/>
      <c r="BP435" s="2"/>
      <c r="BQ435" s="2"/>
      <c r="BR435" s="2"/>
      <c r="BS435" s="2"/>
      <c r="BT435" s="2"/>
      <c r="BU435" s="2"/>
      <c r="BV435" s="2"/>
      <c r="BW435" s="2"/>
      <c r="BX435" s="2"/>
      <c r="BY435" s="2"/>
      <c r="BZ435" s="2"/>
      <c r="CA435" s="2"/>
      <c r="CB435" s="2"/>
      <c r="CC435" s="2"/>
      <c r="CD435" s="2"/>
      <c r="CE435" s="2"/>
      <c r="CF435" s="2"/>
      <c r="CG435" s="2"/>
      <c r="CH435" s="2"/>
      <c r="CI435" s="2"/>
      <c r="CJ435" s="2"/>
      <c r="CK435" s="2"/>
      <c r="CL435" s="2"/>
      <c r="CM435" s="2"/>
      <c r="CN435" s="2"/>
      <c r="CO435" s="2"/>
      <c r="CP435" s="2"/>
      <c r="CQ435" s="2"/>
      <c r="CR435" s="2"/>
      <c r="CS435" s="2"/>
      <c r="CT435" s="2"/>
      <c r="CU435" s="2"/>
      <c r="CV435" s="2"/>
      <c r="CW435" s="2"/>
      <c r="CX435" s="2"/>
      <c r="CY435" s="2"/>
      <c r="CZ435" s="2"/>
      <c r="DA435" s="2"/>
      <c r="DB435" s="2"/>
      <c r="DC435" s="2"/>
      <c r="DD435" s="2"/>
      <c r="DE435" s="2"/>
      <c r="DF435" s="2"/>
      <c r="DG435" s="2"/>
      <c r="DH435" s="2"/>
      <c r="DI435" s="2"/>
      <c r="DJ435" s="2"/>
      <c r="DK435" s="2"/>
      <c r="DL435" s="2"/>
      <c r="DM435" s="2"/>
      <c r="DN435" s="2"/>
      <c r="DO435" s="2"/>
      <c r="DP435" s="2"/>
      <c r="DQ435" s="2"/>
      <c r="DR435" s="2"/>
      <c r="DS435" s="2"/>
      <c r="DT435" s="2"/>
      <c r="DU435" s="2"/>
      <c r="DV435" s="2"/>
      <c r="DW435" s="2"/>
      <c r="DX435" s="2"/>
      <c r="DY435" s="2"/>
      <c r="DZ435" s="2"/>
      <c r="EA435" s="2"/>
      <c r="EB435" s="2"/>
      <c r="EC435" s="2"/>
      <c r="ED435" s="2"/>
      <c r="EE435" s="2"/>
      <c r="EF435" s="2"/>
      <c r="EG435" s="2"/>
      <c r="EH435" s="2"/>
      <c r="EI435" s="2"/>
      <c r="EJ435" s="2"/>
      <c r="EK435" s="2"/>
      <c r="EL435" s="2"/>
      <c r="EM435" s="2"/>
      <c r="EN435" s="2"/>
      <c r="EO435" s="2"/>
      <c r="EP435" s="2"/>
      <c r="EQ435" s="2"/>
      <c r="ER435" s="2"/>
      <c r="ES435" s="2"/>
      <c r="ET435" s="2"/>
      <c r="EU435" s="2"/>
      <c r="EV435" s="2"/>
      <c r="EW435" s="2"/>
      <c r="EX435" s="2"/>
      <c r="EY435" s="2"/>
      <c r="EZ435" s="2"/>
      <c r="FA435" s="2"/>
      <c r="FB435" s="2"/>
      <c r="FC435" s="2"/>
      <c r="FD435" s="2"/>
      <c r="FE435" s="2"/>
      <c r="FF435" s="2"/>
      <c r="FG435" s="2"/>
      <c r="FH435" s="2"/>
      <c r="FI435" s="2"/>
      <c r="FJ435" s="2"/>
      <c r="FK435" s="2"/>
      <c r="FL435" s="2"/>
      <c r="FM435" s="2"/>
      <c r="FN435" s="2"/>
      <c r="FO435" s="2"/>
      <c r="FP435" s="2"/>
      <c r="FQ435" s="2"/>
      <c r="FR435" s="2"/>
      <c r="FS435" s="2"/>
      <c r="FT435" s="2"/>
      <c r="FU435" s="2"/>
      <c r="FV435" s="2"/>
      <c r="FW435" s="2"/>
      <c r="FX435" s="2"/>
      <c r="FY435" s="2"/>
      <c r="FZ435" s="2"/>
      <c r="GA435" s="2"/>
      <c r="GB435" s="2"/>
      <c r="GC435" s="2"/>
      <c r="GD435" s="2"/>
      <c r="GE435" s="2"/>
      <c r="GF435" s="2"/>
      <c r="GG435" s="2"/>
      <c r="GH435" s="2"/>
      <c r="GI435" s="2"/>
      <c r="GJ435" s="2"/>
      <c r="GK435" s="2"/>
      <c r="GL435" s="2"/>
      <c r="GM435" s="2"/>
      <c r="GN435" s="2"/>
      <c r="GO435" s="2"/>
      <c r="GP435" s="2"/>
      <c r="GQ435" s="2"/>
      <c r="GR435" s="2"/>
      <c r="GS435" s="2"/>
      <c r="GT435" s="2"/>
      <c r="GU435" s="2"/>
      <c r="GV435" s="2"/>
      <c r="GW435" s="2"/>
      <c r="GX435" s="2"/>
      <c r="GY435" s="2"/>
      <c r="GZ435" s="2"/>
      <c r="HA435" s="2"/>
      <c r="HB435" s="2"/>
      <c r="HC435" s="2"/>
      <c r="HD435" s="2"/>
      <c r="HE435" s="2"/>
      <c r="HF435" s="2"/>
      <c r="HG435" s="2"/>
      <c r="HH435" s="2"/>
      <c r="HI435" s="2"/>
      <c r="HJ435" s="2"/>
      <c r="HK435" s="2"/>
      <c r="HL435" s="2"/>
      <c r="HM435" s="2"/>
      <c r="HN435" s="2"/>
      <c r="HO435" s="2"/>
      <c r="HP435" s="2"/>
      <c r="HQ435" s="2"/>
      <c r="HR435" s="2"/>
      <c r="HS435" s="2"/>
      <c r="HT435" s="2"/>
      <c r="HU435" s="2"/>
      <c r="HV435" s="2"/>
      <c r="HW435" s="2"/>
      <c r="HX435" s="2"/>
      <c r="HY435" s="2"/>
      <c r="HZ435" s="2"/>
      <c r="IA435" s="2"/>
      <c r="IB435" s="2"/>
      <c r="IC435" s="2"/>
    </row>
    <row r="436" spans="1:237" x14ac:dyDescent="0.2">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c r="AB436" s="2"/>
      <c r="AC436" s="2"/>
      <c r="AD436" s="2"/>
      <c r="AE436" s="2"/>
      <c r="AF436" s="2"/>
      <c r="AG436" s="2"/>
      <c r="AH436" s="2"/>
      <c r="AI436" s="2"/>
      <c r="AJ436" s="2"/>
      <c r="AK436" s="2"/>
      <c r="AL436" s="2"/>
      <c r="AM436" s="2"/>
      <c r="AN436" s="2"/>
      <c r="AO436" s="2"/>
      <c r="AP436" s="2"/>
      <c r="AQ436" s="2"/>
      <c r="AR436" s="2"/>
      <c r="AS436" s="2"/>
      <c r="AT436" s="2"/>
      <c r="AU436" s="2"/>
      <c r="AV436" s="2"/>
      <c r="AW436" s="2"/>
      <c r="AX436" s="2"/>
      <c r="AY436" s="2"/>
      <c r="AZ436" s="2"/>
      <c r="BA436" s="2"/>
      <c r="BB436" s="2"/>
      <c r="BC436" s="2"/>
      <c r="BD436" s="2"/>
      <c r="BE436" s="2"/>
      <c r="BF436" s="2"/>
      <c r="BG436" s="2"/>
      <c r="BH436" s="2"/>
      <c r="BI436" s="2"/>
      <c r="BJ436" s="2"/>
      <c r="BK436" s="2"/>
      <c r="BL436" s="2"/>
      <c r="BM436" s="2"/>
      <c r="BN436" s="2"/>
      <c r="BO436" s="2"/>
      <c r="BP436" s="2"/>
      <c r="BQ436" s="2"/>
      <c r="BR436" s="2"/>
      <c r="BS436" s="2"/>
      <c r="BT436" s="2"/>
      <c r="BU436" s="2"/>
      <c r="BV436" s="2"/>
      <c r="BW436" s="2"/>
      <c r="BX436" s="2"/>
      <c r="BY436" s="2"/>
      <c r="BZ436" s="2"/>
      <c r="CA436" s="2"/>
      <c r="CB436" s="2"/>
      <c r="CC436" s="2"/>
      <c r="CD436" s="2"/>
      <c r="CE436" s="2"/>
      <c r="CF436" s="2"/>
      <c r="CG436" s="2"/>
      <c r="CH436" s="2"/>
      <c r="CI436" s="2"/>
      <c r="CJ436" s="2"/>
      <c r="CK436" s="2"/>
      <c r="CL436" s="2"/>
      <c r="CM436" s="2"/>
      <c r="CN436" s="2"/>
      <c r="CO436" s="2"/>
      <c r="CP436" s="2"/>
      <c r="CQ436" s="2"/>
      <c r="CR436" s="2"/>
      <c r="CS436" s="2"/>
      <c r="CT436" s="2"/>
      <c r="CU436" s="2"/>
      <c r="CV436" s="2"/>
      <c r="CW436" s="2"/>
      <c r="CX436" s="2"/>
      <c r="CY436" s="2"/>
      <c r="CZ436" s="2"/>
      <c r="DA436" s="2"/>
      <c r="DB436" s="2"/>
      <c r="DC436" s="2"/>
      <c r="DD436" s="2"/>
      <c r="DE436" s="2"/>
      <c r="DF436" s="2"/>
      <c r="DG436" s="2"/>
      <c r="DH436" s="2"/>
      <c r="DI436" s="2"/>
      <c r="DJ436" s="2"/>
      <c r="DK436" s="2"/>
      <c r="DL436" s="2"/>
      <c r="DM436" s="2"/>
      <c r="DN436" s="2"/>
      <c r="DO436" s="2"/>
      <c r="DP436" s="2"/>
      <c r="DQ436" s="2"/>
      <c r="DR436" s="2"/>
      <c r="DS436" s="2"/>
      <c r="DT436" s="2"/>
      <c r="DU436" s="2"/>
      <c r="DV436" s="2"/>
      <c r="DW436" s="2"/>
      <c r="DX436" s="2"/>
      <c r="DY436" s="2"/>
      <c r="DZ436" s="2"/>
      <c r="EA436" s="2"/>
      <c r="EB436" s="2"/>
      <c r="EC436" s="2"/>
      <c r="ED436" s="2"/>
      <c r="EE436" s="2"/>
      <c r="EF436" s="2"/>
      <c r="EG436" s="2"/>
      <c r="EH436" s="2"/>
      <c r="EI436" s="2"/>
      <c r="EJ436" s="2"/>
      <c r="EK436" s="2"/>
      <c r="EL436" s="2"/>
      <c r="EM436" s="2"/>
      <c r="EN436" s="2"/>
      <c r="EO436" s="2"/>
      <c r="EP436" s="2"/>
      <c r="EQ436" s="2"/>
      <c r="ER436" s="2"/>
      <c r="ES436" s="2"/>
      <c r="ET436" s="2"/>
      <c r="EU436" s="2"/>
      <c r="EV436" s="2"/>
      <c r="EW436" s="2"/>
      <c r="EX436" s="2"/>
      <c r="EY436" s="2"/>
      <c r="EZ436" s="2"/>
      <c r="FA436" s="2"/>
      <c r="FB436" s="2"/>
      <c r="FC436" s="2"/>
      <c r="FD436" s="2"/>
      <c r="FE436" s="2"/>
      <c r="FF436" s="2"/>
      <c r="FG436" s="2"/>
      <c r="FH436" s="2"/>
      <c r="FI436" s="2"/>
      <c r="FJ436" s="2"/>
      <c r="FK436" s="2"/>
      <c r="FL436" s="2"/>
      <c r="FM436" s="2"/>
      <c r="FN436" s="2"/>
      <c r="FO436" s="2"/>
      <c r="FP436" s="2"/>
      <c r="FQ436" s="2"/>
      <c r="FR436" s="2"/>
      <c r="FS436" s="2"/>
      <c r="FT436" s="2"/>
      <c r="FU436" s="2"/>
      <c r="FV436" s="2"/>
      <c r="FW436" s="2"/>
      <c r="FX436" s="2"/>
      <c r="FY436" s="2"/>
      <c r="FZ436" s="2"/>
      <c r="GA436" s="2"/>
      <c r="GB436" s="2"/>
      <c r="GC436" s="2"/>
      <c r="GD436" s="2"/>
      <c r="GE436" s="2"/>
      <c r="GF436" s="2"/>
      <c r="GG436" s="2"/>
      <c r="GH436" s="2"/>
      <c r="GI436" s="2"/>
      <c r="GJ436" s="2"/>
      <c r="GK436" s="2"/>
      <c r="GL436" s="2"/>
      <c r="GM436" s="2"/>
      <c r="GN436" s="2"/>
      <c r="GO436" s="2"/>
      <c r="GP436" s="2"/>
      <c r="GQ436" s="2"/>
      <c r="GR436" s="2"/>
      <c r="GS436" s="2"/>
      <c r="GT436" s="2"/>
      <c r="GU436" s="2"/>
      <c r="GV436" s="2"/>
      <c r="GW436" s="2"/>
      <c r="GX436" s="2"/>
      <c r="GY436" s="2"/>
      <c r="GZ436" s="2"/>
      <c r="HA436" s="2"/>
      <c r="HB436" s="2"/>
      <c r="HC436" s="2"/>
      <c r="HD436" s="2"/>
      <c r="HE436" s="2"/>
      <c r="HF436" s="2"/>
      <c r="HG436" s="2"/>
      <c r="HH436" s="2"/>
      <c r="HI436" s="2"/>
      <c r="HJ436" s="2"/>
      <c r="HK436" s="2"/>
      <c r="HL436" s="2"/>
      <c r="HM436" s="2"/>
      <c r="HN436" s="2"/>
      <c r="HO436" s="2"/>
      <c r="HP436" s="2"/>
      <c r="HQ436" s="2"/>
      <c r="HR436" s="2"/>
      <c r="HS436" s="2"/>
      <c r="HT436" s="2"/>
      <c r="HU436" s="2"/>
      <c r="HV436" s="2"/>
      <c r="HW436" s="2"/>
      <c r="HX436" s="2"/>
      <c r="HY436" s="2"/>
      <c r="HZ436" s="2"/>
      <c r="IA436" s="2"/>
      <c r="IB436" s="2"/>
      <c r="IC436" s="2"/>
    </row>
    <row r="437" spans="1:237" x14ac:dyDescent="0.2">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c r="AB437" s="2"/>
      <c r="AC437" s="2"/>
      <c r="AD437" s="2"/>
      <c r="AE437" s="2"/>
      <c r="AF437" s="2"/>
      <c r="AG437" s="2"/>
      <c r="AH437" s="2"/>
      <c r="AI437" s="2"/>
      <c r="AJ437" s="2"/>
      <c r="AK437" s="2"/>
      <c r="AL437" s="2"/>
      <c r="AM437" s="2"/>
      <c r="AN437" s="2"/>
      <c r="AO437" s="2"/>
      <c r="AP437" s="2"/>
      <c r="AQ437" s="2"/>
      <c r="AR437" s="2"/>
      <c r="AS437" s="2"/>
      <c r="AT437" s="2"/>
      <c r="AU437" s="2"/>
      <c r="AV437" s="2"/>
      <c r="AW437" s="2"/>
      <c r="AX437" s="2"/>
      <c r="AY437" s="2"/>
      <c r="AZ437" s="2"/>
      <c r="BA437" s="2"/>
      <c r="BB437" s="2"/>
      <c r="BC437" s="2"/>
      <c r="BD437" s="2"/>
      <c r="BE437" s="2"/>
      <c r="BF437" s="2"/>
      <c r="BG437" s="2"/>
      <c r="BH437" s="2"/>
      <c r="BI437" s="2"/>
      <c r="BJ437" s="2"/>
      <c r="BK437" s="2"/>
      <c r="BL437" s="2"/>
      <c r="BM437" s="2"/>
      <c r="BN437" s="2"/>
      <c r="BO437" s="2"/>
      <c r="BP437" s="2"/>
      <c r="BQ437" s="2"/>
      <c r="BR437" s="2"/>
      <c r="BS437" s="2"/>
      <c r="BT437" s="2"/>
      <c r="BU437" s="2"/>
      <c r="BV437" s="2"/>
      <c r="BW437" s="2"/>
      <c r="BX437" s="2"/>
      <c r="BY437" s="2"/>
      <c r="BZ437" s="2"/>
      <c r="CA437" s="2"/>
      <c r="CB437" s="2"/>
      <c r="CC437" s="2"/>
      <c r="CD437" s="2"/>
      <c r="CE437" s="2"/>
      <c r="CF437" s="2"/>
      <c r="CG437" s="2"/>
      <c r="CH437" s="2"/>
      <c r="CI437" s="2"/>
      <c r="CJ437" s="2"/>
      <c r="CK437" s="2"/>
      <c r="CL437" s="2"/>
      <c r="CM437" s="2"/>
      <c r="CN437" s="2"/>
      <c r="CO437" s="2"/>
      <c r="CP437" s="2"/>
      <c r="CQ437" s="2"/>
      <c r="CR437" s="2"/>
      <c r="CS437" s="2"/>
      <c r="CT437" s="2"/>
      <c r="CU437" s="2"/>
      <c r="CV437" s="2"/>
      <c r="CW437" s="2"/>
      <c r="CX437" s="2"/>
      <c r="CY437" s="2"/>
      <c r="CZ437" s="2"/>
      <c r="DA437" s="2"/>
      <c r="DB437" s="2"/>
      <c r="DC437" s="2"/>
      <c r="DD437" s="2"/>
      <c r="DE437" s="2"/>
      <c r="DF437" s="2"/>
      <c r="DG437" s="2"/>
      <c r="DH437" s="2"/>
      <c r="DI437" s="2"/>
      <c r="DJ437" s="2"/>
      <c r="DK437" s="2"/>
      <c r="DL437" s="2"/>
      <c r="DM437" s="2"/>
      <c r="DN437" s="2"/>
      <c r="DO437" s="2"/>
      <c r="DP437" s="2"/>
      <c r="DQ437" s="2"/>
      <c r="DR437" s="2"/>
      <c r="DS437" s="2"/>
      <c r="DT437" s="2"/>
      <c r="DU437" s="2"/>
      <c r="DV437" s="2"/>
      <c r="DW437" s="2"/>
      <c r="DX437" s="2"/>
      <c r="DY437" s="2"/>
      <c r="DZ437" s="2"/>
      <c r="EA437" s="2"/>
      <c r="EB437" s="2"/>
      <c r="EC437" s="2"/>
      <c r="ED437" s="2"/>
      <c r="EE437" s="2"/>
      <c r="EF437" s="2"/>
      <c r="EG437" s="2"/>
      <c r="EH437" s="2"/>
      <c r="EI437" s="2"/>
      <c r="EJ437" s="2"/>
      <c r="EK437" s="2"/>
      <c r="EL437" s="2"/>
      <c r="EM437" s="2"/>
      <c r="EN437" s="2"/>
      <c r="EO437" s="2"/>
      <c r="EP437" s="2"/>
      <c r="EQ437" s="2"/>
      <c r="ER437" s="2"/>
      <c r="ES437" s="2"/>
      <c r="ET437" s="2"/>
      <c r="EU437" s="2"/>
      <c r="EV437" s="2"/>
      <c r="EW437" s="2"/>
      <c r="EX437" s="2"/>
      <c r="EY437" s="2"/>
      <c r="EZ437" s="2"/>
      <c r="FA437" s="2"/>
      <c r="FB437" s="2"/>
      <c r="FC437" s="2"/>
      <c r="FD437" s="2"/>
      <c r="FE437" s="2"/>
      <c r="FF437" s="2"/>
      <c r="FG437" s="2"/>
      <c r="FH437" s="2"/>
      <c r="FI437" s="2"/>
      <c r="FJ437" s="2"/>
      <c r="FK437" s="2"/>
      <c r="FL437" s="2"/>
      <c r="FM437" s="2"/>
      <c r="FN437" s="2"/>
      <c r="FO437" s="2"/>
      <c r="FP437" s="2"/>
      <c r="FQ437" s="2"/>
      <c r="FR437" s="2"/>
      <c r="FS437" s="2"/>
      <c r="FT437" s="2"/>
      <c r="FU437" s="2"/>
      <c r="FV437" s="2"/>
      <c r="FW437" s="2"/>
      <c r="FX437" s="2"/>
      <c r="FY437" s="2"/>
      <c r="FZ437" s="2"/>
      <c r="GA437" s="2"/>
      <c r="GB437" s="2"/>
      <c r="GC437" s="2"/>
      <c r="GD437" s="2"/>
      <c r="GE437" s="2"/>
      <c r="GF437" s="2"/>
      <c r="GG437" s="2"/>
      <c r="GH437" s="2"/>
      <c r="GI437" s="2"/>
      <c r="GJ437" s="2"/>
      <c r="GK437" s="2"/>
      <c r="GL437" s="2"/>
      <c r="GM437" s="2"/>
      <c r="GN437" s="2"/>
      <c r="GO437" s="2"/>
      <c r="GP437" s="2"/>
      <c r="GQ437" s="2"/>
      <c r="GR437" s="2"/>
      <c r="GS437" s="2"/>
      <c r="GT437" s="2"/>
      <c r="GU437" s="2"/>
      <c r="GV437" s="2"/>
      <c r="GW437" s="2"/>
      <c r="GX437" s="2"/>
      <c r="GY437" s="2"/>
      <c r="GZ437" s="2"/>
      <c r="HA437" s="2"/>
      <c r="HB437" s="2"/>
      <c r="HC437" s="2"/>
      <c r="HD437" s="2"/>
      <c r="HE437" s="2"/>
      <c r="HF437" s="2"/>
      <c r="HG437" s="2"/>
      <c r="HH437" s="2"/>
      <c r="HI437" s="2"/>
      <c r="HJ437" s="2"/>
      <c r="HK437" s="2"/>
      <c r="HL437" s="2"/>
      <c r="HM437" s="2"/>
      <c r="HN437" s="2"/>
      <c r="HO437" s="2"/>
      <c r="HP437" s="2"/>
      <c r="HQ437" s="2"/>
      <c r="HR437" s="2"/>
      <c r="HS437" s="2"/>
      <c r="HT437" s="2"/>
      <c r="HU437" s="2"/>
      <c r="HV437" s="2"/>
      <c r="HW437" s="2"/>
      <c r="HX437" s="2"/>
      <c r="HY437" s="2"/>
      <c r="HZ437" s="2"/>
      <c r="IA437" s="2"/>
      <c r="IB437" s="2"/>
      <c r="IC437" s="2"/>
    </row>
    <row r="438" spans="1:237" x14ac:dyDescent="0.2">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c r="AB438" s="2"/>
      <c r="AC438" s="2"/>
      <c r="AD438" s="2"/>
      <c r="AE438" s="2"/>
      <c r="AF438" s="2"/>
      <c r="AG438" s="2"/>
      <c r="AH438" s="2"/>
      <c r="AI438" s="2"/>
      <c r="AJ438" s="2"/>
      <c r="AK438" s="2"/>
      <c r="AL438" s="2"/>
      <c r="AM438" s="2"/>
      <c r="AN438" s="2"/>
      <c r="AO438" s="2"/>
      <c r="AP438" s="2"/>
      <c r="AQ438" s="2"/>
      <c r="AR438" s="2"/>
      <c r="AS438" s="2"/>
      <c r="AT438" s="2"/>
      <c r="AU438" s="2"/>
      <c r="AV438" s="2"/>
      <c r="AW438" s="2"/>
      <c r="AX438" s="2"/>
      <c r="AY438" s="2"/>
      <c r="AZ438" s="2"/>
      <c r="BA438" s="2"/>
      <c r="BB438" s="2"/>
      <c r="BC438" s="2"/>
      <c r="BD438" s="2"/>
      <c r="BE438" s="2"/>
      <c r="BF438" s="2"/>
      <c r="BG438" s="2"/>
      <c r="BH438" s="2"/>
      <c r="BI438" s="2"/>
      <c r="BJ438" s="2"/>
      <c r="BK438" s="2"/>
      <c r="BL438" s="2"/>
      <c r="BM438" s="2"/>
      <c r="BN438" s="2"/>
      <c r="BO438" s="2"/>
      <c r="BP438" s="2"/>
      <c r="BQ438" s="2"/>
      <c r="BR438" s="2"/>
      <c r="BS438" s="2"/>
      <c r="BT438" s="2"/>
      <c r="BU438" s="2"/>
      <c r="BV438" s="2"/>
      <c r="BW438" s="2"/>
      <c r="BX438" s="2"/>
      <c r="BY438" s="2"/>
      <c r="BZ438" s="2"/>
      <c r="CA438" s="2"/>
      <c r="CB438" s="2"/>
      <c r="CC438" s="2"/>
      <c r="CD438" s="2"/>
      <c r="CE438" s="2"/>
      <c r="CF438" s="2"/>
      <c r="CG438" s="2"/>
      <c r="CH438" s="2"/>
      <c r="CI438" s="2"/>
      <c r="CJ438" s="2"/>
      <c r="CK438" s="2"/>
      <c r="CL438" s="2"/>
      <c r="CM438" s="2"/>
      <c r="CN438" s="2"/>
      <c r="CO438" s="2"/>
      <c r="CP438" s="2"/>
      <c r="CQ438" s="2"/>
      <c r="CR438" s="2"/>
      <c r="CS438" s="2"/>
      <c r="CT438" s="2"/>
      <c r="CU438" s="2"/>
      <c r="CV438" s="2"/>
      <c r="CW438" s="2"/>
      <c r="CX438" s="2"/>
      <c r="CY438" s="2"/>
      <c r="CZ438" s="2"/>
      <c r="DA438" s="2"/>
      <c r="DB438" s="2"/>
      <c r="DC438" s="2"/>
      <c r="DD438" s="2"/>
      <c r="DE438" s="2"/>
      <c r="DF438" s="2"/>
      <c r="DG438" s="2"/>
      <c r="DH438" s="2"/>
      <c r="DI438" s="2"/>
      <c r="DJ438" s="2"/>
      <c r="DK438" s="2"/>
      <c r="DL438" s="2"/>
      <c r="DM438" s="2"/>
      <c r="DN438" s="2"/>
      <c r="DO438" s="2"/>
      <c r="DP438" s="2"/>
      <c r="DQ438" s="2"/>
      <c r="DR438" s="2"/>
      <c r="DS438" s="2"/>
      <c r="DT438" s="2"/>
      <c r="DU438" s="2"/>
      <c r="DV438" s="2"/>
      <c r="DW438" s="2"/>
      <c r="DX438" s="2"/>
      <c r="DY438" s="2"/>
      <c r="DZ438" s="2"/>
      <c r="EA438" s="2"/>
      <c r="EB438" s="2"/>
      <c r="EC438" s="2"/>
      <c r="ED438" s="2"/>
      <c r="EE438" s="2"/>
      <c r="EF438" s="2"/>
      <c r="EG438" s="2"/>
      <c r="EH438" s="2"/>
      <c r="EI438" s="2"/>
      <c r="EJ438" s="2"/>
      <c r="EK438" s="2"/>
      <c r="EL438" s="2"/>
      <c r="EM438" s="2"/>
      <c r="EN438" s="2"/>
      <c r="EO438" s="2"/>
      <c r="EP438" s="2"/>
      <c r="EQ438" s="2"/>
      <c r="ER438" s="2"/>
      <c r="ES438" s="2"/>
      <c r="ET438" s="2"/>
      <c r="EU438" s="2"/>
      <c r="EV438" s="2"/>
      <c r="EW438" s="2"/>
      <c r="EX438" s="2"/>
      <c r="EY438" s="2"/>
      <c r="EZ438" s="2"/>
      <c r="FA438" s="2"/>
      <c r="FB438" s="2"/>
      <c r="FC438" s="2"/>
      <c r="FD438" s="2"/>
      <c r="FE438" s="2"/>
      <c r="FF438" s="2"/>
      <c r="FG438" s="2"/>
      <c r="FH438" s="2"/>
      <c r="FI438" s="2"/>
      <c r="FJ438" s="2"/>
      <c r="FK438" s="2"/>
      <c r="FL438" s="2"/>
      <c r="FM438" s="2"/>
      <c r="FN438" s="2"/>
      <c r="FO438" s="2"/>
      <c r="FP438" s="2"/>
      <c r="FQ438" s="2"/>
      <c r="FR438" s="2"/>
      <c r="FS438" s="2"/>
      <c r="FT438" s="2"/>
      <c r="FU438" s="2"/>
      <c r="FV438" s="2"/>
      <c r="FW438" s="2"/>
      <c r="FX438" s="2"/>
      <c r="FY438" s="2"/>
      <c r="FZ438" s="2"/>
      <c r="GA438" s="2"/>
      <c r="GB438" s="2"/>
      <c r="GC438" s="2"/>
      <c r="GD438" s="2"/>
      <c r="GE438" s="2"/>
      <c r="GF438" s="2"/>
      <c r="GG438" s="2"/>
      <c r="GH438" s="2"/>
      <c r="GI438" s="2"/>
      <c r="GJ438" s="2"/>
      <c r="GK438" s="2"/>
      <c r="GL438" s="2"/>
      <c r="GM438" s="2"/>
      <c r="GN438" s="2"/>
      <c r="GO438" s="2"/>
      <c r="GP438" s="2"/>
      <c r="GQ438" s="2"/>
      <c r="GR438" s="2"/>
      <c r="GS438" s="2"/>
      <c r="GT438" s="2"/>
      <c r="GU438" s="2"/>
      <c r="GV438" s="2"/>
      <c r="GW438" s="2"/>
      <c r="GX438" s="2"/>
      <c r="GY438" s="2"/>
      <c r="GZ438" s="2"/>
      <c r="HA438" s="2"/>
      <c r="HB438" s="2"/>
      <c r="HC438" s="2"/>
      <c r="HD438" s="2"/>
      <c r="HE438" s="2"/>
      <c r="HF438" s="2"/>
      <c r="HG438" s="2"/>
      <c r="HH438" s="2"/>
      <c r="HI438" s="2"/>
      <c r="HJ438" s="2"/>
      <c r="HK438" s="2"/>
      <c r="HL438" s="2"/>
      <c r="HM438" s="2"/>
      <c r="HN438" s="2"/>
      <c r="HO438" s="2"/>
      <c r="HP438" s="2"/>
      <c r="HQ438" s="2"/>
      <c r="HR438" s="2"/>
      <c r="HS438" s="2"/>
      <c r="HT438" s="2"/>
      <c r="HU438" s="2"/>
      <c r="HV438" s="2"/>
      <c r="HW438" s="2"/>
      <c r="HX438" s="2"/>
      <c r="HY438" s="2"/>
      <c r="HZ438" s="2"/>
      <c r="IA438" s="2"/>
      <c r="IB438" s="2"/>
      <c r="IC438" s="2"/>
    </row>
    <row r="439" spans="1:237" x14ac:dyDescent="0.2">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c r="AB439" s="2"/>
      <c r="AC439" s="2"/>
      <c r="AD439" s="2"/>
      <c r="AE439" s="2"/>
      <c r="AF439" s="2"/>
      <c r="AG439" s="2"/>
      <c r="AH439" s="2"/>
      <c r="AI439" s="2"/>
      <c r="AJ439" s="2"/>
      <c r="AK439" s="2"/>
      <c r="AL439" s="2"/>
      <c r="AM439" s="2"/>
      <c r="AN439" s="2"/>
      <c r="AO439" s="2"/>
      <c r="AP439" s="2"/>
      <c r="AQ439" s="2"/>
      <c r="AR439" s="2"/>
      <c r="AS439" s="2"/>
      <c r="AT439" s="2"/>
      <c r="AU439" s="2"/>
      <c r="AV439" s="2"/>
      <c r="AW439" s="2"/>
      <c r="AX439" s="2"/>
      <c r="AY439" s="2"/>
      <c r="AZ439" s="2"/>
      <c r="BA439" s="2"/>
      <c r="BB439" s="2"/>
      <c r="BC439" s="2"/>
      <c r="BD439" s="2"/>
      <c r="BE439" s="2"/>
      <c r="BF439" s="2"/>
      <c r="BG439" s="2"/>
      <c r="BH439" s="2"/>
      <c r="BI439" s="2"/>
      <c r="BJ439" s="2"/>
      <c r="BK439" s="2"/>
      <c r="BL439" s="2"/>
      <c r="BM439" s="2"/>
      <c r="BN439" s="2"/>
      <c r="BO439" s="2"/>
      <c r="BP439" s="2"/>
      <c r="BQ439" s="2"/>
      <c r="BR439" s="2"/>
      <c r="BS439" s="2"/>
      <c r="BT439" s="2"/>
      <c r="BU439" s="2"/>
      <c r="BV439" s="2"/>
      <c r="BW439" s="2"/>
      <c r="BX439" s="2"/>
      <c r="BY439" s="2"/>
      <c r="BZ439" s="2"/>
      <c r="CA439" s="2"/>
      <c r="CB439" s="2"/>
      <c r="CC439" s="2"/>
      <c r="CD439" s="2"/>
      <c r="CE439" s="2"/>
      <c r="CF439" s="2"/>
      <c r="CG439" s="2"/>
      <c r="CH439" s="2"/>
      <c r="CI439" s="2"/>
      <c r="CJ439" s="2"/>
      <c r="CK439" s="2"/>
      <c r="CL439" s="2"/>
      <c r="CM439" s="2"/>
      <c r="CN439" s="2"/>
      <c r="CO439" s="2"/>
      <c r="CP439" s="2"/>
      <c r="CQ439" s="2"/>
      <c r="CR439" s="2"/>
      <c r="CS439" s="2"/>
      <c r="CT439" s="2"/>
      <c r="CU439" s="2"/>
      <c r="CV439" s="2"/>
      <c r="CW439" s="2"/>
      <c r="CX439" s="2"/>
      <c r="CY439" s="2"/>
      <c r="CZ439" s="2"/>
      <c r="DA439" s="2"/>
      <c r="DB439" s="2"/>
      <c r="DC439" s="2"/>
      <c r="DD439" s="2"/>
      <c r="DE439" s="2"/>
      <c r="DF439" s="2"/>
      <c r="DG439" s="2"/>
      <c r="DH439" s="2"/>
      <c r="DI439" s="2"/>
      <c r="DJ439" s="2"/>
      <c r="DK439" s="2"/>
      <c r="DL439" s="2"/>
      <c r="DM439" s="2"/>
      <c r="DN439" s="2"/>
      <c r="DO439" s="2"/>
      <c r="DP439" s="2"/>
      <c r="DQ439" s="2"/>
      <c r="DR439" s="2"/>
      <c r="DS439" s="2"/>
      <c r="DT439" s="2"/>
      <c r="DU439" s="2"/>
      <c r="DV439" s="2"/>
      <c r="DW439" s="2"/>
      <c r="DX439" s="2"/>
      <c r="DY439" s="2"/>
      <c r="DZ439" s="2"/>
      <c r="EA439" s="2"/>
      <c r="EB439" s="2"/>
      <c r="EC439" s="2"/>
      <c r="ED439" s="2"/>
      <c r="EE439" s="2"/>
      <c r="EF439" s="2"/>
      <c r="EG439" s="2"/>
      <c r="EH439" s="2"/>
      <c r="EI439" s="2"/>
      <c r="EJ439" s="2"/>
      <c r="EK439" s="2"/>
      <c r="EL439" s="2"/>
      <c r="EM439" s="2"/>
      <c r="EN439" s="2"/>
      <c r="EO439" s="2"/>
      <c r="EP439" s="2"/>
      <c r="EQ439" s="2"/>
      <c r="ER439" s="2"/>
      <c r="ES439" s="2"/>
      <c r="ET439" s="2"/>
      <c r="EU439" s="2"/>
      <c r="EV439" s="2"/>
      <c r="EW439" s="2"/>
      <c r="EX439" s="2"/>
      <c r="EY439" s="2"/>
      <c r="EZ439" s="2"/>
      <c r="FA439" s="2"/>
      <c r="FB439" s="2"/>
      <c r="FC439" s="2"/>
      <c r="FD439" s="2"/>
      <c r="FE439" s="2"/>
      <c r="FF439" s="2"/>
      <c r="FG439" s="2"/>
      <c r="FH439" s="2"/>
      <c r="FI439" s="2"/>
      <c r="FJ439" s="2"/>
      <c r="FK439" s="2"/>
      <c r="FL439" s="2"/>
      <c r="FM439" s="2"/>
      <c r="FN439" s="2"/>
      <c r="FO439" s="2"/>
      <c r="FP439" s="2"/>
      <c r="FQ439" s="2"/>
      <c r="FR439" s="2"/>
      <c r="FS439" s="2"/>
      <c r="FT439" s="2"/>
      <c r="FU439" s="2"/>
      <c r="FV439" s="2"/>
      <c r="FW439" s="2"/>
      <c r="FX439" s="2"/>
      <c r="FY439" s="2"/>
      <c r="FZ439" s="2"/>
      <c r="GA439" s="2"/>
      <c r="GB439" s="2"/>
      <c r="GC439" s="2"/>
      <c r="GD439" s="2"/>
      <c r="GE439" s="2"/>
      <c r="GF439" s="2"/>
      <c r="GG439" s="2"/>
      <c r="GH439" s="2"/>
      <c r="GI439" s="2"/>
      <c r="GJ439" s="2"/>
      <c r="GK439" s="2"/>
      <c r="GL439" s="2"/>
      <c r="GM439" s="2"/>
      <c r="GN439" s="2"/>
      <c r="GO439" s="2"/>
      <c r="GP439" s="2"/>
      <c r="GQ439" s="2"/>
      <c r="GR439" s="2"/>
      <c r="GS439" s="2"/>
      <c r="GT439" s="2"/>
      <c r="GU439" s="2"/>
      <c r="GV439" s="2"/>
      <c r="GW439" s="2"/>
      <c r="GX439" s="2"/>
      <c r="GY439" s="2"/>
      <c r="GZ439" s="2"/>
      <c r="HA439" s="2"/>
      <c r="HB439" s="2"/>
      <c r="HC439" s="2"/>
      <c r="HD439" s="2"/>
      <c r="HE439" s="2"/>
      <c r="HF439" s="2"/>
      <c r="HG439" s="2"/>
      <c r="HH439" s="2"/>
      <c r="HI439" s="2"/>
      <c r="HJ439" s="2"/>
      <c r="HK439" s="2"/>
      <c r="HL439" s="2"/>
      <c r="HM439" s="2"/>
      <c r="HN439" s="2"/>
      <c r="HO439" s="2"/>
      <c r="HP439" s="2"/>
      <c r="HQ439" s="2"/>
      <c r="HR439" s="2"/>
      <c r="HS439" s="2"/>
      <c r="HT439" s="2"/>
      <c r="HU439" s="2"/>
      <c r="HV439" s="2"/>
      <c r="HW439" s="2"/>
      <c r="HX439" s="2"/>
      <c r="HY439" s="2"/>
      <c r="HZ439" s="2"/>
      <c r="IA439" s="2"/>
      <c r="IB439" s="2"/>
      <c r="IC439" s="2"/>
    </row>
    <row r="440" spans="1:237" x14ac:dyDescent="0.2">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c r="AB440" s="2"/>
      <c r="AC440" s="2"/>
      <c r="AD440" s="2"/>
      <c r="AE440" s="2"/>
      <c r="AF440" s="2"/>
      <c r="AG440" s="2"/>
      <c r="AH440" s="2"/>
      <c r="AI440" s="2"/>
      <c r="AJ440" s="2"/>
      <c r="AK440" s="2"/>
      <c r="AL440" s="2"/>
      <c r="AM440" s="2"/>
      <c r="AN440" s="2"/>
      <c r="AO440" s="2"/>
      <c r="AP440" s="2"/>
      <c r="AQ440" s="2"/>
      <c r="AR440" s="2"/>
      <c r="AS440" s="2"/>
      <c r="AT440" s="2"/>
      <c r="AU440" s="2"/>
      <c r="AV440" s="2"/>
      <c r="AW440" s="2"/>
      <c r="AX440" s="2"/>
      <c r="AY440" s="2"/>
      <c r="AZ440" s="2"/>
      <c r="BA440" s="2"/>
      <c r="BB440" s="2"/>
      <c r="BC440" s="2"/>
      <c r="BD440" s="2"/>
      <c r="BE440" s="2"/>
      <c r="BF440" s="2"/>
      <c r="BG440" s="2"/>
      <c r="BH440" s="2"/>
      <c r="BI440" s="2"/>
      <c r="BJ440" s="2"/>
      <c r="BK440" s="2"/>
      <c r="BL440" s="2"/>
      <c r="BM440" s="2"/>
      <c r="BN440" s="2"/>
      <c r="BO440" s="2"/>
      <c r="BP440" s="2"/>
      <c r="BQ440" s="2"/>
      <c r="BR440" s="2"/>
      <c r="BS440" s="2"/>
      <c r="BT440" s="2"/>
      <c r="BU440" s="2"/>
      <c r="BV440" s="2"/>
      <c r="BW440" s="2"/>
      <c r="BX440" s="2"/>
      <c r="BY440" s="2"/>
      <c r="BZ440" s="2"/>
      <c r="CA440" s="2"/>
      <c r="CB440" s="2"/>
      <c r="CC440" s="2"/>
      <c r="CD440" s="2"/>
      <c r="CE440" s="2"/>
      <c r="CF440" s="2"/>
      <c r="CG440" s="2"/>
      <c r="CH440" s="2"/>
      <c r="CI440" s="2"/>
      <c r="CJ440" s="2"/>
      <c r="CK440" s="2"/>
      <c r="CL440" s="2"/>
      <c r="CM440" s="2"/>
      <c r="CN440" s="2"/>
      <c r="CO440" s="2"/>
      <c r="CP440" s="2"/>
      <c r="CQ440" s="2"/>
      <c r="CR440" s="2"/>
      <c r="CS440" s="2"/>
      <c r="CT440" s="2"/>
      <c r="CU440" s="2"/>
      <c r="CV440" s="2"/>
      <c r="CW440" s="2"/>
      <c r="CX440" s="2"/>
      <c r="CY440" s="2"/>
      <c r="CZ440" s="2"/>
      <c r="DA440" s="2"/>
      <c r="DB440" s="2"/>
      <c r="DC440" s="2"/>
      <c r="DD440" s="2"/>
      <c r="DE440" s="2"/>
      <c r="DF440" s="2"/>
      <c r="DG440" s="2"/>
      <c r="DH440" s="2"/>
      <c r="DI440" s="2"/>
      <c r="DJ440" s="2"/>
      <c r="DK440" s="2"/>
      <c r="DL440" s="2"/>
      <c r="DM440" s="2"/>
      <c r="DN440" s="2"/>
      <c r="DO440" s="2"/>
      <c r="DP440" s="2"/>
      <c r="DQ440" s="2"/>
      <c r="DR440" s="2"/>
      <c r="DS440" s="2"/>
      <c r="DT440" s="2"/>
      <c r="DU440" s="2"/>
      <c r="DV440" s="2"/>
      <c r="DW440" s="2"/>
      <c r="DX440" s="2"/>
      <c r="DY440" s="2"/>
      <c r="DZ440" s="2"/>
      <c r="EA440" s="2"/>
      <c r="EB440" s="2"/>
      <c r="EC440" s="2"/>
      <c r="ED440" s="2"/>
      <c r="EE440" s="2"/>
      <c r="EF440" s="2"/>
      <c r="EG440" s="2"/>
      <c r="EH440" s="2"/>
      <c r="EI440" s="2"/>
      <c r="EJ440" s="2"/>
      <c r="EK440" s="2"/>
      <c r="EL440" s="2"/>
      <c r="EM440" s="2"/>
      <c r="EN440" s="2"/>
      <c r="EO440" s="2"/>
      <c r="EP440" s="2"/>
      <c r="EQ440" s="2"/>
      <c r="ER440" s="2"/>
      <c r="ES440" s="2"/>
      <c r="ET440" s="2"/>
      <c r="EU440" s="2"/>
      <c r="EV440" s="2"/>
      <c r="EW440" s="2"/>
      <c r="EX440" s="2"/>
      <c r="EY440" s="2"/>
      <c r="EZ440" s="2"/>
      <c r="FA440" s="2"/>
      <c r="FB440" s="2"/>
      <c r="FC440" s="2"/>
      <c r="FD440" s="2"/>
      <c r="FE440" s="2"/>
      <c r="FF440" s="2"/>
      <c r="FG440" s="2"/>
      <c r="FH440" s="2"/>
      <c r="FI440" s="2"/>
      <c r="FJ440" s="2"/>
      <c r="FK440" s="2"/>
      <c r="FL440" s="2"/>
      <c r="FM440" s="2"/>
      <c r="FN440" s="2"/>
      <c r="FO440" s="2"/>
      <c r="FP440" s="2"/>
      <c r="FQ440" s="2"/>
      <c r="FR440" s="2"/>
      <c r="FS440" s="2"/>
      <c r="FT440" s="2"/>
      <c r="FU440" s="2"/>
      <c r="FV440" s="2"/>
      <c r="FW440" s="2"/>
      <c r="FX440" s="2"/>
      <c r="FY440" s="2"/>
      <c r="FZ440" s="2"/>
      <c r="GA440" s="2"/>
      <c r="GB440" s="2"/>
      <c r="GC440" s="2"/>
      <c r="GD440" s="2"/>
      <c r="GE440" s="2"/>
      <c r="GF440" s="2"/>
      <c r="GG440" s="2"/>
      <c r="GH440" s="2"/>
      <c r="GI440" s="2"/>
      <c r="GJ440" s="2"/>
      <c r="GK440" s="2"/>
      <c r="GL440" s="2"/>
      <c r="GM440" s="2"/>
      <c r="GN440" s="2"/>
      <c r="GO440" s="2"/>
      <c r="GP440" s="2"/>
      <c r="GQ440" s="2"/>
      <c r="GR440" s="2"/>
      <c r="GS440" s="2"/>
      <c r="GT440" s="2"/>
      <c r="GU440" s="2"/>
      <c r="GV440" s="2"/>
      <c r="GW440" s="2"/>
      <c r="GX440" s="2"/>
      <c r="GY440" s="2"/>
      <c r="GZ440" s="2"/>
      <c r="HA440" s="2"/>
      <c r="HB440" s="2"/>
      <c r="HC440" s="2"/>
      <c r="HD440" s="2"/>
      <c r="HE440" s="2"/>
      <c r="HF440" s="2"/>
      <c r="HG440" s="2"/>
      <c r="HH440" s="2"/>
      <c r="HI440" s="2"/>
      <c r="HJ440" s="2"/>
      <c r="HK440" s="2"/>
      <c r="HL440" s="2"/>
      <c r="HM440" s="2"/>
      <c r="HN440" s="2"/>
      <c r="HO440" s="2"/>
      <c r="HP440" s="2"/>
      <c r="HQ440" s="2"/>
      <c r="HR440" s="2"/>
      <c r="HS440" s="2"/>
      <c r="HT440" s="2"/>
      <c r="HU440" s="2"/>
      <c r="HV440" s="2"/>
      <c r="HW440" s="2"/>
      <c r="HX440" s="2"/>
      <c r="HY440" s="2"/>
      <c r="HZ440" s="2"/>
      <c r="IA440" s="2"/>
      <c r="IB440" s="2"/>
      <c r="IC440" s="2"/>
    </row>
    <row r="441" spans="1:237" x14ac:dyDescent="0.2">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c r="AA441" s="2"/>
      <c r="AB441" s="2"/>
      <c r="AC441" s="2"/>
      <c r="AD441" s="2"/>
      <c r="AE441" s="2"/>
      <c r="AF441" s="2"/>
      <c r="AG441" s="2"/>
      <c r="AH441" s="2"/>
      <c r="AI441" s="2"/>
      <c r="AJ441" s="2"/>
      <c r="AK441" s="2"/>
      <c r="AL441" s="2"/>
      <c r="AM441" s="2"/>
      <c r="AN441" s="2"/>
      <c r="AO441" s="2"/>
      <c r="AP441" s="2"/>
      <c r="AQ441" s="2"/>
      <c r="AR441" s="2"/>
      <c r="AS441" s="2"/>
      <c r="AT441" s="2"/>
      <c r="AU441" s="2"/>
      <c r="AV441" s="2"/>
      <c r="AW441" s="2"/>
      <c r="AX441" s="2"/>
      <c r="AY441" s="2"/>
      <c r="AZ441" s="2"/>
      <c r="BA441" s="2"/>
      <c r="BB441" s="2"/>
      <c r="BC441" s="2"/>
      <c r="BD441" s="2"/>
      <c r="BE441" s="2"/>
      <c r="BF441" s="2"/>
      <c r="BG441" s="2"/>
      <c r="BH441" s="2"/>
      <c r="BI441" s="2"/>
      <c r="BJ441" s="2"/>
      <c r="BK441" s="2"/>
      <c r="BL441" s="2"/>
      <c r="BM441" s="2"/>
      <c r="BN441" s="2"/>
      <c r="BO441" s="2"/>
      <c r="BP441" s="2"/>
      <c r="BQ441" s="2"/>
      <c r="BR441" s="2"/>
      <c r="BS441" s="2"/>
      <c r="BT441" s="2"/>
      <c r="BU441" s="2"/>
      <c r="BV441" s="2"/>
      <c r="BW441" s="2"/>
      <c r="BX441" s="2"/>
      <c r="BY441" s="2"/>
      <c r="BZ441" s="2"/>
      <c r="CA441" s="2"/>
      <c r="CB441" s="2"/>
      <c r="CC441" s="2"/>
      <c r="CD441" s="2"/>
      <c r="CE441" s="2"/>
      <c r="CF441" s="2"/>
      <c r="CG441" s="2"/>
      <c r="CH441" s="2"/>
      <c r="CI441" s="2"/>
      <c r="CJ441" s="2"/>
      <c r="CK441" s="2"/>
      <c r="CL441" s="2"/>
      <c r="CM441" s="2"/>
      <c r="CN441" s="2"/>
      <c r="CO441" s="2"/>
      <c r="CP441" s="2"/>
      <c r="CQ441" s="2"/>
      <c r="CR441" s="2"/>
      <c r="CS441" s="2"/>
      <c r="CT441" s="2"/>
      <c r="CU441" s="2"/>
      <c r="CV441" s="2"/>
      <c r="CW441" s="2"/>
      <c r="CX441" s="2"/>
      <c r="CY441" s="2"/>
      <c r="CZ441" s="2"/>
      <c r="DA441" s="2"/>
      <c r="DB441" s="2"/>
      <c r="DC441" s="2"/>
      <c r="DD441" s="2"/>
      <c r="DE441" s="2"/>
      <c r="DF441" s="2"/>
      <c r="DG441" s="2"/>
      <c r="DH441" s="2"/>
      <c r="DI441" s="2"/>
      <c r="DJ441" s="2"/>
      <c r="DK441" s="2"/>
      <c r="DL441" s="2"/>
      <c r="DM441" s="2"/>
      <c r="DN441" s="2"/>
      <c r="DO441" s="2"/>
      <c r="DP441" s="2"/>
      <c r="DQ441" s="2"/>
      <c r="DR441" s="2"/>
      <c r="DS441" s="2"/>
      <c r="DT441" s="2"/>
      <c r="DU441" s="2"/>
      <c r="DV441" s="2"/>
      <c r="DW441" s="2"/>
      <c r="DX441" s="2"/>
      <c r="DY441" s="2"/>
      <c r="DZ441" s="2"/>
      <c r="EA441" s="2"/>
      <c r="EB441" s="2"/>
      <c r="EC441" s="2"/>
      <c r="ED441" s="2"/>
      <c r="EE441" s="2"/>
      <c r="EF441" s="2"/>
      <c r="EG441" s="2"/>
      <c r="EH441" s="2"/>
      <c r="EI441" s="2"/>
      <c r="EJ441" s="2"/>
      <c r="EK441" s="2"/>
      <c r="EL441" s="2"/>
      <c r="EM441" s="2"/>
      <c r="EN441" s="2"/>
      <c r="EO441" s="2"/>
      <c r="EP441" s="2"/>
      <c r="EQ441" s="2"/>
      <c r="ER441" s="2"/>
      <c r="ES441" s="2"/>
      <c r="ET441" s="2"/>
      <c r="EU441" s="2"/>
      <c r="EV441" s="2"/>
      <c r="EW441" s="2"/>
      <c r="EX441" s="2"/>
      <c r="EY441" s="2"/>
      <c r="EZ441" s="2"/>
      <c r="FA441" s="2"/>
      <c r="FB441" s="2"/>
      <c r="FC441" s="2"/>
      <c r="FD441" s="2"/>
      <c r="FE441" s="2"/>
      <c r="FF441" s="2"/>
      <c r="FG441" s="2"/>
      <c r="FH441" s="2"/>
      <c r="FI441" s="2"/>
      <c r="FJ441" s="2"/>
      <c r="FK441" s="2"/>
      <c r="FL441" s="2"/>
      <c r="FM441" s="2"/>
      <c r="FN441" s="2"/>
      <c r="FO441" s="2"/>
      <c r="FP441" s="2"/>
      <c r="FQ441" s="2"/>
      <c r="FR441" s="2"/>
      <c r="FS441" s="2"/>
      <c r="FT441" s="2"/>
      <c r="FU441" s="2"/>
      <c r="FV441" s="2"/>
      <c r="FW441" s="2"/>
      <c r="FX441" s="2"/>
      <c r="FY441" s="2"/>
      <c r="FZ441" s="2"/>
      <c r="GA441" s="2"/>
      <c r="GB441" s="2"/>
      <c r="GC441" s="2"/>
      <c r="GD441" s="2"/>
      <c r="GE441" s="2"/>
      <c r="GF441" s="2"/>
      <c r="GG441" s="2"/>
      <c r="GH441" s="2"/>
      <c r="GI441" s="2"/>
      <c r="GJ441" s="2"/>
      <c r="GK441" s="2"/>
      <c r="GL441" s="2"/>
      <c r="GM441" s="2"/>
      <c r="GN441" s="2"/>
      <c r="GO441" s="2"/>
      <c r="GP441" s="2"/>
      <c r="GQ441" s="2"/>
      <c r="GR441" s="2"/>
      <c r="GS441" s="2"/>
      <c r="GT441" s="2"/>
      <c r="GU441" s="2"/>
      <c r="GV441" s="2"/>
      <c r="GW441" s="2"/>
      <c r="GX441" s="2"/>
      <c r="GY441" s="2"/>
      <c r="GZ441" s="2"/>
      <c r="HA441" s="2"/>
      <c r="HB441" s="2"/>
      <c r="HC441" s="2"/>
      <c r="HD441" s="2"/>
      <c r="HE441" s="2"/>
      <c r="HF441" s="2"/>
      <c r="HG441" s="2"/>
      <c r="HH441" s="2"/>
      <c r="HI441" s="2"/>
      <c r="HJ441" s="2"/>
      <c r="HK441" s="2"/>
      <c r="HL441" s="2"/>
      <c r="HM441" s="2"/>
      <c r="HN441" s="2"/>
      <c r="HO441" s="2"/>
      <c r="HP441" s="2"/>
      <c r="HQ441" s="2"/>
      <c r="HR441" s="2"/>
      <c r="HS441" s="2"/>
      <c r="HT441" s="2"/>
      <c r="HU441" s="2"/>
      <c r="HV441" s="2"/>
      <c r="HW441" s="2"/>
      <c r="HX441" s="2"/>
      <c r="HY441" s="2"/>
      <c r="HZ441" s="2"/>
      <c r="IA441" s="2"/>
      <c r="IB441" s="2"/>
      <c r="IC441" s="2"/>
    </row>
    <row r="442" spans="1:237" x14ac:dyDescent="0.2">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c r="AA442" s="2"/>
      <c r="AB442" s="2"/>
      <c r="AC442" s="2"/>
      <c r="AD442" s="2"/>
      <c r="AE442" s="2"/>
      <c r="AF442" s="2"/>
      <c r="AG442" s="2"/>
      <c r="AH442" s="2"/>
      <c r="AI442" s="2"/>
      <c r="AJ442" s="2"/>
      <c r="AK442" s="2"/>
      <c r="AL442" s="2"/>
      <c r="AM442" s="2"/>
      <c r="AN442" s="2"/>
      <c r="AO442" s="2"/>
      <c r="AP442" s="2"/>
      <c r="AQ442" s="2"/>
      <c r="AR442" s="2"/>
      <c r="AS442" s="2"/>
      <c r="AT442" s="2"/>
      <c r="AU442" s="2"/>
      <c r="AV442" s="2"/>
      <c r="AW442" s="2"/>
      <c r="AX442" s="2"/>
      <c r="AY442" s="2"/>
      <c r="AZ442" s="2"/>
      <c r="BA442" s="2"/>
      <c r="BB442" s="2"/>
      <c r="BC442" s="2"/>
      <c r="BD442" s="2"/>
      <c r="BE442" s="2"/>
      <c r="BF442" s="2"/>
      <c r="BG442" s="2"/>
      <c r="BH442" s="2"/>
      <c r="BI442" s="2"/>
      <c r="BJ442" s="2"/>
      <c r="BK442" s="2"/>
      <c r="BL442" s="2"/>
      <c r="BM442" s="2"/>
      <c r="BN442" s="2"/>
      <c r="BO442" s="2"/>
      <c r="BP442" s="2"/>
      <c r="BQ442" s="2"/>
      <c r="BR442" s="2"/>
      <c r="BS442" s="2"/>
      <c r="BT442" s="2"/>
      <c r="BU442" s="2"/>
      <c r="BV442" s="2"/>
      <c r="BW442" s="2"/>
      <c r="BX442" s="2"/>
      <c r="BY442" s="2"/>
      <c r="BZ442" s="2"/>
      <c r="CA442" s="2"/>
      <c r="CB442" s="2"/>
      <c r="CC442" s="2"/>
      <c r="CD442" s="2"/>
      <c r="CE442" s="2"/>
      <c r="CF442" s="2"/>
      <c r="CG442" s="2"/>
      <c r="CH442" s="2"/>
      <c r="CI442" s="2"/>
      <c r="CJ442" s="2"/>
      <c r="CK442" s="2"/>
      <c r="CL442" s="2"/>
      <c r="CM442" s="2"/>
      <c r="CN442" s="2"/>
      <c r="CO442" s="2"/>
      <c r="CP442" s="2"/>
      <c r="CQ442" s="2"/>
      <c r="CR442" s="2"/>
      <c r="CS442" s="2"/>
      <c r="CT442" s="2"/>
      <c r="CU442" s="2"/>
      <c r="CV442" s="2"/>
      <c r="CW442" s="2"/>
      <c r="CX442" s="2"/>
      <c r="CY442" s="2"/>
      <c r="CZ442" s="2"/>
      <c r="DA442" s="2"/>
      <c r="DB442" s="2"/>
      <c r="DC442" s="2"/>
      <c r="DD442" s="2"/>
      <c r="DE442" s="2"/>
      <c r="DF442" s="2"/>
      <c r="DG442" s="2"/>
      <c r="DH442" s="2"/>
      <c r="DI442" s="2"/>
      <c r="DJ442" s="2"/>
      <c r="DK442" s="2"/>
      <c r="DL442" s="2"/>
      <c r="DM442" s="2"/>
      <c r="DN442" s="2"/>
      <c r="DO442" s="2"/>
      <c r="DP442" s="2"/>
      <c r="DQ442" s="2"/>
      <c r="DR442" s="2"/>
      <c r="DS442" s="2"/>
      <c r="DT442" s="2"/>
      <c r="DU442" s="2"/>
      <c r="DV442" s="2"/>
      <c r="DW442" s="2"/>
      <c r="DX442" s="2"/>
      <c r="DY442" s="2"/>
      <c r="DZ442" s="2"/>
      <c r="EA442" s="2"/>
      <c r="EB442" s="2"/>
      <c r="EC442" s="2"/>
      <c r="ED442" s="2"/>
      <c r="EE442" s="2"/>
      <c r="EF442" s="2"/>
      <c r="EG442" s="2"/>
      <c r="EH442" s="2"/>
      <c r="EI442" s="2"/>
      <c r="EJ442" s="2"/>
      <c r="EK442" s="2"/>
      <c r="EL442" s="2"/>
      <c r="EM442" s="2"/>
      <c r="EN442" s="2"/>
      <c r="EO442" s="2"/>
      <c r="EP442" s="2"/>
      <c r="EQ442" s="2"/>
      <c r="ER442" s="2"/>
      <c r="ES442" s="2"/>
      <c r="ET442" s="2"/>
      <c r="EU442" s="2"/>
      <c r="EV442" s="2"/>
      <c r="EW442" s="2"/>
      <c r="EX442" s="2"/>
      <c r="EY442" s="2"/>
      <c r="EZ442" s="2"/>
      <c r="FA442" s="2"/>
      <c r="FB442" s="2"/>
      <c r="FC442" s="2"/>
      <c r="FD442" s="2"/>
      <c r="FE442" s="2"/>
      <c r="FF442" s="2"/>
      <c r="FG442" s="2"/>
      <c r="FH442" s="2"/>
      <c r="FI442" s="2"/>
      <c r="FJ442" s="2"/>
      <c r="FK442" s="2"/>
      <c r="FL442" s="2"/>
      <c r="FM442" s="2"/>
      <c r="FN442" s="2"/>
      <c r="FO442" s="2"/>
      <c r="FP442" s="2"/>
      <c r="FQ442" s="2"/>
      <c r="FR442" s="2"/>
      <c r="FS442" s="2"/>
      <c r="FT442" s="2"/>
      <c r="FU442" s="2"/>
      <c r="FV442" s="2"/>
      <c r="FW442" s="2"/>
      <c r="FX442" s="2"/>
      <c r="FY442" s="2"/>
      <c r="FZ442" s="2"/>
      <c r="GA442" s="2"/>
      <c r="GB442" s="2"/>
      <c r="GC442" s="2"/>
      <c r="GD442" s="2"/>
      <c r="GE442" s="2"/>
      <c r="GF442" s="2"/>
      <c r="GG442" s="2"/>
      <c r="GH442" s="2"/>
      <c r="GI442" s="2"/>
      <c r="GJ442" s="2"/>
      <c r="GK442" s="2"/>
      <c r="GL442" s="2"/>
      <c r="GM442" s="2"/>
      <c r="GN442" s="2"/>
      <c r="GO442" s="2"/>
      <c r="GP442" s="2"/>
      <c r="GQ442" s="2"/>
      <c r="GR442" s="2"/>
      <c r="GS442" s="2"/>
      <c r="GT442" s="2"/>
      <c r="GU442" s="2"/>
      <c r="GV442" s="2"/>
      <c r="GW442" s="2"/>
      <c r="GX442" s="2"/>
      <c r="GY442" s="2"/>
      <c r="GZ442" s="2"/>
      <c r="HA442" s="2"/>
      <c r="HB442" s="2"/>
      <c r="HC442" s="2"/>
      <c r="HD442" s="2"/>
      <c r="HE442" s="2"/>
      <c r="HF442" s="2"/>
      <c r="HG442" s="2"/>
      <c r="HH442" s="2"/>
      <c r="HI442" s="2"/>
      <c r="HJ442" s="2"/>
      <c r="HK442" s="2"/>
      <c r="HL442" s="2"/>
      <c r="HM442" s="2"/>
      <c r="HN442" s="2"/>
      <c r="HO442" s="2"/>
      <c r="HP442" s="2"/>
      <c r="HQ442" s="2"/>
      <c r="HR442" s="2"/>
      <c r="HS442" s="2"/>
      <c r="HT442" s="2"/>
      <c r="HU442" s="2"/>
      <c r="HV442" s="2"/>
      <c r="HW442" s="2"/>
      <c r="HX442" s="2"/>
      <c r="HY442" s="2"/>
      <c r="HZ442" s="2"/>
      <c r="IA442" s="2"/>
      <c r="IB442" s="2"/>
      <c r="IC442" s="2"/>
    </row>
    <row r="443" spans="1:237" x14ac:dyDescent="0.2">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c r="AB443" s="2"/>
      <c r="AC443" s="2"/>
      <c r="AD443" s="2"/>
      <c r="AE443" s="2"/>
      <c r="AF443" s="2"/>
      <c r="AG443" s="2"/>
      <c r="AH443" s="2"/>
      <c r="AI443" s="2"/>
      <c r="AJ443" s="2"/>
      <c r="AK443" s="2"/>
      <c r="AL443" s="2"/>
      <c r="AM443" s="2"/>
      <c r="AN443" s="2"/>
      <c r="AO443" s="2"/>
      <c r="AP443" s="2"/>
      <c r="AQ443" s="2"/>
      <c r="AR443" s="2"/>
      <c r="AS443" s="2"/>
      <c r="AT443" s="2"/>
      <c r="AU443" s="2"/>
      <c r="AV443" s="2"/>
      <c r="AW443" s="2"/>
      <c r="AX443" s="2"/>
      <c r="AY443" s="2"/>
      <c r="AZ443" s="2"/>
      <c r="BA443" s="2"/>
      <c r="BB443" s="2"/>
      <c r="BC443" s="2"/>
      <c r="BD443" s="2"/>
      <c r="BE443" s="2"/>
      <c r="BF443" s="2"/>
      <c r="BG443" s="2"/>
      <c r="BH443" s="2"/>
      <c r="BI443" s="2"/>
      <c r="BJ443" s="2"/>
      <c r="BK443" s="2"/>
      <c r="BL443" s="2"/>
      <c r="BM443" s="2"/>
      <c r="BN443" s="2"/>
      <c r="BO443" s="2"/>
      <c r="BP443" s="2"/>
      <c r="BQ443" s="2"/>
      <c r="BR443" s="2"/>
      <c r="BS443" s="2"/>
      <c r="BT443" s="2"/>
      <c r="BU443" s="2"/>
      <c r="BV443" s="2"/>
      <c r="BW443" s="2"/>
      <c r="BX443" s="2"/>
      <c r="BY443" s="2"/>
      <c r="BZ443" s="2"/>
      <c r="CA443" s="2"/>
      <c r="CB443" s="2"/>
      <c r="CC443" s="2"/>
      <c r="CD443" s="2"/>
      <c r="CE443" s="2"/>
      <c r="CF443" s="2"/>
      <c r="CG443" s="2"/>
      <c r="CH443" s="2"/>
      <c r="CI443" s="2"/>
      <c r="CJ443" s="2"/>
      <c r="CK443" s="2"/>
      <c r="CL443" s="2"/>
      <c r="CM443" s="2"/>
      <c r="CN443" s="2"/>
      <c r="CO443" s="2"/>
      <c r="CP443" s="2"/>
      <c r="CQ443" s="2"/>
      <c r="CR443" s="2"/>
      <c r="CS443" s="2"/>
      <c r="CT443" s="2"/>
      <c r="CU443" s="2"/>
      <c r="CV443" s="2"/>
      <c r="CW443" s="2"/>
      <c r="CX443" s="2"/>
      <c r="CY443" s="2"/>
      <c r="CZ443" s="2"/>
      <c r="DA443" s="2"/>
      <c r="DB443" s="2"/>
      <c r="DC443" s="2"/>
      <c r="DD443" s="2"/>
      <c r="DE443" s="2"/>
      <c r="DF443" s="2"/>
      <c r="DG443" s="2"/>
      <c r="DH443" s="2"/>
      <c r="DI443" s="2"/>
      <c r="DJ443" s="2"/>
      <c r="DK443" s="2"/>
      <c r="DL443" s="2"/>
      <c r="DM443" s="2"/>
      <c r="DN443" s="2"/>
      <c r="DO443" s="2"/>
      <c r="DP443" s="2"/>
      <c r="DQ443" s="2"/>
      <c r="DR443" s="2"/>
      <c r="DS443" s="2"/>
      <c r="DT443" s="2"/>
      <c r="DU443" s="2"/>
      <c r="DV443" s="2"/>
      <c r="DW443" s="2"/>
      <c r="DX443" s="2"/>
      <c r="DY443" s="2"/>
      <c r="DZ443" s="2"/>
      <c r="EA443" s="2"/>
      <c r="EB443" s="2"/>
      <c r="EC443" s="2"/>
      <c r="ED443" s="2"/>
      <c r="EE443" s="2"/>
      <c r="EF443" s="2"/>
      <c r="EG443" s="2"/>
      <c r="EH443" s="2"/>
      <c r="EI443" s="2"/>
      <c r="EJ443" s="2"/>
      <c r="EK443" s="2"/>
      <c r="EL443" s="2"/>
      <c r="EM443" s="2"/>
      <c r="EN443" s="2"/>
      <c r="EO443" s="2"/>
      <c r="EP443" s="2"/>
      <c r="EQ443" s="2"/>
      <c r="ER443" s="2"/>
      <c r="ES443" s="2"/>
      <c r="ET443" s="2"/>
      <c r="EU443" s="2"/>
      <c r="EV443" s="2"/>
      <c r="EW443" s="2"/>
      <c r="EX443" s="2"/>
      <c r="EY443" s="2"/>
      <c r="EZ443" s="2"/>
      <c r="FA443" s="2"/>
      <c r="FB443" s="2"/>
      <c r="FC443" s="2"/>
      <c r="FD443" s="2"/>
      <c r="FE443" s="2"/>
      <c r="FF443" s="2"/>
      <c r="FG443" s="2"/>
      <c r="FH443" s="2"/>
      <c r="FI443" s="2"/>
      <c r="FJ443" s="2"/>
      <c r="FK443" s="2"/>
      <c r="FL443" s="2"/>
      <c r="FM443" s="2"/>
      <c r="FN443" s="2"/>
      <c r="FO443" s="2"/>
      <c r="FP443" s="2"/>
      <c r="FQ443" s="2"/>
      <c r="FR443" s="2"/>
      <c r="FS443" s="2"/>
      <c r="FT443" s="2"/>
      <c r="FU443" s="2"/>
      <c r="FV443" s="2"/>
      <c r="FW443" s="2"/>
      <c r="FX443" s="2"/>
      <c r="FY443" s="2"/>
      <c r="FZ443" s="2"/>
      <c r="GA443" s="2"/>
      <c r="GB443" s="2"/>
      <c r="GC443" s="2"/>
      <c r="GD443" s="2"/>
      <c r="GE443" s="2"/>
      <c r="GF443" s="2"/>
      <c r="GG443" s="2"/>
      <c r="GH443" s="2"/>
      <c r="GI443" s="2"/>
      <c r="GJ443" s="2"/>
      <c r="GK443" s="2"/>
      <c r="GL443" s="2"/>
      <c r="GM443" s="2"/>
      <c r="GN443" s="2"/>
      <c r="GO443" s="2"/>
      <c r="GP443" s="2"/>
      <c r="GQ443" s="2"/>
      <c r="GR443" s="2"/>
      <c r="GS443" s="2"/>
      <c r="GT443" s="2"/>
      <c r="GU443" s="2"/>
      <c r="GV443" s="2"/>
      <c r="GW443" s="2"/>
      <c r="GX443" s="2"/>
      <c r="GY443" s="2"/>
      <c r="GZ443" s="2"/>
      <c r="HA443" s="2"/>
      <c r="HB443" s="2"/>
      <c r="HC443" s="2"/>
      <c r="HD443" s="2"/>
      <c r="HE443" s="2"/>
      <c r="HF443" s="2"/>
      <c r="HG443" s="2"/>
      <c r="HH443" s="2"/>
      <c r="HI443" s="2"/>
      <c r="HJ443" s="2"/>
      <c r="HK443" s="2"/>
      <c r="HL443" s="2"/>
      <c r="HM443" s="2"/>
      <c r="HN443" s="2"/>
      <c r="HO443" s="2"/>
      <c r="HP443" s="2"/>
      <c r="HQ443" s="2"/>
      <c r="HR443" s="2"/>
      <c r="HS443" s="2"/>
      <c r="HT443" s="2"/>
      <c r="HU443" s="2"/>
      <c r="HV443" s="2"/>
      <c r="HW443" s="2"/>
      <c r="HX443" s="2"/>
      <c r="HY443" s="2"/>
      <c r="HZ443" s="2"/>
      <c r="IA443" s="2"/>
      <c r="IB443" s="2"/>
      <c r="IC443" s="2"/>
    </row>
    <row r="444" spans="1:237" x14ac:dyDescent="0.2">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c r="AB444" s="2"/>
      <c r="AC444" s="2"/>
      <c r="AD444" s="2"/>
      <c r="AE444" s="2"/>
      <c r="AF444" s="2"/>
      <c r="AG444" s="2"/>
      <c r="AH444" s="2"/>
      <c r="AI444" s="2"/>
      <c r="AJ444" s="2"/>
      <c r="AK444" s="2"/>
      <c r="AL444" s="2"/>
      <c r="AM444" s="2"/>
      <c r="AN444" s="2"/>
      <c r="AO444" s="2"/>
      <c r="AP444" s="2"/>
      <c r="AQ444" s="2"/>
      <c r="AR444" s="2"/>
      <c r="AS444" s="2"/>
      <c r="AT444" s="2"/>
      <c r="AU444" s="2"/>
      <c r="AV444" s="2"/>
      <c r="AW444" s="2"/>
      <c r="AX444" s="2"/>
      <c r="AY444" s="2"/>
      <c r="AZ444" s="2"/>
      <c r="BA444" s="2"/>
      <c r="BB444" s="2"/>
      <c r="BC444" s="2"/>
      <c r="BD444" s="2"/>
      <c r="BE444" s="2"/>
      <c r="BF444" s="2"/>
      <c r="BG444" s="2"/>
      <c r="BH444" s="2"/>
      <c r="BI444" s="2"/>
      <c r="BJ444" s="2"/>
      <c r="BK444" s="2"/>
      <c r="BL444" s="2"/>
      <c r="BM444" s="2"/>
      <c r="BN444" s="2"/>
      <c r="BO444" s="2"/>
      <c r="BP444" s="2"/>
      <c r="BQ444" s="2"/>
      <c r="BR444" s="2"/>
      <c r="BS444" s="2"/>
      <c r="BT444" s="2"/>
      <c r="BU444" s="2"/>
      <c r="BV444" s="2"/>
      <c r="BW444" s="2"/>
      <c r="BX444" s="2"/>
      <c r="BY444" s="2"/>
      <c r="BZ444" s="2"/>
      <c r="CA444" s="2"/>
      <c r="CB444" s="2"/>
      <c r="CC444" s="2"/>
      <c r="CD444" s="2"/>
      <c r="CE444" s="2"/>
      <c r="CF444" s="2"/>
      <c r="CG444" s="2"/>
      <c r="CH444" s="2"/>
      <c r="CI444" s="2"/>
      <c r="CJ444" s="2"/>
      <c r="CK444" s="2"/>
      <c r="CL444" s="2"/>
      <c r="CM444" s="2"/>
      <c r="CN444" s="2"/>
      <c r="CO444" s="2"/>
      <c r="CP444" s="2"/>
      <c r="CQ444" s="2"/>
      <c r="CR444" s="2"/>
      <c r="CS444" s="2"/>
      <c r="CT444" s="2"/>
      <c r="CU444" s="2"/>
      <c r="CV444" s="2"/>
      <c r="CW444" s="2"/>
      <c r="CX444" s="2"/>
      <c r="CY444" s="2"/>
      <c r="CZ444" s="2"/>
      <c r="DA444" s="2"/>
      <c r="DB444" s="2"/>
      <c r="DC444" s="2"/>
      <c r="DD444" s="2"/>
      <c r="DE444" s="2"/>
      <c r="DF444" s="2"/>
      <c r="DG444" s="2"/>
      <c r="DH444" s="2"/>
      <c r="DI444" s="2"/>
      <c r="DJ444" s="2"/>
      <c r="DK444" s="2"/>
      <c r="DL444" s="2"/>
      <c r="DM444" s="2"/>
      <c r="DN444" s="2"/>
      <c r="DO444" s="2"/>
      <c r="DP444" s="2"/>
      <c r="DQ444" s="2"/>
      <c r="DR444" s="2"/>
      <c r="DS444" s="2"/>
      <c r="DT444" s="2"/>
      <c r="DU444" s="2"/>
      <c r="DV444" s="2"/>
      <c r="DW444" s="2"/>
      <c r="DX444" s="2"/>
      <c r="DY444" s="2"/>
      <c r="DZ444" s="2"/>
      <c r="EA444" s="2"/>
      <c r="EB444" s="2"/>
      <c r="EC444" s="2"/>
      <c r="ED444" s="2"/>
      <c r="EE444" s="2"/>
      <c r="EF444" s="2"/>
      <c r="EG444" s="2"/>
      <c r="EH444" s="2"/>
      <c r="EI444" s="2"/>
      <c r="EJ444" s="2"/>
      <c r="EK444" s="2"/>
      <c r="EL444" s="2"/>
      <c r="EM444" s="2"/>
      <c r="EN444" s="2"/>
      <c r="EO444" s="2"/>
      <c r="EP444" s="2"/>
      <c r="EQ444" s="2"/>
      <c r="ER444" s="2"/>
      <c r="ES444" s="2"/>
      <c r="ET444" s="2"/>
      <c r="EU444" s="2"/>
      <c r="EV444" s="2"/>
      <c r="EW444" s="2"/>
      <c r="EX444" s="2"/>
      <c r="EY444" s="2"/>
      <c r="EZ444" s="2"/>
      <c r="FA444" s="2"/>
      <c r="FB444" s="2"/>
      <c r="FC444" s="2"/>
      <c r="FD444" s="2"/>
      <c r="FE444" s="2"/>
      <c r="FF444" s="2"/>
      <c r="FG444" s="2"/>
      <c r="FH444" s="2"/>
      <c r="FI444" s="2"/>
      <c r="FJ444" s="2"/>
      <c r="FK444" s="2"/>
      <c r="FL444" s="2"/>
      <c r="FM444" s="2"/>
      <c r="FN444" s="2"/>
      <c r="FO444" s="2"/>
      <c r="FP444" s="2"/>
      <c r="FQ444" s="2"/>
      <c r="FR444" s="2"/>
      <c r="FS444" s="2"/>
      <c r="FT444" s="2"/>
      <c r="FU444" s="2"/>
      <c r="FV444" s="2"/>
      <c r="FW444" s="2"/>
      <c r="FX444" s="2"/>
      <c r="FY444" s="2"/>
      <c r="FZ444" s="2"/>
      <c r="GA444" s="2"/>
      <c r="GB444" s="2"/>
      <c r="GC444" s="2"/>
      <c r="GD444" s="2"/>
      <c r="GE444" s="2"/>
      <c r="GF444" s="2"/>
      <c r="GG444" s="2"/>
      <c r="GH444" s="2"/>
      <c r="GI444" s="2"/>
      <c r="GJ444" s="2"/>
      <c r="GK444" s="2"/>
      <c r="GL444" s="2"/>
      <c r="GM444" s="2"/>
      <c r="GN444" s="2"/>
      <c r="GO444" s="2"/>
      <c r="GP444" s="2"/>
      <c r="GQ444" s="2"/>
      <c r="GR444" s="2"/>
      <c r="GS444" s="2"/>
      <c r="GT444" s="2"/>
      <c r="GU444" s="2"/>
      <c r="GV444" s="2"/>
      <c r="GW444" s="2"/>
      <c r="GX444" s="2"/>
      <c r="GY444" s="2"/>
      <c r="GZ444" s="2"/>
      <c r="HA444" s="2"/>
      <c r="HB444" s="2"/>
      <c r="HC444" s="2"/>
      <c r="HD444" s="2"/>
      <c r="HE444" s="2"/>
      <c r="HF444" s="2"/>
      <c r="HG444" s="2"/>
      <c r="HH444" s="2"/>
      <c r="HI444" s="2"/>
      <c r="HJ444" s="2"/>
      <c r="HK444" s="2"/>
      <c r="HL444" s="2"/>
      <c r="HM444" s="2"/>
      <c r="HN444" s="2"/>
      <c r="HO444" s="2"/>
      <c r="HP444" s="2"/>
      <c r="HQ444" s="2"/>
      <c r="HR444" s="2"/>
      <c r="HS444" s="2"/>
      <c r="HT444" s="2"/>
      <c r="HU444" s="2"/>
      <c r="HV444" s="2"/>
      <c r="HW444" s="2"/>
      <c r="HX444" s="2"/>
      <c r="HY444" s="2"/>
      <c r="HZ444" s="2"/>
      <c r="IA444" s="2"/>
      <c r="IB444" s="2"/>
      <c r="IC444" s="2"/>
    </row>
    <row r="445" spans="1:237" x14ac:dyDescent="0.2">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c r="AB445" s="2"/>
      <c r="AC445" s="2"/>
      <c r="AD445" s="2"/>
      <c r="AE445" s="2"/>
      <c r="AF445" s="2"/>
      <c r="AG445" s="2"/>
      <c r="AH445" s="2"/>
      <c r="AI445" s="2"/>
      <c r="AJ445" s="2"/>
      <c r="AK445" s="2"/>
      <c r="AL445" s="2"/>
      <c r="AM445" s="2"/>
      <c r="AN445" s="2"/>
      <c r="AO445" s="2"/>
      <c r="AP445" s="2"/>
      <c r="AQ445" s="2"/>
      <c r="AR445" s="2"/>
      <c r="AS445" s="2"/>
      <c r="AT445" s="2"/>
      <c r="AU445" s="2"/>
      <c r="AV445" s="2"/>
      <c r="AW445" s="2"/>
      <c r="AX445" s="2"/>
      <c r="AY445" s="2"/>
      <c r="AZ445" s="2"/>
      <c r="BA445" s="2"/>
      <c r="BB445" s="2"/>
      <c r="BC445" s="2"/>
      <c r="BD445" s="2"/>
      <c r="BE445" s="2"/>
      <c r="BF445" s="2"/>
      <c r="BG445" s="2"/>
      <c r="BH445" s="2"/>
      <c r="BI445" s="2"/>
      <c r="BJ445" s="2"/>
      <c r="BK445" s="2"/>
      <c r="BL445" s="2"/>
      <c r="BM445" s="2"/>
      <c r="BN445" s="2"/>
      <c r="BO445" s="2"/>
      <c r="BP445" s="2"/>
      <c r="BQ445" s="2"/>
      <c r="BR445" s="2"/>
      <c r="BS445" s="2"/>
      <c r="BT445" s="2"/>
      <c r="BU445" s="2"/>
      <c r="BV445" s="2"/>
      <c r="BW445" s="2"/>
      <c r="BX445" s="2"/>
      <c r="BY445" s="2"/>
      <c r="BZ445" s="2"/>
      <c r="CA445" s="2"/>
      <c r="CB445" s="2"/>
      <c r="CC445" s="2"/>
      <c r="CD445" s="2"/>
      <c r="CE445" s="2"/>
      <c r="CF445" s="2"/>
      <c r="CG445" s="2"/>
      <c r="CH445" s="2"/>
      <c r="CI445" s="2"/>
      <c r="CJ445" s="2"/>
      <c r="CK445" s="2"/>
      <c r="CL445" s="2"/>
      <c r="CM445" s="2"/>
      <c r="CN445" s="2"/>
      <c r="CO445" s="2"/>
      <c r="CP445" s="2"/>
      <c r="CQ445" s="2"/>
      <c r="CR445" s="2"/>
      <c r="CS445" s="2"/>
      <c r="CT445" s="2"/>
      <c r="CU445" s="2"/>
      <c r="CV445" s="2"/>
      <c r="CW445" s="2"/>
      <c r="CX445" s="2"/>
      <c r="CY445" s="2"/>
      <c r="CZ445" s="2"/>
      <c r="DA445" s="2"/>
      <c r="DB445" s="2"/>
      <c r="DC445" s="2"/>
      <c r="DD445" s="2"/>
      <c r="DE445" s="2"/>
      <c r="DF445" s="2"/>
      <c r="DG445" s="2"/>
      <c r="DH445" s="2"/>
      <c r="DI445" s="2"/>
      <c r="DJ445" s="2"/>
      <c r="DK445" s="2"/>
      <c r="DL445" s="2"/>
      <c r="DM445" s="2"/>
      <c r="DN445" s="2"/>
      <c r="DO445" s="2"/>
      <c r="DP445" s="2"/>
      <c r="DQ445" s="2"/>
      <c r="DR445" s="2"/>
      <c r="DS445" s="2"/>
      <c r="DT445" s="2"/>
      <c r="DU445" s="2"/>
      <c r="DV445" s="2"/>
      <c r="DW445" s="2"/>
      <c r="DX445" s="2"/>
      <c r="DY445" s="2"/>
      <c r="DZ445" s="2"/>
      <c r="EA445" s="2"/>
      <c r="EB445" s="2"/>
      <c r="EC445" s="2"/>
      <c r="ED445" s="2"/>
      <c r="EE445" s="2"/>
      <c r="EF445" s="2"/>
      <c r="EG445" s="2"/>
      <c r="EH445" s="2"/>
      <c r="EI445" s="2"/>
      <c r="EJ445" s="2"/>
      <c r="EK445" s="2"/>
      <c r="EL445" s="2"/>
      <c r="EM445" s="2"/>
      <c r="EN445" s="2"/>
      <c r="EO445" s="2"/>
      <c r="EP445" s="2"/>
      <c r="EQ445" s="2"/>
      <c r="ER445" s="2"/>
      <c r="ES445" s="2"/>
      <c r="ET445" s="2"/>
      <c r="EU445" s="2"/>
      <c r="EV445" s="2"/>
      <c r="EW445" s="2"/>
      <c r="EX445" s="2"/>
      <c r="EY445" s="2"/>
      <c r="EZ445" s="2"/>
      <c r="FA445" s="2"/>
      <c r="FB445" s="2"/>
      <c r="FC445" s="2"/>
      <c r="FD445" s="2"/>
      <c r="FE445" s="2"/>
      <c r="FF445" s="2"/>
      <c r="FG445" s="2"/>
      <c r="FH445" s="2"/>
      <c r="FI445" s="2"/>
      <c r="FJ445" s="2"/>
      <c r="FK445" s="2"/>
      <c r="FL445" s="2"/>
      <c r="FM445" s="2"/>
      <c r="FN445" s="2"/>
      <c r="FO445" s="2"/>
      <c r="FP445" s="2"/>
      <c r="FQ445" s="2"/>
      <c r="FR445" s="2"/>
      <c r="FS445" s="2"/>
      <c r="FT445" s="2"/>
      <c r="FU445" s="2"/>
      <c r="FV445" s="2"/>
      <c r="FW445" s="2"/>
      <c r="FX445" s="2"/>
      <c r="FY445" s="2"/>
      <c r="FZ445" s="2"/>
      <c r="GA445" s="2"/>
      <c r="GB445" s="2"/>
      <c r="GC445" s="2"/>
      <c r="GD445" s="2"/>
      <c r="GE445" s="2"/>
      <c r="GF445" s="2"/>
      <c r="GG445" s="2"/>
      <c r="GH445" s="2"/>
      <c r="GI445" s="2"/>
      <c r="GJ445" s="2"/>
      <c r="GK445" s="2"/>
      <c r="GL445" s="2"/>
      <c r="GM445" s="2"/>
      <c r="GN445" s="2"/>
      <c r="GO445" s="2"/>
      <c r="GP445" s="2"/>
      <c r="GQ445" s="2"/>
      <c r="GR445" s="2"/>
      <c r="GS445" s="2"/>
      <c r="GT445" s="2"/>
      <c r="GU445" s="2"/>
      <c r="GV445" s="2"/>
      <c r="GW445" s="2"/>
      <c r="GX445" s="2"/>
      <c r="GY445" s="2"/>
      <c r="GZ445" s="2"/>
      <c r="HA445" s="2"/>
      <c r="HB445" s="2"/>
      <c r="HC445" s="2"/>
      <c r="HD445" s="2"/>
      <c r="HE445" s="2"/>
      <c r="HF445" s="2"/>
      <c r="HG445" s="2"/>
      <c r="HH445" s="2"/>
      <c r="HI445" s="2"/>
      <c r="HJ445" s="2"/>
      <c r="HK445" s="2"/>
      <c r="HL445" s="2"/>
      <c r="HM445" s="2"/>
      <c r="HN445" s="2"/>
      <c r="HO445" s="2"/>
      <c r="HP445" s="2"/>
      <c r="HQ445" s="2"/>
      <c r="HR445" s="2"/>
      <c r="HS445" s="2"/>
      <c r="HT445" s="2"/>
      <c r="HU445" s="2"/>
      <c r="HV445" s="2"/>
      <c r="HW445" s="2"/>
      <c r="HX445" s="2"/>
      <c r="HY445" s="2"/>
      <c r="HZ445" s="2"/>
      <c r="IA445" s="2"/>
      <c r="IB445" s="2"/>
      <c r="IC445" s="2"/>
    </row>
    <row r="446" spans="1:237" x14ac:dyDescent="0.2">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c r="AB446" s="2"/>
      <c r="AC446" s="2"/>
      <c r="AD446" s="2"/>
      <c r="AE446" s="2"/>
      <c r="AF446" s="2"/>
      <c r="AG446" s="2"/>
      <c r="AH446" s="2"/>
      <c r="AI446" s="2"/>
      <c r="AJ446" s="2"/>
      <c r="AK446" s="2"/>
      <c r="AL446" s="2"/>
      <c r="AM446" s="2"/>
      <c r="AN446" s="2"/>
      <c r="AO446" s="2"/>
      <c r="AP446" s="2"/>
      <c r="AQ446" s="2"/>
      <c r="AR446" s="2"/>
      <c r="AS446" s="2"/>
      <c r="AT446" s="2"/>
      <c r="AU446" s="2"/>
      <c r="AV446" s="2"/>
      <c r="AW446" s="2"/>
      <c r="AX446" s="2"/>
      <c r="AY446" s="2"/>
      <c r="AZ446" s="2"/>
      <c r="BA446" s="2"/>
      <c r="BB446" s="2"/>
      <c r="BC446" s="2"/>
      <c r="BD446" s="2"/>
      <c r="BE446" s="2"/>
      <c r="BF446" s="2"/>
      <c r="BG446" s="2"/>
      <c r="BH446" s="2"/>
      <c r="BI446" s="2"/>
      <c r="BJ446" s="2"/>
      <c r="BK446" s="2"/>
      <c r="BL446" s="2"/>
      <c r="BM446" s="2"/>
      <c r="BN446" s="2"/>
      <c r="BO446" s="2"/>
      <c r="BP446" s="2"/>
      <c r="BQ446" s="2"/>
      <c r="BR446" s="2"/>
      <c r="BS446" s="2"/>
      <c r="BT446" s="2"/>
      <c r="BU446" s="2"/>
      <c r="BV446" s="2"/>
      <c r="BW446" s="2"/>
      <c r="BX446" s="2"/>
      <c r="BY446" s="2"/>
      <c r="BZ446" s="2"/>
      <c r="CA446" s="2"/>
      <c r="CB446" s="2"/>
      <c r="CC446" s="2"/>
      <c r="CD446" s="2"/>
      <c r="CE446" s="2"/>
      <c r="CF446" s="2"/>
      <c r="CG446" s="2"/>
      <c r="CH446" s="2"/>
      <c r="CI446" s="2"/>
      <c r="CJ446" s="2"/>
      <c r="CK446" s="2"/>
      <c r="CL446" s="2"/>
      <c r="CM446" s="2"/>
      <c r="CN446" s="2"/>
      <c r="CO446" s="2"/>
      <c r="CP446" s="2"/>
      <c r="CQ446" s="2"/>
      <c r="CR446" s="2"/>
      <c r="CS446" s="2"/>
      <c r="CT446" s="2"/>
      <c r="CU446" s="2"/>
      <c r="CV446" s="2"/>
      <c r="CW446" s="2"/>
      <c r="CX446" s="2"/>
      <c r="CY446" s="2"/>
      <c r="CZ446" s="2"/>
      <c r="DA446" s="2"/>
      <c r="DB446" s="2"/>
      <c r="DC446" s="2"/>
      <c r="DD446" s="2"/>
      <c r="DE446" s="2"/>
      <c r="DF446" s="2"/>
      <c r="DG446" s="2"/>
      <c r="DH446" s="2"/>
      <c r="DI446" s="2"/>
      <c r="DJ446" s="2"/>
      <c r="DK446" s="2"/>
      <c r="DL446" s="2"/>
      <c r="DM446" s="2"/>
      <c r="DN446" s="2"/>
      <c r="DO446" s="2"/>
      <c r="DP446" s="2"/>
      <c r="DQ446" s="2"/>
      <c r="DR446" s="2"/>
      <c r="DS446" s="2"/>
      <c r="DT446" s="2"/>
      <c r="DU446" s="2"/>
      <c r="DV446" s="2"/>
      <c r="DW446" s="2"/>
      <c r="DX446" s="2"/>
      <c r="DY446" s="2"/>
      <c r="DZ446" s="2"/>
      <c r="EA446" s="2"/>
      <c r="EB446" s="2"/>
      <c r="EC446" s="2"/>
      <c r="ED446" s="2"/>
      <c r="EE446" s="2"/>
      <c r="EF446" s="2"/>
      <c r="EG446" s="2"/>
      <c r="EH446" s="2"/>
      <c r="EI446" s="2"/>
      <c r="EJ446" s="2"/>
      <c r="EK446" s="2"/>
      <c r="EL446" s="2"/>
      <c r="EM446" s="2"/>
      <c r="EN446" s="2"/>
      <c r="EO446" s="2"/>
      <c r="EP446" s="2"/>
      <c r="EQ446" s="2"/>
      <c r="ER446" s="2"/>
      <c r="ES446" s="2"/>
      <c r="ET446" s="2"/>
      <c r="EU446" s="2"/>
      <c r="EV446" s="2"/>
      <c r="EW446" s="2"/>
      <c r="EX446" s="2"/>
      <c r="EY446" s="2"/>
      <c r="EZ446" s="2"/>
      <c r="FA446" s="2"/>
      <c r="FB446" s="2"/>
      <c r="FC446" s="2"/>
      <c r="FD446" s="2"/>
      <c r="FE446" s="2"/>
      <c r="FF446" s="2"/>
      <c r="FG446" s="2"/>
      <c r="FH446" s="2"/>
      <c r="FI446" s="2"/>
      <c r="FJ446" s="2"/>
      <c r="FK446" s="2"/>
      <c r="FL446" s="2"/>
      <c r="FM446" s="2"/>
      <c r="FN446" s="2"/>
      <c r="FO446" s="2"/>
      <c r="FP446" s="2"/>
      <c r="FQ446" s="2"/>
      <c r="FR446" s="2"/>
      <c r="FS446" s="2"/>
      <c r="FT446" s="2"/>
      <c r="FU446" s="2"/>
      <c r="FV446" s="2"/>
      <c r="FW446" s="2"/>
      <c r="FX446" s="2"/>
      <c r="FY446" s="2"/>
      <c r="FZ446" s="2"/>
      <c r="GA446" s="2"/>
      <c r="GB446" s="2"/>
      <c r="GC446" s="2"/>
      <c r="GD446" s="2"/>
      <c r="GE446" s="2"/>
      <c r="GF446" s="2"/>
      <c r="GG446" s="2"/>
      <c r="GH446" s="2"/>
      <c r="GI446" s="2"/>
      <c r="GJ446" s="2"/>
      <c r="GK446" s="2"/>
      <c r="GL446" s="2"/>
      <c r="GM446" s="2"/>
      <c r="GN446" s="2"/>
      <c r="GO446" s="2"/>
      <c r="GP446" s="2"/>
      <c r="GQ446" s="2"/>
      <c r="GR446" s="2"/>
      <c r="GS446" s="2"/>
      <c r="GT446" s="2"/>
      <c r="GU446" s="2"/>
      <c r="GV446" s="2"/>
      <c r="GW446" s="2"/>
      <c r="GX446" s="2"/>
      <c r="GY446" s="2"/>
      <c r="GZ446" s="2"/>
      <c r="HA446" s="2"/>
      <c r="HB446" s="2"/>
      <c r="HC446" s="2"/>
      <c r="HD446" s="2"/>
      <c r="HE446" s="2"/>
      <c r="HF446" s="2"/>
      <c r="HG446" s="2"/>
      <c r="HH446" s="2"/>
      <c r="HI446" s="2"/>
      <c r="HJ446" s="2"/>
      <c r="HK446" s="2"/>
      <c r="HL446" s="2"/>
      <c r="HM446" s="2"/>
      <c r="HN446" s="2"/>
      <c r="HO446" s="2"/>
      <c r="HP446" s="2"/>
      <c r="HQ446" s="2"/>
      <c r="HR446" s="2"/>
      <c r="HS446" s="2"/>
      <c r="HT446" s="2"/>
      <c r="HU446" s="2"/>
      <c r="HV446" s="2"/>
      <c r="HW446" s="2"/>
      <c r="HX446" s="2"/>
      <c r="HY446" s="2"/>
      <c r="HZ446" s="2"/>
      <c r="IA446" s="2"/>
      <c r="IB446" s="2"/>
      <c r="IC446" s="2"/>
    </row>
    <row r="447" spans="1:237" x14ac:dyDescent="0.2">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c r="AB447" s="2"/>
      <c r="AC447" s="2"/>
      <c r="AD447" s="2"/>
      <c r="AE447" s="2"/>
      <c r="AF447" s="2"/>
      <c r="AG447" s="2"/>
      <c r="AH447" s="2"/>
      <c r="AI447" s="2"/>
      <c r="AJ447" s="2"/>
      <c r="AK447" s="2"/>
      <c r="AL447" s="2"/>
      <c r="AM447" s="2"/>
      <c r="AN447" s="2"/>
      <c r="AO447" s="2"/>
      <c r="AP447" s="2"/>
      <c r="AQ447" s="2"/>
      <c r="AR447" s="2"/>
      <c r="AS447" s="2"/>
      <c r="AT447" s="2"/>
      <c r="AU447" s="2"/>
      <c r="AV447" s="2"/>
      <c r="AW447" s="2"/>
      <c r="AX447" s="2"/>
      <c r="AY447" s="2"/>
      <c r="AZ447" s="2"/>
      <c r="BA447" s="2"/>
      <c r="BB447" s="2"/>
      <c r="BC447" s="2"/>
      <c r="BD447" s="2"/>
      <c r="BE447" s="2"/>
      <c r="BF447" s="2"/>
      <c r="BG447" s="2"/>
      <c r="BH447" s="2"/>
      <c r="BI447" s="2"/>
      <c r="BJ447" s="2"/>
      <c r="BK447" s="2"/>
      <c r="BL447" s="2"/>
      <c r="BM447" s="2"/>
      <c r="BN447" s="2"/>
      <c r="BO447" s="2"/>
      <c r="BP447" s="2"/>
      <c r="BQ447" s="2"/>
      <c r="BR447" s="2"/>
      <c r="BS447" s="2"/>
      <c r="BT447" s="2"/>
      <c r="BU447" s="2"/>
      <c r="BV447" s="2"/>
      <c r="BW447" s="2"/>
      <c r="BX447" s="2"/>
      <c r="BY447" s="2"/>
      <c r="BZ447" s="2"/>
      <c r="CA447" s="2"/>
      <c r="CB447" s="2"/>
      <c r="CC447" s="2"/>
      <c r="CD447" s="2"/>
      <c r="CE447" s="2"/>
      <c r="CF447" s="2"/>
      <c r="CG447" s="2"/>
      <c r="CH447" s="2"/>
      <c r="CI447" s="2"/>
      <c r="CJ447" s="2"/>
      <c r="CK447" s="2"/>
      <c r="CL447" s="2"/>
      <c r="CM447" s="2"/>
      <c r="CN447" s="2"/>
      <c r="CO447" s="2"/>
      <c r="CP447" s="2"/>
      <c r="CQ447" s="2"/>
      <c r="CR447" s="2"/>
      <c r="CS447" s="2"/>
      <c r="CT447" s="2"/>
      <c r="CU447" s="2"/>
      <c r="CV447" s="2"/>
      <c r="CW447" s="2"/>
      <c r="CX447" s="2"/>
      <c r="CY447" s="2"/>
      <c r="CZ447" s="2"/>
      <c r="DA447" s="2"/>
      <c r="DB447" s="2"/>
      <c r="DC447" s="2"/>
      <c r="DD447" s="2"/>
      <c r="DE447" s="2"/>
      <c r="DF447" s="2"/>
      <c r="DG447" s="2"/>
      <c r="DH447" s="2"/>
      <c r="DI447" s="2"/>
      <c r="DJ447" s="2"/>
      <c r="DK447" s="2"/>
      <c r="DL447" s="2"/>
      <c r="DM447" s="2"/>
      <c r="DN447" s="2"/>
      <c r="DO447" s="2"/>
      <c r="DP447" s="2"/>
      <c r="DQ447" s="2"/>
      <c r="DR447" s="2"/>
      <c r="DS447" s="2"/>
      <c r="DT447" s="2"/>
      <c r="DU447" s="2"/>
      <c r="DV447" s="2"/>
      <c r="DW447" s="2"/>
      <c r="DX447" s="2"/>
      <c r="DY447" s="2"/>
      <c r="DZ447" s="2"/>
      <c r="EA447" s="2"/>
      <c r="EB447" s="2"/>
      <c r="EC447" s="2"/>
      <c r="ED447" s="2"/>
      <c r="EE447" s="2"/>
      <c r="EF447" s="2"/>
      <c r="EG447" s="2"/>
      <c r="EH447" s="2"/>
      <c r="EI447" s="2"/>
      <c r="EJ447" s="2"/>
      <c r="EK447" s="2"/>
      <c r="EL447" s="2"/>
      <c r="EM447" s="2"/>
      <c r="EN447" s="2"/>
      <c r="EO447" s="2"/>
      <c r="EP447" s="2"/>
      <c r="EQ447" s="2"/>
      <c r="ER447" s="2"/>
      <c r="ES447" s="2"/>
      <c r="ET447" s="2"/>
      <c r="EU447" s="2"/>
      <c r="EV447" s="2"/>
      <c r="EW447" s="2"/>
      <c r="EX447" s="2"/>
      <c r="EY447" s="2"/>
      <c r="EZ447" s="2"/>
      <c r="FA447" s="2"/>
      <c r="FB447" s="2"/>
      <c r="FC447" s="2"/>
      <c r="FD447" s="2"/>
      <c r="FE447" s="2"/>
      <c r="FF447" s="2"/>
      <c r="FG447" s="2"/>
      <c r="FH447" s="2"/>
      <c r="FI447" s="2"/>
      <c r="FJ447" s="2"/>
      <c r="FK447" s="2"/>
      <c r="FL447" s="2"/>
      <c r="FM447" s="2"/>
      <c r="FN447" s="2"/>
      <c r="FO447" s="2"/>
      <c r="FP447" s="2"/>
      <c r="FQ447" s="2"/>
      <c r="FR447" s="2"/>
      <c r="FS447" s="2"/>
      <c r="FT447" s="2"/>
      <c r="FU447" s="2"/>
      <c r="FV447" s="2"/>
      <c r="FW447" s="2"/>
      <c r="FX447" s="2"/>
      <c r="FY447" s="2"/>
      <c r="FZ447" s="2"/>
      <c r="GA447" s="2"/>
      <c r="GB447" s="2"/>
      <c r="GC447" s="2"/>
      <c r="GD447" s="2"/>
      <c r="GE447" s="2"/>
      <c r="GF447" s="2"/>
      <c r="GG447" s="2"/>
      <c r="GH447" s="2"/>
      <c r="GI447" s="2"/>
      <c r="GJ447" s="2"/>
      <c r="GK447" s="2"/>
      <c r="GL447" s="2"/>
      <c r="GM447" s="2"/>
      <c r="GN447" s="2"/>
      <c r="GO447" s="2"/>
      <c r="GP447" s="2"/>
      <c r="GQ447" s="2"/>
      <c r="GR447" s="2"/>
      <c r="GS447" s="2"/>
      <c r="GT447" s="2"/>
      <c r="GU447" s="2"/>
      <c r="GV447" s="2"/>
      <c r="GW447" s="2"/>
      <c r="GX447" s="2"/>
      <c r="GY447" s="2"/>
      <c r="GZ447" s="2"/>
      <c r="HA447" s="2"/>
      <c r="HB447" s="2"/>
      <c r="HC447" s="2"/>
      <c r="HD447" s="2"/>
      <c r="HE447" s="2"/>
      <c r="HF447" s="2"/>
      <c r="HG447" s="2"/>
      <c r="HH447" s="2"/>
      <c r="HI447" s="2"/>
      <c r="HJ447" s="2"/>
      <c r="HK447" s="2"/>
      <c r="HL447" s="2"/>
      <c r="HM447" s="2"/>
      <c r="HN447" s="2"/>
      <c r="HO447" s="2"/>
      <c r="HP447" s="2"/>
      <c r="HQ447" s="2"/>
      <c r="HR447" s="2"/>
      <c r="HS447" s="2"/>
      <c r="HT447" s="2"/>
      <c r="HU447" s="2"/>
      <c r="HV447" s="2"/>
      <c r="HW447" s="2"/>
      <c r="HX447" s="2"/>
      <c r="HY447" s="2"/>
      <c r="HZ447" s="2"/>
      <c r="IA447" s="2"/>
      <c r="IB447" s="2"/>
      <c r="IC447" s="2"/>
    </row>
    <row r="448" spans="1:237" x14ac:dyDescent="0.2">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c r="AA448" s="2"/>
      <c r="AB448" s="2"/>
      <c r="AC448" s="2"/>
      <c r="AD448" s="2"/>
      <c r="AE448" s="2"/>
      <c r="AF448" s="2"/>
      <c r="AG448" s="2"/>
      <c r="AH448" s="2"/>
      <c r="AI448" s="2"/>
      <c r="AJ448" s="2"/>
      <c r="AK448" s="2"/>
      <c r="AL448" s="2"/>
      <c r="AM448" s="2"/>
      <c r="AN448" s="2"/>
      <c r="AO448" s="2"/>
      <c r="AP448" s="2"/>
      <c r="AQ448" s="2"/>
      <c r="AR448" s="2"/>
      <c r="AS448" s="2"/>
      <c r="AT448" s="2"/>
      <c r="AU448" s="2"/>
      <c r="AV448" s="2"/>
      <c r="AW448" s="2"/>
      <c r="AX448" s="2"/>
      <c r="AY448" s="2"/>
      <c r="AZ448" s="2"/>
      <c r="BA448" s="2"/>
      <c r="BB448" s="2"/>
      <c r="BC448" s="2"/>
      <c r="BD448" s="2"/>
      <c r="BE448" s="2"/>
      <c r="BF448" s="2"/>
      <c r="BG448" s="2"/>
      <c r="BH448" s="2"/>
      <c r="BI448" s="2"/>
      <c r="BJ448" s="2"/>
      <c r="BK448" s="2"/>
      <c r="BL448" s="2"/>
      <c r="BM448" s="2"/>
      <c r="BN448" s="2"/>
      <c r="BO448" s="2"/>
      <c r="BP448" s="2"/>
      <c r="BQ448" s="2"/>
      <c r="BR448" s="2"/>
      <c r="BS448" s="2"/>
      <c r="BT448" s="2"/>
      <c r="BU448" s="2"/>
      <c r="BV448" s="2"/>
      <c r="BW448" s="2"/>
      <c r="BX448" s="2"/>
      <c r="BY448" s="2"/>
      <c r="BZ448" s="2"/>
      <c r="CA448" s="2"/>
      <c r="CB448" s="2"/>
      <c r="CC448" s="2"/>
      <c r="CD448" s="2"/>
      <c r="CE448" s="2"/>
      <c r="CF448" s="2"/>
      <c r="CG448" s="2"/>
      <c r="CH448" s="2"/>
      <c r="CI448" s="2"/>
      <c r="CJ448" s="2"/>
      <c r="CK448" s="2"/>
      <c r="CL448" s="2"/>
      <c r="CM448" s="2"/>
      <c r="CN448" s="2"/>
      <c r="CO448" s="2"/>
      <c r="CP448" s="2"/>
      <c r="CQ448" s="2"/>
      <c r="CR448" s="2"/>
      <c r="CS448" s="2"/>
      <c r="CT448" s="2"/>
      <c r="CU448" s="2"/>
      <c r="CV448" s="2"/>
      <c r="CW448" s="2"/>
      <c r="CX448" s="2"/>
      <c r="CY448" s="2"/>
      <c r="CZ448" s="2"/>
      <c r="DA448" s="2"/>
      <c r="DB448" s="2"/>
      <c r="DC448" s="2"/>
      <c r="DD448" s="2"/>
      <c r="DE448" s="2"/>
      <c r="DF448" s="2"/>
      <c r="DG448" s="2"/>
      <c r="DH448" s="2"/>
      <c r="DI448" s="2"/>
      <c r="DJ448" s="2"/>
      <c r="DK448" s="2"/>
      <c r="DL448" s="2"/>
      <c r="DM448" s="2"/>
      <c r="DN448" s="2"/>
      <c r="DO448" s="2"/>
      <c r="DP448" s="2"/>
      <c r="DQ448" s="2"/>
      <c r="DR448" s="2"/>
      <c r="DS448" s="2"/>
      <c r="DT448" s="2"/>
      <c r="DU448" s="2"/>
      <c r="DV448" s="2"/>
      <c r="DW448" s="2"/>
      <c r="DX448" s="2"/>
      <c r="DY448" s="2"/>
      <c r="DZ448" s="2"/>
      <c r="EA448" s="2"/>
      <c r="EB448" s="2"/>
      <c r="EC448" s="2"/>
      <c r="ED448" s="2"/>
      <c r="EE448" s="2"/>
      <c r="EF448" s="2"/>
      <c r="EG448" s="2"/>
      <c r="EH448" s="2"/>
      <c r="EI448" s="2"/>
      <c r="EJ448" s="2"/>
      <c r="EK448" s="2"/>
      <c r="EL448" s="2"/>
      <c r="EM448" s="2"/>
      <c r="EN448" s="2"/>
      <c r="EO448" s="2"/>
      <c r="EP448" s="2"/>
      <c r="EQ448" s="2"/>
      <c r="ER448" s="2"/>
      <c r="ES448" s="2"/>
      <c r="ET448" s="2"/>
      <c r="EU448" s="2"/>
      <c r="EV448" s="2"/>
      <c r="EW448" s="2"/>
      <c r="EX448" s="2"/>
      <c r="EY448" s="2"/>
      <c r="EZ448" s="2"/>
      <c r="FA448" s="2"/>
      <c r="FB448" s="2"/>
      <c r="FC448" s="2"/>
      <c r="FD448" s="2"/>
      <c r="FE448" s="2"/>
      <c r="FF448" s="2"/>
      <c r="FG448" s="2"/>
      <c r="FH448" s="2"/>
      <c r="FI448" s="2"/>
      <c r="FJ448" s="2"/>
      <c r="FK448" s="2"/>
      <c r="FL448" s="2"/>
      <c r="FM448" s="2"/>
      <c r="FN448" s="2"/>
      <c r="FO448" s="2"/>
      <c r="FP448" s="2"/>
      <c r="FQ448" s="2"/>
      <c r="FR448" s="2"/>
      <c r="FS448" s="2"/>
      <c r="FT448" s="2"/>
      <c r="FU448" s="2"/>
      <c r="FV448" s="2"/>
      <c r="FW448" s="2"/>
      <c r="FX448" s="2"/>
      <c r="FY448" s="2"/>
      <c r="FZ448" s="2"/>
      <c r="GA448" s="2"/>
      <c r="GB448" s="2"/>
      <c r="GC448" s="2"/>
      <c r="GD448" s="2"/>
      <c r="GE448" s="2"/>
      <c r="GF448" s="2"/>
      <c r="GG448" s="2"/>
      <c r="GH448" s="2"/>
      <c r="GI448" s="2"/>
      <c r="GJ448" s="2"/>
      <c r="GK448" s="2"/>
      <c r="GL448" s="2"/>
      <c r="GM448" s="2"/>
      <c r="GN448" s="2"/>
      <c r="GO448" s="2"/>
      <c r="GP448" s="2"/>
      <c r="GQ448" s="2"/>
      <c r="GR448" s="2"/>
      <c r="GS448" s="2"/>
      <c r="GT448" s="2"/>
      <c r="GU448" s="2"/>
      <c r="GV448" s="2"/>
      <c r="GW448" s="2"/>
      <c r="GX448" s="2"/>
      <c r="GY448" s="2"/>
      <c r="GZ448" s="2"/>
      <c r="HA448" s="2"/>
      <c r="HB448" s="2"/>
      <c r="HC448" s="2"/>
      <c r="HD448" s="2"/>
      <c r="HE448" s="2"/>
      <c r="HF448" s="2"/>
      <c r="HG448" s="2"/>
      <c r="HH448" s="2"/>
      <c r="HI448" s="2"/>
      <c r="HJ448" s="2"/>
      <c r="HK448" s="2"/>
      <c r="HL448" s="2"/>
      <c r="HM448" s="2"/>
      <c r="HN448" s="2"/>
      <c r="HO448" s="2"/>
      <c r="HP448" s="2"/>
      <c r="HQ448" s="2"/>
      <c r="HR448" s="2"/>
      <c r="HS448" s="2"/>
      <c r="HT448" s="2"/>
      <c r="HU448" s="2"/>
      <c r="HV448" s="2"/>
      <c r="HW448" s="2"/>
      <c r="HX448" s="2"/>
      <c r="HY448" s="2"/>
      <c r="HZ448" s="2"/>
      <c r="IA448" s="2"/>
      <c r="IB448" s="2"/>
      <c r="IC448" s="2"/>
    </row>
    <row r="449" spans="1:237" x14ac:dyDescent="0.2">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c r="AA449" s="2"/>
      <c r="AB449" s="2"/>
      <c r="AC449" s="2"/>
      <c r="AD449" s="2"/>
      <c r="AE449" s="2"/>
      <c r="AF449" s="2"/>
      <c r="AG449" s="2"/>
      <c r="AH449" s="2"/>
      <c r="AI449" s="2"/>
      <c r="AJ449" s="2"/>
      <c r="AK449" s="2"/>
      <c r="AL449" s="2"/>
      <c r="AM449" s="2"/>
      <c r="AN449" s="2"/>
      <c r="AO449" s="2"/>
      <c r="AP449" s="2"/>
      <c r="AQ449" s="2"/>
      <c r="AR449" s="2"/>
      <c r="AS449" s="2"/>
      <c r="AT449" s="2"/>
      <c r="AU449" s="2"/>
      <c r="AV449" s="2"/>
      <c r="AW449" s="2"/>
      <c r="AX449" s="2"/>
      <c r="AY449" s="2"/>
      <c r="AZ449" s="2"/>
      <c r="BA449" s="2"/>
      <c r="BB449" s="2"/>
      <c r="BC449" s="2"/>
      <c r="BD449" s="2"/>
      <c r="BE449" s="2"/>
      <c r="BF449" s="2"/>
      <c r="BG449" s="2"/>
      <c r="BH449" s="2"/>
      <c r="BI449" s="2"/>
      <c r="BJ449" s="2"/>
      <c r="BK449" s="2"/>
      <c r="BL449" s="2"/>
      <c r="BM449" s="2"/>
      <c r="BN449" s="2"/>
      <c r="BO449" s="2"/>
      <c r="BP449" s="2"/>
      <c r="BQ449" s="2"/>
      <c r="BR449" s="2"/>
      <c r="BS449" s="2"/>
      <c r="BT449" s="2"/>
      <c r="BU449" s="2"/>
      <c r="BV449" s="2"/>
      <c r="BW449" s="2"/>
      <c r="BX449" s="2"/>
      <c r="BY449" s="2"/>
      <c r="BZ449" s="2"/>
      <c r="CA449" s="2"/>
      <c r="CB449" s="2"/>
      <c r="CC449" s="2"/>
      <c r="CD449" s="2"/>
      <c r="CE449" s="2"/>
      <c r="CF449" s="2"/>
      <c r="CG449" s="2"/>
      <c r="CH449" s="2"/>
      <c r="CI449" s="2"/>
      <c r="CJ449" s="2"/>
      <c r="CK449" s="2"/>
      <c r="CL449" s="2"/>
      <c r="CM449" s="2"/>
      <c r="CN449" s="2"/>
      <c r="CO449" s="2"/>
      <c r="CP449" s="2"/>
      <c r="CQ449" s="2"/>
      <c r="CR449" s="2"/>
      <c r="CS449" s="2"/>
      <c r="CT449" s="2"/>
      <c r="CU449" s="2"/>
      <c r="CV449" s="2"/>
      <c r="CW449" s="2"/>
      <c r="CX449" s="2"/>
      <c r="CY449" s="2"/>
      <c r="CZ449" s="2"/>
      <c r="DA449" s="2"/>
      <c r="DB449" s="2"/>
      <c r="DC449" s="2"/>
      <c r="DD449" s="2"/>
      <c r="DE449" s="2"/>
      <c r="DF449" s="2"/>
      <c r="DG449" s="2"/>
      <c r="DH449" s="2"/>
      <c r="DI449" s="2"/>
      <c r="DJ449" s="2"/>
      <c r="DK449" s="2"/>
      <c r="DL449" s="2"/>
      <c r="DM449" s="2"/>
      <c r="DN449" s="2"/>
      <c r="DO449" s="2"/>
      <c r="DP449" s="2"/>
      <c r="DQ449" s="2"/>
      <c r="DR449" s="2"/>
      <c r="DS449" s="2"/>
      <c r="DT449" s="2"/>
      <c r="DU449" s="2"/>
      <c r="DV449" s="2"/>
      <c r="DW449" s="2"/>
      <c r="DX449" s="2"/>
      <c r="DY449" s="2"/>
      <c r="DZ449" s="2"/>
      <c r="EA449" s="2"/>
      <c r="EB449" s="2"/>
      <c r="EC449" s="2"/>
      <c r="ED449" s="2"/>
      <c r="EE449" s="2"/>
      <c r="EF449" s="2"/>
      <c r="EG449" s="2"/>
      <c r="EH449" s="2"/>
      <c r="EI449" s="2"/>
      <c r="EJ449" s="2"/>
      <c r="EK449" s="2"/>
      <c r="EL449" s="2"/>
      <c r="EM449" s="2"/>
      <c r="EN449" s="2"/>
      <c r="EO449" s="2"/>
      <c r="EP449" s="2"/>
      <c r="EQ449" s="2"/>
      <c r="ER449" s="2"/>
      <c r="ES449" s="2"/>
      <c r="ET449" s="2"/>
      <c r="EU449" s="2"/>
      <c r="EV449" s="2"/>
      <c r="EW449" s="2"/>
      <c r="EX449" s="2"/>
      <c r="EY449" s="2"/>
      <c r="EZ449" s="2"/>
      <c r="FA449" s="2"/>
      <c r="FB449" s="2"/>
      <c r="FC449" s="2"/>
      <c r="FD449" s="2"/>
      <c r="FE449" s="2"/>
      <c r="FF449" s="2"/>
      <c r="FG449" s="2"/>
      <c r="FH449" s="2"/>
      <c r="FI449" s="2"/>
      <c r="FJ449" s="2"/>
      <c r="FK449" s="2"/>
      <c r="FL449" s="2"/>
      <c r="FM449" s="2"/>
      <c r="FN449" s="2"/>
      <c r="FO449" s="2"/>
      <c r="FP449" s="2"/>
      <c r="FQ449" s="2"/>
      <c r="FR449" s="2"/>
      <c r="FS449" s="2"/>
      <c r="FT449" s="2"/>
      <c r="FU449" s="2"/>
      <c r="FV449" s="2"/>
      <c r="FW449" s="2"/>
      <c r="FX449" s="2"/>
      <c r="FY449" s="2"/>
      <c r="FZ449" s="2"/>
      <c r="GA449" s="2"/>
      <c r="GB449" s="2"/>
      <c r="GC449" s="2"/>
      <c r="GD449" s="2"/>
      <c r="GE449" s="2"/>
      <c r="GF449" s="2"/>
      <c r="GG449" s="2"/>
      <c r="GH449" s="2"/>
      <c r="GI449" s="2"/>
      <c r="GJ449" s="2"/>
      <c r="GK449" s="2"/>
      <c r="GL449" s="2"/>
      <c r="GM449" s="2"/>
      <c r="GN449" s="2"/>
      <c r="GO449" s="2"/>
      <c r="GP449" s="2"/>
      <c r="GQ449" s="2"/>
      <c r="GR449" s="2"/>
      <c r="GS449" s="2"/>
      <c r="GT449" s="2"/>
      <c r="GU449" s="2"/>
      <c r="GV449" s="2"/>
      <c r="GW449" s="2"/>
      <c r="GX449" s="2"/>
      <c r="GY449" s="2"/>
      <c r="GZ449" s="2"/>
      <c r="HA449" s="2"/>
      <c r="HB449" s="2"/>
      <c r="HC449" s="2"/>
      <c r="HD449" s="2"/>
      <c r="HE449" s="2"/>
      <c r="HF449" s="2"/>
      <c r="HG449" s="2"/>
      <c r="HH449" s="2"/>
      <c r="HI449" s="2"/>
      <c r="HJ449" s="2"/>
      <c r="HK449" s="2"/>
      <c r="HL449" s="2"/>
      <c r="HM449" s="2"/>
      <c r="HN449" s="2"/>
      <c r="HO449" s="2"/>
      <c r="HP449" s="2"/>
      <c r="HQ449" s="2"/>
      <c r="HR449" s="2"/>
      <c r="HS449" s="2"/>
      <c r="HT449" s="2"/>
      <c r="HU449" s="2"/>
      <c r="HV449" s="2"/>
      <c r="HW449" s="2"/>
      <c r="HX449" s="2"/>
      <c r="HY449" s="2"/>
      <c r="HZ449" s="2"/>
      <c r="IA449" s="2"/>
      <c r="IB449" s="2"/>
      <c r="IC449" s="2"/>
    </row>
    <row r="450" spans="1:237" x14ac:dyDescent="0.2">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c r="AA450" s="2"/>
      <c r="AB450" s="2"/>
      <c r="AC450" s="2"/>
      <c r="AD450" s="2"/>
      <c r="AE450" s="2"/>
      <c r="AF450" s="2"/>
      <c r="AG450" s="2"/>
      <c r="AH450" s="2"/>
      <c r="AI450" s="2"/>
      <c r="AJ450" s="2"/>
      <c r="AK450" s="2"/>
      <c r="AL450" s="2"/>
      <c r="AM450" s="2"/>
      <c r="AN450" s="2"/>
      <c r="AO450" s="2"/>
      <c r="AP450" s="2"/>
      <c r="AQ450" s="2"/>
      <c r="AR450" s="2"/>
      <c r="AS450" s="2"/>
      <c r="AT450" s="2"/>
      <c r="AU450" s="2"/>
      <c r="AV450" s="2"/>
      <c r="AW450" s="2"/>
      <c r="AX450" s="2"/>
      <c r="AY450" s="2"/>
      <c r="AZ450" s="2"/>
      <c r="BA450" s="2"/>
      <c r="BB450" s="2"/>
      <c r="BC450" s="2"/>
      <c r="BD450" s="2"/>
      <c r="BE450" s="2"/>
      <c r="BF450" s="2"/>
      <c r="BG450" s="2"/>
      <c r="BH450" s="2"/>
      <c r="BI450" s="2"/>
      <c r="BJ450" s="2"/>
      <c r="BK450" s="2"/>
      <c r="BL450" s="2"/>
      <c r="BM450" s="2"/>
      <c r="BN450" s="2"/>
      <c r="BO450" s="2"/>
      <c r="BP450" s="2"/>
      <c r="BQ450" s="2"/>
      <c r="BR450" s="2"/>
      <c r="BS450" s="2"/>
      <c r="BT450" s="2"/>
      <c r="BU450" s="2"/>
      <c r="BV450" s="2"/>
      <c r="BW450" s="2"/>
      <c r="BX450" s="2"/>
      <c r="BY450" s="2"/>
      <c r="BZ450" s="2"/>
      <c r="CA450" s="2"/>
      <c r="CB450" s="2"/>
      <c r="CC450" s="2"/>
      <c r="CD450" s="2"/>
      <c r="CE450" s="2"/>
      <c r="CF450" s="2"/>
      <c r="CG450" s="2"/>
      <c r="CH450" s="2"/>
      <c r="CI450" s="2"/>
      <c r="CJ450" s="2"/>
      <c r="CK450" s="2"/>
      <c r="CL450" s="2"/>
      <c r="CM450" s="2"/>
      <c r="CN450" s="2"/>
      <c r="CO450" s="2"/>
      <c r="CP450" s="2"/>
      <c r="CQ450" s="2"/>
      <c r="CR450" s="2"/>
      <c r="CS450" s="2"/>
      <c r="CT450" s="2"/>
      <c r="CU450" s="2"/>
      <c r="CV450" s="2"/>
      <c r="CW450" s="2"/>
      <c r="CX450" s="2"/>
      <c r="CY450" s="2"/>
      <c r="CZ450" s="2"/>
      <c r="DA450" s="2"/>
      <c r="DB450" s="2"/>
      <c r="DC450" s="2"/>
      <c r="DD450" s="2"/>
      <c r="DE450" s="2"/>
      <c r="DF450" s="2"/>
      <c r="DG450" s="2"/>
      <c r="DH450" s="2"/>
      <c r="DI450" s="2"/>
      <c r="DJ450" s="2"/>
      <c r="DK450" s="2"/>
      <c r="DL450" s="2"/>
      <c r="DM450" s="2"/>
      <c r="DN450" s="2"/>
      <c r="DO450" s="2"/>
      <c r="DP450" s="2"/>
      <c r="DQ450" s="2"/>
      <c r="DR450" s="2"/>
      <c r="DS450" s="2"/>
      <c r="DT450" s="2"/>
      <c r="DU450" s="2"/>
      <c r="DV450" s="2"/>
      <c r="DW450" s="2"/>
      <c r="DX450" s="2"/>
      <c r="DY450" s="2"/>
      <c r="DZ450" s="2"/>
      <c r="EA450" s="2"/>
      <c r="EB450" s="2"/>
      <c r="EC450" s="2"/>
      <c r="ED450" s="2"/>
      <c r="EE450" s="2"/>
      <c r="EF450" s="2"/>
      <c r="EG450" s="2"/>
      <c r="EH450" s="2"/>
      <c r="EI450" s="2"/>
      <c r="EJ450" s="2"/>
      <c r="EK450" s="2"/>
      <c r="EL450" s="2"/>
      <c r="EM450" s="2"/>
      <c r="EN450" s="2"/>
      <c r="EO450" s="2"/>
      <c r="EP450" s="2"/>
      <c r="EQ450" s="2"/>
      <c r="ER450" s="2"/>
      <c r="ES450" s="2"/>
      <c r="ET450" s="2"/>
      <c r="EU450" s="2"/>
      <c r="EV450" s="2"/>
      <c r="EW450" s="2"/>
      <c r="EX450" s="2"/>
      <c r="EY450" s="2"/>
      <c r="EZ450" s="2"/>
      <c r="FA450" s="2"/>
      <c r="FB450" s="2"/>
      <c r="FC450" s="2"/>
      <c r="FD450" s="2"/>
      <c r="FE450" s="2"/>
      <c r="FF450" s="2"/>
      <c r="FG450" s="2"/>
      <c r="FH450" s="2"/>
      <c r="FI450" s="2"/>
      <c r="FJ450" s="2"/>
      <c r="FK450" s="2"/>
      <c r="FL450" s="2"/>
      <c r="FM450" s="2"/>
      <c r="FN450" s="2"/>
      <c r="FO450" s="2"/>
      <c r="FP450" s="2"/>
      <c r="FQ450" s="2"/>
      <c r="FR450" s="2"/>
      <c r="FS450" s="2"/>
      <c r="FT450" s="2"/>
      <c r="FU450" s="2"/>
      <c r="FV450" s="2"/>
      <c r="FW450" s="2"/>
      <c r="FX450" s="2"/>
      <c r="FY450" s="2"/>
      <c r="FZ450" s="2"/>
      <c r="GA450" s="2"/>
      <c r="GB450" s="2"/>
      <c r="GC450" s="2"/>
      <c r="GD450" s="2"/>
      <c r="GE450" s="2"/>
      <c r="GF450" s="2"/>
      <c r="GG450" s="2"/>
      <c r="GH450" s="2"/>
      <c r="GI450" s="2"/>
      <c r="GJ450" s="2"/>
      <c r="GK450" s="2"/>
      <c r="GL450" s="2"/>
      <c r="GM450" s="2"/>
      <c r="GN450" s="2"/>
      <c r="GO450" s="2"/>
      <c r="GP450" s="2"/>
      <c r="GQ450" s="2"/>
      <c r="GR450" s="2"/>
      <c r="GS450" s="2"/>
      <c r="GT450" s="2"/>
      <c r="GU450" s="2"/>
      <c r="GV450" s="2"/>
      <c r="GW450" s="2"/>
      <c r="GX450" s="2"/>
      <c r="GY450" s="2"/>
      <c r="GZ450" s="2"/>
      <c r="HA450" s="2"/>
      <c r="HB450" s="2"/>
      <c r="HC450" s="2"/>
      <c r="HD450" s="2"/>
      <c r="HE450" s="2"/>
      <c r="HF450" s="2"/>
      <c r="HG450" s="2"/>
      <c r="HH450" s="2"/>
      <c r="HI450" s="2"/>
      <c r="HJ450" s="2"/>
      <c r="HK450" s="2"/>
      <c r="HL450" s="2"/>
      <c r="HM450" s="2"/>
      <c r="HN450" s="2"/>
      <c r="HO450" s="2"/>
      <c r="HP450" s="2"/>
      <c r="HQ450" s="2"/>
      <c r="HR450" s="2"/>
      <c r="HS450" s="2"/>
      <c r="HT450" s="2"/>
      <c r="HU450" s="2"/>
      <c r="HV450" s="2"/>
      <c r="HW450" s="2"/>
      <c r="HX450" s="2"/>
      <c r="HY450" s="2"/>
      <c r="HZ450" s="2"/>
      <c r="IA450" s="2"/>
      <c r="IB450" s="2"/>
      <c r="IC450" s="2"/>
    </row>
    <row r="451" spans="1:237" x14ac:dyDescent="0.2">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c r="AA451" s="2"/>
      <c r="AB451" s="2"/>
      <c r="AC451" s="2"/>
      <c r="AD451" s="2"/>
      <c r="AE451" s="2"/>
      <c r="AF451" s="2"/>
      <c r="AG451" s="2"/>
      <c r="AH451" s="2"/>
      <c r="AI451" s="2"/>
      <c r="AJ451" s="2"/>
      <c r="AK451" s="2"/>
      <c r="AL451" s="2"/>
      <c r="AM451" s="2"/>
      <c r="AN451" s="2"/>
      <c r="AO451" s="2"/>
      <c r="AP451" s="2"/>
      <c r="AQ451" s="2"/>
      <c r="AR451" s="2"/>
      <c r="AS451" s="2"/>
      <c r="AT451" s="2"/>
      <c r="AU451" s="2"/>
      <c r="AV451" s="2"/>
      <c r="AW451" s="2"/>
      <c r="AX451" s="2"/>
      <c r="AY451" s="2"/>
      <c r="AZ451" s="2"/>
      <c r="BA451" s="2"/>
      <c r="BB451" s="2"/>
      <c r="BC451" s="2"/>
      <c r="BD451" s="2"/>
      <c r="BE451" s="2"/>
      <c r="BF451" s="2"/>
      <c r="BG451" s="2"/>
      <c r="BH451" s="2"/>
      <c r="BI451" s="2"/>
      <c r="BJ451" s="2"/>
      <c r="BK451" s="2"/>
      <c r="BL451" s="2"/>
      <c r="BM451" s="2"/>
      <c r="BN451" s="2"/>
      <c r="BO451" s="2"/>
      <c r="BP451" s="2"/>
      <c r="BQ451" s="2"/>
      <c r="BR451" s="2"/>
      <c r="BS451" s="2"/>
      <c r="BT451" s="2"/>
      <c r="BU451" s="2"/>
      <c r="BV451" s="2"/>
      <c r="BW451" s="2"/>
      <c r="BX451" s="2"/>
      <c r="BY451" s="2"/>
      <c r="BZ451" s="2"/>
      <c r="CA451" s="2"/>
      <c r="CB451" s="2"/>
      <c r="CC451" s="2"/>
      <c r="CD451" s="2"/>
      <c r="CE451" s="2"/>
      <c r="CF451" s="2"/>
      <c r="CG451" s="2"/>
      <c r="CH451" s="2"/>
      <c r="CI451" s="2"/>
      <c r="CJ451" s="2"/>
      <c r="CK451" s="2"/>
      <c r="CL451" s="2"/>
      <c r="CM451" s="2"/>
      <c r="CN451" s="2"/>
      <c r="CO451" s="2"/>
      <c r="CP451" s="2"/>
      <c r="CQ451" s="2"/>
      <c r="CR451" s="2"/>
      <c r="CS451" s="2"/>
      <c r="CT451" s="2"/>
      <c r="CU451" s="2"/>
      <c r="CV451" s="2"/>
      <c r="CW451" s="2"/>
      <c r="CX451" s="2"/>
      <c r="CY451" s="2"/>
      <c r="CZ451" s="2"/>
      <c r="DA451" s="2"/>
      <c r="DB451" s="2"/>
      <c r="DC451" s="2"/>
      <c r="DD451" s="2"/>
      <c r="DE451" s="2"/>
      <c r="DF451" s="2"/>
      <c r="DG451" s="2"/>
      <c r="DH451" s="2"/>
      <c r="DI451" s="2"/>
      <c r="DJ451" s="2"/>
      <c r="DK451" s="2"/>
      <c r="DL451" s="2"/>
      <c r="DM451" s="2"/>
      <c r="DN451" s="2"/>
      <c r="DO451" s="2"/>
      <c r="DP451" s="2"/>
      <c r="DQ451" s="2"/>
      <c r="DR451" s="2"/>
      <c r="DS451" s="2"/>
      <c r="DT451" s="2"/>
      <c r="DU451" s="2"/>
      <c r="DV451" s="2"/>
      <c r="DW451" s="2"/>
      <c r="DX451" s="2"/>
      <c r="DY451" s="2"/>
      <c r="DZ451" s="2"/>
      <c r="EA451" s="2"/>
      <c r="EB451" s="2"/>
      <c r="EC451" s="2"/>
      <c r="ED451" s="2"/>
      <c r="EE451" s="2"/>
      <c r="EF451" s="2"/>
      <c r="EG451" s="2"/>
      <c r="EH451" s="2"/>
      <c r="EI451" s="2"/>
      <c r="EJ451" s="2"/>
      <c r="EK451" s="2"/>
      <c r="EL451" s="2"/>
      <c r="EM451" s="2"/>
      <c r="EN451" s="2"/>
      <c r="EO451" s="2"/>
      <c r="EP451" s="2"/>
      <c r="EQ451" s="2"/>
      <c r="ER451" s="2"/>
      <c r="ES451" s="2"/>
      <c r="ET451" s="2"/>
      <c r="EU451" s="2"/>
      <c r="EV451" s="2"/>
      <c r="EW451" s="2"/>
      <c r="EX451" s="2"/>
      <c r="EY451" s="2"/>
      <c r="EZ451" s="2"/>
      <c r="FA451" s="2"/>
      <c r="FB451" s="2"/>
      <c r="FC451" s="2"/>
      <c r="FD451" s="2"/>
      <c r="FE451" s="2"/>
      <c r="FF451" s="2"/>
      <c r="FG451" s="2"/>
      <c r="FH451" s="2"/>
      <c r="FI451" s="2"/>
      <c r="FJ451" s="2"/>
      <c r="FK451" s="2"/>
      <c r="FL451" s="2"/>
      <c r="FM451" s="2"/>
      <c r="FN451" s="2"/>
      <c r="FO451" s="2"/>
      <c r="FP451" s="2"/>
      <c r="FQ451" s="2"/>
      <c r="FR451" s="2"/>
      <c r="FS451" s="2"/>
      <c r="FT451" s="2"/>
      <c r="FU451" s="2"/>
      <c r="FV451" s="2"/>
      <c r="FW451" s="2"/>
      <c r="FX451" s="2"/>
      <c r="FY451" s="2"/>
      <c r="FZ451" s="2"/>
      <c r="GA451" s="2"/>
      <c r="GB451" s="2"/>
      <c r="GC451" s="2"/>
      <c r="GD451" s="2"/>
      <c r="GE451" s="2"/>
      <c r="GF451" s="2"/>
      <c r="GG451" s="2"/>
      <c r="GH451" s="2"/>
      <c r="GI451" s="2"/>
      <c r="GJ451" s="2"/>
      <c r="GK451" s="2"/>
      <c r="GL451" s="2"/>
      <c r="GM451" s="2"/>
      <c r="GN451" s="2"/>
      <c r="GO451" s="2"/>
      <c r="GP451" s="2"/>
      <c r="GQ451" s="2"/>
      <c r="GR451" s="2"/>
      <c r="GS451" s="2"/>
      <c r="GT451" s="2"/>
      <c r="GU451" s="2"/>
      <c r="GV451" s="2"/>
      <c r="GW451" s="2"/>
      <c r="GX451" s="2"/>
      <c r="GY451" s="2"/>
      <c r="GZ451" s="2"/>
      <c r="HA451" s="2"/>
      <c r="HB451" s="2"/>
      <c r="HC451" s="2"/>
      <c r="HD451" s="2"/>
      <c r="HE451" s="2"/>
      <c r="HF451" s="2"/>
      <c r="HG451" s="2"/>
      <c r="HH451" s="2"/>
      <c r="HI451" s="2"/>
      <c r="HJ451" s="2"/>
      <c r="HK451" s="2"/>
      <c r="HL451" s="2"/>
      <c r="HM451" s="2"/>
      <c r="HN451" s="2"/>
      <c r="HO451" s="2"/>
      <c r="HP451" s="2"/>
      <c r="HQ451" s="2"/>
      <c r="HR451" s="2"/>
      <c r="HS451" s="2"/>
      <c r="HT451" s="2"/>
      <c r="HU451" s="2"/>
      <c r="HV451" s="2"/>
      <c r="HW451" s="2"/>
      <c r="HX451" s="2"/>
      <c r="HY451" s="2"/>
      <c r="HZ451" s="2"/>
      <c r="IA451" s="2"/>
      <c r="IB451" s="2"/>
      <c r="IC451" s="2"/>
    </row>
    <row r="452" spans="1:237" x14ac:dyDescent="0.2">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c r="AA452" s="2"/>
      <c r="AB452" s="2"/>
      <c r="AC452" s="2"/>
      <c r="AD452" s="2"/>
      <c r="AE452" s="2"/>
      <c r="AF452" s="2"/>
      <c r="AG452" s="2"/>
      <c r="AH452" s="2"/>
      <c r="AI452" s="2"/>
      <c r="AJ452" s="2"/>
      <c r="AK452" s="2"/>
      <c r="AL452" s="2"/>
      <c r="AM452" s="2"/>
      <c r="AN452" s="2"/>
      <c r="AO452" s="2"/>
      <c r="AP452" s="2"/>
      <c r="AQ452" s="2"/>
      <c r="AR452" s="2"/>
      <c r="AS452" s="2"/>
      <c r="AT452" s="2"/>
      <c r="AU452" s="2"/>
      <c r="AV452" s="2"/>
      <c r="AW452" s="2"/>
      <c r="AX452" s="2"/>
      <c r="AY452" s="2"/>
      <c r="AZ452" s="2"/>
      <c r="BA452" s="2"/>
      <c r="BB452" s="2"/>
      <c r="BC452" s="2"/>
      <c r="BD452" s="2"/>
      <c r="BE452" s="2"/>
      <c r="BF452" s="2"/>
      <c r="BG452" s="2"/>
      <c r="BH452" s="2"/>
      <c r="BI452" s="2"/>
      <c r="BJ452" s="2"/>
      <c r="BK452" s="2"/>
      <c r="BL452" s="2"/>
      <c r="BM452" s="2"/>
      <c r="BN452" s="2"/>
      <c r="BO452" s="2"/>
      <c r="BP452" s="2"/>
      <c r="BQ452" s="2"/>
      <c r="BR452" s="2"/>
      <c r="BS452" s="2"/>
      <c r="BT452" s="2"/>
      <c r="BU452" s="2"/>
      <c r="BV452" s="2"/>
      <c r="BW452" s="2"/>
      <c r="BX452" s="2"/>
      <c r="BY452" s="2"/>
      <c r="BZ452" s="2"/>
      <c r="CA452" s="2"/>
      <c r="CB452" s="2"/>
      <c r="CC452" s="2"/>
      <c r="CD452" s="2"/>
      <c r="CE452" s="2"/>
      <c r="CF452" s="2"/>
      <c r="CG452" s="2"/>
      <c r="CH452" s="2"/>
      <c r="CI452" s="2"/>
      <c r="CJ452" s="2"/>
      <c r="CK452" s="2"/>
      <c r="CL452" s="2"/>
      <c r="CM452" s="2"/>
      <c r="CN452" s="2"/>
      <c r="CO452" s="2"/>
      <c r="CP452" s="2"/>
      <c r="CQ452" s="2"/>
      <c r="CR452" s="2"/>
      <c r="CS452" s="2"/>
      <c r="CT452" s="2"/>
      <c r="CU452" s="2"/>
      <c r="CV452" s="2"/>
      <c r="CW452" s="2"/>
      <c r="CX452" s="2"/>
      <c r="CY452" s="2"/>
      <c r="CZ452" s="2"/>
      <c r="DA452" s="2"/>
      <c r="DB452" s="2"/>
      <c r="DC452" s="2"/>
      <c r="DD452" s="2"/>
      <c r="DE452" s="2"/>
      <c r="DF452" s="2"/>
      <c r="DG452" s="2"/>
      <c r="DH452" s="2"/>
      <c r="DI452" s="2"/>
      <c r="DJ452" s="2"/>
      <c r="DK452" s="2"/>
      <c r="DL452" s="2"/>
      <c r="DM452" s="2"/>
      <c r="DN452" s="2"/>
      <c r="DO452" s="2"/>
      <c r="DP452" s="2"/>
      <c r="DQ452" s="2"/>
      <c r="DR452" s="2"/>
      <c r="DS452" s="2"/>
      <c r="DT452" s="2"/>
      <c r="DU452" s="2"/>
      <c r="DV452" s="2"/>
      <c r="DW452" s="2"/>
      <c r="DX452" s="2"/>
      <c r="DY452" s="2"/>
      <c r="DZ452" s="2"/>
      <c r="EA452" s="2"/>
      <c r="EB452" s="2"/>
      <c r="EC452" s="2"/>
      <c r="ED452" s="2"/>
      <c r="EE452" s="2"/>
      <c r="EF452" s="2"/>
      <c r="EG452" s="2"/>
      <c r="EH452" s="2"/>
      <c r="EI452" s="2"/>
      <c r="EJ452" s="2"/>
      <c r="EK452" s="2"/>
      <c r="EL452" s="2"/>
      <c r="EM452" s="2"/>
      <c r="EN452" s="2"/>
      <c r="EO452" s="2"/>
      <c r="EP452" s="2"/>
      <c r="EQ452" s="2"/>
      <c r="ER452" s="2"/>
      <c r="ES452" s="2"/>
      <c r="ET452" s="2"/>
      <c r="EU452" s="2"/>
      <c r="EV452" s="2"/>
      <c r="EW452" s="2"/>
      <c r="EX452" s="2"/>
      <c r="EY452" s="2"/>
      <c r="EZ452" s="2"/>
      <c r="FA452" s="2"/>
      <c r="FB452" s="2"/>
      <c r="FC452" s="2"/>
      <c r="FD452" s="2"/>
      <c r="FE452" s="2"/>
      <c r="FF452" s="2"/>
      <c r="FG452" s="2"/>
      <c r="FH452" s="2"/>
      <c r="FI452" s="2"/>
      <c r="FJ452" s="2"/>
      <c r="FK452" s="2"/>
      <c r="FL452" s="2"/>
      <c r="FM452" s="2"/>
      <c r="FN452" s="2"/>
      <c r="FO452" s="2"/>
      <c r="FP452" s="2"/>
      <c r="FQ452" s="2"/>
      <c r="FR452" s="2"/>
      <c r="FS452" s="2"/>
      <c r="FT452" s="2"/>
      <c r="FU452" s="2"/>
      <c r="FV452" s="2"/>
      <c r="FW452" s="2"/>
      <c r="FX452" s="2"/>
      <c r="FY452" s="2"/>
      <c r="FZ452" s="2"/>
      <c r="GA452" s="2"/>
      <c r="GB452" s="2"/>
      <c r="GC452" s="2"/>
      <c r="GD452" s="2"/>
      <c r="GE452" s="2"/>
      <c r="GF452" s="2"/>
      <c r="GG452" s="2"/>
      <c r="GH452" s="2"/>
      <c r="GI452" s="2"/>
      <c r="GJ452" s="2"/>
      <c r="GK452" s="2"/>
      <c r="GL452" s="2"/>
      <c r="GM452" s="2"/>
      <c r="GN452" s="2"/>
      <c r="GO452" s="2"/>
      <c r="GP452" s="2"/>
      <c r="GQ452" s="2"/>
      <c r="GR452" s="2"/>
      <c r="GS452" s="2"/>
      <c r="GT452" s="2"/>
      <c r="GU452" s="2"/>
      <c r="GV452" s="2"/>
      <c r="GW452" s="2"/>
      <c r="GX452" s="2"/>
      <c r="GY452" s="2"/>
      <c r="GZ452" s="2"/>
      <c r="HA452" s="2"/>
      <c r="HB452" s="2"/>
      <c r="HC452" s="2"/>
      <c r="HD452" s="2"/>
      <c r="HE452" s="2"/>
      <c r="HF452" s="2"/>
      <c r="HG452" s="2"/>
      <c r="HH452" s="2"/>
      <c r="HI452" s="2"/>
      <c r="HJ452" s="2"/>
      <c r="HK452" s="2"/>
      <c r="HL452" s="2"/>
      <c r="HM452" s="2"/>
      <c r="HN452" s="2"/>
      <c r="HO452" s="2"/>
      <c r="HP452" s="2"/>
      <c r="HQ452" s="2"/>
      <c r="HR452" s="2"/>
      <c r="HS452" s="2"/>
      <c r="HT452" s="2"/>
      <c r="HU452" s="2"/>
      <c r="HV452" s="2"/>
      <c r="HW452" s="2"/>
      <c r="HX452" s="2"/>
      <c r="HY452" s="2"/>
      <c r="HZ452" s="2"/>
      <c r="IA452" s="2"/>
      <c r="IB452" s="2"/>
      <c r="IC452" s="2"/>
    </row>
    <row r="453" spans="1:237" x14ac:dyDescent="0.2">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c r="AA453" s="2"/>
      <c r="AB453" s="2"/>
      <c r="AC453" s="2"/>
      <c r="AD453" s="2"/>
      <c r="AE453" s="2"/>
      <c r="AF453" s="2"/>
      <c r="AG453" s="2"/>
      <c r="AH453" s="2"/>
      <c r="AI453" s="2"/>
      <c r="AJ453" s="2"/>
      <c r="AK453" s="2"/>
      <c r="AL453" s="2"/>
      <c r="AM453" s="2"/>
      <c r="AN453" s="2"/>
      <c r="AO453" s="2"/>
      <c r="AP453" s="2"/>
      <c r="AQ453" s="2"/>
      <c r="AR453" s="2"/>
      <c r="AS453" s="2"/>
      <c r="AT453" s="2"/>
      <c r="AU453" s="2"/>
      <c r="AV453" s="2"/>
      <c r="AW453" s="2"/>
      <c r="AX453" s="2"/>
      <c r="AY453" s="2"/>
      <c r="AZ453" s="2"/>
      <c r="BA453" s="2"/>
      <c r="BB453" s="2"/>
      <c r="BC453" s="2"/>
      <c r="BD453" s="2"/>
      <c r="BE453" s="2"/>
      <c r="BF453" s="2"/>
      <c r="BG453" s="2"/>
      <c r="BH453" s="2"/>
      <c r="BI453" s="2"/>
      <c r="BJ453" s="2"/>
      <c r="BK453" s="2"/>
      <c r="BL453" s="2"/>
      <c r="BM453" s="2"/>
      <c r="BN453" s="2"/>
      <c r="BO453" s="2"/>
      <c r="BP453" s="2"/>
      <c r="BQ453" s="2"/>
      <c r="BR453" s="2"/>
      <c r="BS453" s="2"/>
      <c r="BT453" s="2"/>
      <c r="BU453" s="2"/>
      <c r="BV453" s="2"/>
      <c r="BW453" s="2"/>
      <c r="BX453" s="2"/>
      <c r="BY453" s="2"/>
      <c r="BZ453" s="2"/>
      <c r="CA453" s="2"/>
      <c r="CB453" s="2"/>
      <c r="CC453" s="2"/>
      <c r="CD453" s="2"/>
      <c r="CE453" s="2"/>
      <c r="CF453" s="2"/>
      <c r="CG453" s="2"/>
      <c r="CH453" s="2"/>
      <c r="CI453" s="2"/>
      <c r="CJ453" s="2"/>
      <c r="CK453" s="2"/>
      <c r="CL453" s="2"/>
      <c r="CM453" s="2"/>
      <c r="CN453" s="2"/>
      <c r="CO453" s="2"/>
      <c r="CP453" s="2"/>
      <c r="CQ453" s="2"/>
      <c r="CR453" s="2"/>
      <c r="CS453" s="2"/>
      <c r="CT453" s="2"/>
      <c r="CU453" s="2"/>
      <c r="CV453" s="2"/>
      <c r="CW453" s="2"/>
      <c r="CX453" s="2"/>
      <c r="CY453" s="2"/>
      <c r="CZ453" s="2"/>
      <c r="DA453" s="2"/>
      <c r="DB453" s="2"/>
      <c r="DC453" s="2"/>
      <c r="DD453" s="2"/>
      <c r="DE453" s="2"/>
      <c r="DF453" s="2"/>
      <c r="DG453" s="2"/>
      <c r="DH453" s="2"/>
      <c r="DI453" s="2"/>
      <c r="DJ453" s="2"/>
      <c r="DK453" s="2"/>
      <c r="DL453" s="2"/>
      <c r="DM453" s="2"/>
      <c r="DN453" s="2"/>
      <c r="DO453" s="2"/>
      <c r="DP453" s="2"/>
      <c r="DQ453" s="2"/>
      <c r="DR453" s="2"/>
      <c r="DS453" s="2"/>
      <c r="DT453" s="2"/>
      <c r="DU453" s="2"/>
      <c r="DV453" s="2"/>
      <c r="DW453" s="2"/>
      <c r="DX453" s="2"/>
      <c r="DY453" s="2"/>
      <c r="DZ453" s="2"/>
      <c r="EA453" s="2"/>
      <c r="EB453" s="2"/>
      <c r="EC453" s="2"/>
      <c r="ED453" s="2"/>
      <c r="EE453" s="2"/>
      <c r="EF453" s="2"/>
      <c r="EG453" s="2"/>
      <c r="EH453" s="2"/>
      <c r="EI453" s="2"/>
      <c r="EJ453" s="2"/>
      <c r="EK453" s="2"/>
      <c r="EL453" s="2"/>
      <c r="EM453" s="2"/>
      <c r="EN453" s="2"/>
      <c r="EO453" s="2"/>
      <c r="EP453" s="2"/>
      <c r="EQ453" s="2"/>
      <c r="ER453" s="2"/>
      <c r="ES453" s="2"/>
      <c r="ET453" s="2"/>
      <c r="EU453" s="2"/>
      <c r="EV453" s="2"/>
      <c r="EW453" s="2"/>
      <c r="EX453" s="2"/>
      <c r="EY453" s="2"/>
      <c r="EZ453" s="2"/>
      <c r="FA453" s="2"/>
      <c r="FB453" s="2"/>
      <c r="FC453" s="2"/>
      <c r="FD453" s="2"/>
      <c r="FE453" s="2"/>
      <c r="FF453" s="2"/>
      <c r="FG453" s="2"/>
      <c r="FH453" s="2"/>
      <c r="FI453" s="2"/>
      <c r="FJ453" s="2"/>
      <c r="FK453" s="2"/>
      <c r="FL453" s="2"/>
      <c r="FM453" s="2"/>
      <c r="FN453" s="2"/>
      <c r="FO453" s="2"/>
      <c r="FP453" s="2"/>
      <c r="FQ453" s="2"/>
      <c r="FR453" s="2"/>
      <c r="FS453" s="2"/>
      <c r="FT453" s="2"/>
      <c r="FU453" s="2"/>
      <c r="FV453" s="2"/>
      <c r="FW453" s="2"/>
      <c r="FX453" s="2"/>
      <c r="FY453" s="2"/>
      <c r="FZ453" s="2"/>
      <c r="GA453" s="2"/>
      <c r="GB453" s="2"/>
      <c r="GC453" s="2"/>
      <c r="GD453" s="2"/>
      <c r="GE453" s="2"/>
      <c r="GF453" s="2"/>
      <c r="GG453" s="2"/>
      <c r="GH453" s="2"/>
      <c r="GI453" s="2"/>
      <c r="GJ453" s="2"/>
      <c r="GK453" s="2"/>
      <c r="GL453" s="2"/>
      <c r="GM453" s="2"/>
      <c r="GN453" s="2"/>
      <c r="GO453" s="2"/>
      <c r="GP453" s="2"/>
      <c r="GQ453" s="2"/>
      <c r="GR453" s="2"/>
      <c r="GS453" s="2"/>
      <c r="GT453" s="2"/>
      <c r="GU453" s="2"/>
      <c r="GV453" s="2"/>
      <c r="GW453" s="2"/>
      <c r="GX453" s="2"/>
      <c r="GY453" s="2"/>
      <c r="GZ453" s="2"/>
      <c r="HA453" s="2"/>
      <c r="HB453" s="2"/>
      <c r="HC453" s="2"/>
      <c r="HD453" s="2"/>
      <c r="HE453" s="2"/>
      <c r="HF453" s="2"/>
      <c r="HG453" s="2"/>
      <c r="HH453" s="2"/>
      <c r="HI453" s="2"/>
      <c r="HJ453" s="2"/>
      <c r="HK453" s="2"/>
      <c r="HL453" s="2"/>
      <c r="HM453" s="2"/>
      <c r="HN453" s="2"/>
      <c r="HO453" s="2"/>
      <c r="HP453" s="2"/>
      <c r="HQ453" s="2"/>
      <c r="HR453" s="2"/>
      <c r="HS453" s="2"/>
      <c r="HT453" s="2"/>
      <c r="HU453" s="2"/>
      <c r="HV453" s="2"/>
      <c r="HW453" s="2"/>
      <c r="HX453" s="2"/>
      <c r="HY453" s="2"/>
      <c r="HZ453" s="2"/>
      <c r="IA453" s="2"/>
      <c r="IB453" s="2"/>
      <c r="IC453" s="2"/>
    </row>
    <row r="454" spans="1:237" x14ac:dyDescent="0.2">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c r="AA454" s="2"/>
      <c r="AB454" s="2"/>
      <c r="AC454" s="2"/>
      <c r="AD454" s="2"/>
      <c r="AE454" s="2"/>
      <c r="AF454" s="2"/>
      <c r="AG454" s="2"/>
      <c r="AH454" s="2"/>
      <c r="AI454" s="2"/>
      <c r="AJ454" s="2"/>
      <c r="AK454" s="2"/>
      <c r="AL454" s="2"/>
      <c r="AM454" s="2"/>
      <c r="AN454" s="2"/>
      <c r="AO454" s="2"/>
      <c r="AP454" s="2"/>
      <c r="AQ454" s="2"/>
      <c r="AR454" s="2"/>
      <c r="AS454" s="2"/>
      <c r="AT454" s="2"/>
      <c r="AU454" s="2"/>
      <c r="AV454" s="2"/>
      <c r="AW454" s="2"/>
      <c r="AX454" s="2"/>
      <c r="AY454" s="2"/>
      <c r="AZ454" s="2"/>
      <c r="BA454" s="2"/>
      <c r="BB454" s="2"/>
      <c r="BC454" s="2"/>
      <c r="BD454" s="2"/>
      <c r="BE454" s="2"/>
      <c r="BF454" s="2"/>
      <c r="BG454" s="2"/>
      <c r="BH454" s="2"/>
      <c r="BI454" s="2"/>
      <c r="BJ454" s="2"/>
      <c r="BK454" s="2"/>
      <c r="BL454" s="2"/>
      <c r="BM454" s="2"/>
      <c r="BN454" s="2"/>
      <c r="BO454" s="2"/>
      <c r="BP454" s="2"/>
      <c r="BQ454" s="2"/>
      <c r="BR454" s="2"/>
      <c r="BS454" s="2"/>
      <c r="BT454" s="2"/>
      <c r="BU454" s="2"/>
      <c r="BV454" s="2"/>
      <c r="BW454" s="2"/>
      <c r="BX454" s="2"/>
      <c r="BY454" s="2"/>
      <c r="BZ454" s="2"/>
      <c r="CA454" s="2"/>
      <c r="CB454" s="2"/>
      <c r="CC454" s="2"/>
      <c r="CD454" s="2"/>
      <c r="CE454" s="2"/>
      <c r="CF454" s="2"/>
      <c r="CG454" s="2"/>
      <c r="CH454" s="2"/>
      <c r="CI454" s="2"/>
      <c r="CJ454" s="2"/>
      <c r="CK454" s="2"/>
      <c r="CL454" s="2"/>
      <c r="CM454" s="2"/>
      <c r="CN454" s="2"/>
      <c r="CO454" s="2"/>
      <c r="CP454" s="2"/>
      <c r="CQ454" s="2"/>
      <c r="CR454" s="2"/>
      <c r="CS454" s="2"/>
      <c r="CT454" s="2"/>
      <c r="CU454" s="2"/>
      <c r="CV454" s="2"/>
      <c r="CW454" s="2"/>
      <c r="CX454" s="2"/>
      <c r="CY454" s="2"/>
      <c r="CZ454" s="2"/>
      <c r="DA454" s="2"/>
      <c r="DB454" s="2"/>
      <c r="DC454" s="2"/>
      <c r="DD454" s="2"/>
      <c r="DE454" s="2"/>
      <c r="DF454" s="2"/>
      <c r="DG454" s="2"/>
      <c r="DH454" s="2"/>
      <c r="DI454" s="2"/>
      <c r="DJ454" s="2"/>
      <c r="DK454" s="2"/>
      <c r="DL454" s="2"/>
      <c r="DM454" s="2"/>
      <c r="DN454" s="2"/>
      <c r="DO454" s="2"/>
      <c r="DP454" s="2"/>
      <c r="DQ454" s="2"/>
      <c r="DR454" s="2"/>
      <c r="DS454" s="2"/>
      <c r="DT454" s="2"/>
      <c r="DU454" s="2"/>
      <c r="DV454" s="2"/>
      <c r="DW454" s="2"/>
      <c r="DX454" s="2"/>
      <c r="DY454" s="2"/>
      <c r="DZ454" s="2"/>
      <c r="EA454" s="2"/>
      <c r="EB454" s="2"/>
      <c r="EC454" s="2"/>
      <c r="ED454" s="2"/>
      <c r="EE454" s="2"/>
      <c r="EF454" s="2"/>
      <c r="EG454" s="2"/>
      <c r="EH454" s="2"/>
      <c r="EI454" s="2"/>
      <c r="EJ454" s="2"/>
      <c r="EK454" s="2"/>
      <c r="EL454" s="2"/>
      <c r="EM454" s="2"/>
      <c r="EN454" s="2"/>
      <c r="EO454" s="2"/>
      <c r="EP454" s="2"/>
      <c r="EQ454" s="2"/>
      <c r="ER454" s="2"/>
      <c r="ES454" s="2"/>
      <c r="ET454" s="2"/>
      <c r="EU454" s="2"/>
      <c r="EV454" s="2"/>
      <c r="EW454" s="2"/>
      <c r="EX454" s="2"/>
      <c r="EY454" s="2"/>
      <c r="EZ454" s="2"/>
      <c r="FA454" s="2"/>
      <c r="FB454" s="2"/>
      <c r="FC454" s="2"/>
      <c r="FD454" s="2"/>
      <c r="FE454" s="2"/>
      <c r="FF454" s="2"/>
      <c r="FG454" s="2"/>
      <c r="FH454" s="2"/>
      <c r="FI454" s="2"/>
      <c r="FJ454" s="2"/>
      <c r="FK454" s="2"/>
      <c r="FL454" s="2"/>
      <c r="FM454" s="2"/>
      <c r="FN454" s="2"/>
      <c r="FO454" s="2"/>
      <c r="FP454" s="2"/>
      <c r="FQ454" s="2"/>
      <c r="FR454" s="2"/>
      <c r="FS454" s="2"/>
      <c r="FT454" s="2"/>
      <c r="FU454" s="2"/>
      <c r="FV454" s="2"/>
      <c r="FW454" s="2"/>
      <c r="FX454" s="2"/>
      <c r="FY454" s="2"/>
      <c r="FZ454" s="2"/>
      <c r="GA454" s="2"/>
      <c r="GB454" s="2"/>
      <c r="GC454" s="2"/>
      <c r="GD454" s="2"/>
      <c r="GE454" s="2"/>
      <c r="GF454" s="2"/>
      <c r="GG454" s="2"/>
      <c r="GH454" s="2"/>
      <c r="GI454" s="2"/>
      <c r="GJ454" s="2"/>
      <c r="GK454" s="2"/>
      <c r="GL454" s="2"/>
      <c r="GM454" s="2"/>
      <c r="GN454" s="2"/>
      <c r="GO454" s="2"/>
      <c r="GP454" s="2"/>
      <c r="GQ454" s="2"/>
      <c r="GR454" s="2"/>
      <c r="GS454" s="2"/>
      <c r="GT454" s="2"/>
      <c r="GU454" s="2"/>
      <c r="GV454" s="2"/>
      <c r="GW454" s="2"/>
      <c r="GX454" s="2"/>
      <c r="GY454" s="2"/>
      <c r="GZ454" s="2"/>
      <c r="HA454" s="2"/>
      <c r="HB454" s="2"/>
      <c r="HC454" s="2"/>
      <c r="HD454" s="2"/>
      <c r="HE454" s="2"/>
      <c r="HF454" s="2"/>
      <c r="HG454" s="2"/>
      <c r="HH454" s="2"/>
      <c r="HI454" s="2"/>
      <c r="HJ454" s="2"/>
      <c r="HK454" s="2"/>
      <c r="HL454" s="2"/>
      <c r="HM454" s="2"/>
      <c r="HN454" s="2"/>
      <c r="HO454" s="2"/>
      <c r="HP454" s="2"/>
      <c r="HQ454" s="2"/>
      <c r="HR454" s="2"/>
      <c r="HS454" s="2"/>
      <c r="HT454" s="2"/>
      <c r="HU454" s="2"/>
      <c r="HV454" s="2"/>
      <c r="HW454" s="2"/>
      <c r="HX454" s="2"/>
      <c r="HY454" s="2"/>
      <c r="HZ454" s="2"/>
      <c r="IA454" s="2"/>
      <c r="IB454" s="2"/>
      <c r="IC454" s="2"/>
    </row>
    <row r="455" spans="1:237" x14ac:dyDescent="0.2">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c r="AA455" s="2"/>
      <c r="AB455" s="2"/>
      <c r="AC455" s="2"/>
      <c r="AD455" s="2"/>
      <c r="AE455" s="2"/>
      <c r="AF455" s="2"/>
      <c r="AG455" s="2"/>
      <c r="AH455" s="2"/>
      <c r="AI455" s="2"/>
      <c r="AJ455" s="2"/>
      <c r="AK455" s="2"/>
      <c r="AL455" s="2"/>
      <c r="AM455" s="2"/>
      <c r="AN455" s="2"/>
      <c r="AO455" s="2"/>
      <c r="AP455" s="2"/>
      <c r="AQ455" s="2"/>
      <c r="AR455" s="2"/>
      <c r="AS455" s="2"/>
      <c r="AT455" s="2"/>
      <c r="AU455" s="2"/>
      <c r="AV455" s="2"/>
      <c r="AW455" s="2"/>
      <c r="AX455" s="2"/>
      <c r="AY455" s="2"/>
      <c r="AZ455" s="2"/>
      <c r="BA455" s="2"/>
      <c r="BB455" s="2"/>
      <c r="BC455" s="2"/>
      <c r="BD455" s="2"/>
      <c r="BE455" s="2"/>
      <c r="BF455" s="2"/>
      <c r="BG455" s="2"/>
      <c r="BH455" s="2"/>
      <c r="BI455" s="2"/>
      <c r="BJ455" s="2"/>
      <c r="BK455" s="2"/>
      <c r="BL455" s="2"/>
      <c r="BM455" s="2"/>
      <c r="BN455" s="2"/>
      <c r="BO455" s="2"/>
      <c r="BP455" s="2"/>
      <c r="BQ455" s="2"/>
      <c r="BR455" s="2"/>
      <c r="BS455" s="2"/>
      <c r="BT455" s="2"/>
      <c r="BU455" s="2"/>
      <c r="BV455" s="2"/>
      <c r="BW455" s="2"/>
      <c r="BX455" s="2"/>
      <c r="BY455" s="2"/>
      <c r="BZ455" s="2"/>
      <c r="CA455" s="2"/>
      <c r="CB455" s="2"/>
      <c r="CC455" s="2"/>
      <c r="CD455" s="2"/>
      <c r="CE455" s="2"/>
      <c r="CF455" s="2"/>
      <c r="CG455" s="2"/>
      <c r="CH455" s="2"/>
      <c r="CI455" s="2"/>
      <c r="CJ455" s="2"/>
      <c r="CK455" s="2"/>
      <c r="CL455" s="2"/>
      <c r="CM455" s="2"/>
      <c r="CN455" s="2"/>
      <c r="CO455" s="2"/>
      <c r="CP455" s="2"/>
      <c r="CQ455" s="2"/>
      <c r="CR455" s="2"/>
      <c r="CS455" s="2"/>
      <c r="CT455" s="2"/>
      <c r="CU455" s="2"/>
      <c r="CV455" s="2"/>
      <c r="CW455" s="2"/>
      <c r="CX455" s="2"/>
      <c r="CY455" s="2"/>
      <c r="CZ455" s="2"/>
      <c r="DA455" s="2"/>
      <c r="DB455" s="2"/>
      <c r="DC455" s="2"/>
      <c r="DD455" s="2"/>
      <c r="DE455" s="2"/>
      <c r="DF455" s="2"/>
      <c r="DG455" s="2"/>
      <c r="DH455" s="2"/>
      <c r="DI455" s="2"/>
      <c r="DJ455" s="2"/>
      <c r="DK455" s="2"/>
      <c r="DL455" s="2"/>
      <c r="DM455" s="2"/>
      <c r="DN455" s="2"/>
      <c r="DO455" s="2"/>
      <c r="DP455" s="2"/>
      <c r="DQ455" s="2"/>
      <c r="DR455" s="2"/>
      <c r="DS455" s="2"/>
      <c r="DT455" s="2"/>
      <c r="DU455" s="2"/>
      <c r="DV455" s="2"/>
      <c r="DW455" s="2"/>
      <c r="DX455" s="2"/>
      <c r="DY455" s="2"/>
      <c r="DZ455" s="2"/>
      <c r="EA455" s="2"/>
      <c r="EB455" s="2"/>
      <c r="EC455" s="2"/>
      <c r="ED455" s="2"/>
      <c r="EE455" s="2"/>
      <c r="EF455" s="2"/>
      <c r="EG455" s="2"/>
      <c r="EH455" s="2"/>
      <c r="EI455" s="2"/>
      <c r="EJ455" s="2"/>
      <c r="EK455" s="2"/>
      <c r="EL455" s="2"/>
      <c r="EM455" s="2"/>
      <c r="EN455" s="2"/>
      <c r="EO455" s="2"/>
      <c r="EP455" s="2"/>
      <c r="EQ455" s="2"/>
      <c r="ER455" s="2"/>
      <c r="ES455" s="2"/>
      <c r="ET455" s="2"/>
      <c r="EU455" s="2"/>
      <c r="EV455" s="2"/>
      <c r="EW455" s="2"/>
      <c r="EX455" s="2"/>
      <c r="EY455" s="2"/>
      <c r="EZ455" s="2"/>
      <c r="FA455" s="2"/>
      <c r="FB455" s="2"/>
      <c r="FC455" s="2"/>
      <c r="FD455" s="2"/>
      <c r="FE455" s="2"/>
      <c r="FF455" s="2"/>
      <c r="FG455" s="2"/>
      <c r="FH455" s="2"/>
      <c r="FI455" s="2"/>
      <c r="FJ455" s="2"/>
      <c r="FK455" s="2"/>
      <c r="FL455" s="2"/>
      <c r="FM455" s="2"/>
      <c r="FN455" s="2"/>
      <c r="FO455" s="2"/>
      <c r="FP455" s="2"/>
      <c r="FQ455" s="2"/>
      <c r="FR455" s="2"/>
      <c r="FS455" s="2"/>
      <c r="FT455" s="2"/>
      <c r="FU455" s="2"/>
      <c r="FV455" s="2"/>
      <c r="FW455" s="2"/>
      <c r="FX455" s="2"/>
      <c r="FY455" s="2"/>
      <c r="FZ455" s="2"/>
      <c r="GA455" s="2"/>
      <c r="GB455" s="2"/>
      <c r="GC455" s="2"/>
      <c r="GD455" s="2"/>
      <c r="GE455" s="2"/>
      <c r="GF455" s="2"/>
      <c r="GG455" s="2"/>
      <c r="GH455" s="2"/>
      <c r="GI455" s="2"/>
      <c r="GJ455" s="2"/>
      <c r="GK455" s="2"/>
      <c r="GL455" s="2"/>
      <c r="GM455" s="2"/>
      <c r="GN455" s="2"/>
      <c r="GO455" s="2"/>
      <c r="GP455" s="2"/>
      <c r="GQ455" s="2"/>
      <c r="GR455" s="2"/>
      <c r="GS455" s="2"/>
      <c r="GT455" s="2"/>
      <c r="GU455" s="2"/>
      <c r="GV455" s="2"/>
      <c r="GW455" s="2"/>
      <c r="GX455" s="2"/>
      <c r="GY455" s="2"/>
      <c r="GZ455" s="2"/>
      <c r="HA455" s="2"/>
      <c r="HB455" s="2"/>
      <c r="HC455" s="2"/>
      <c r="HD455" s="2"/>
      <c r="HE455" s="2"/>
      <c r="HF455" s="2"/>
      <c r="HG455" s="2"/>
      <c r="HH455" s="2"/>
      <c r="HI455" s="2"/>
      <c r="HJ455" s="2"/>
      <c r="HK455" s="2"/>
      <c r="HL455" s="2"/>
      <c r="HM455" s="2"/>
      <c r="HN455" s="2"/>
      <c r="HO455" s="2"/>
      <c r="HP455" s="2"/>
      <c r="HQ455" s="2"/>
      <c r="HR455" s="2"/>
      <c r="HS455" s="2"/>
      <c r="HT455" s="2"/>
      <c r="HU455" s="2"/>
      <c r="HV455" s="2"/>
      <c r="HW455" s="2"/>
      <c r="HX455" s="2"/>
      <c r="HY455" s="2"/>
      <c r="HZ455" s="2"/>
      <c r="IA455" s="2"/>
      <c r="IB455" s="2"/>
      <c r="IC455" s="2"/>
    </row>
    <row r="456" spans="1:237" x14ac:dyDescent="0.2">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c r="AA456" s="2"/>
      <c r="AB456" s="2"/>
      <c r="AC456" s="2"/>
      <c r="AD456" s="2"/>
      <c r="AE456" s="2"/>
      <c r="AF456" s="2"/>
      <c r="AG456" s="2"/>
      <c r="AH456" s="2"/>
      <c r="AI456" s="2"/>
      <c r="AJ456" s="2"/>
      <c r="AK456" s="2"/>
      <c r="AL456" s="2"/>
      <c r="AM456" s="2"/>
      <c r="AN456" s="2"/>
      <c r="AO456" s="2"/>
      <c r="AP456" s="2"/>
      <c r="AQ456" s="2"/>
      <c r="AR456" s="2"/>
      <c r="AS456" s="2"/>
      <c r="AT456" s="2"/>
      <c r="AU456" s="2"/>
      <c r="AV456" s="2"/>
      <c r="AW456" s="2"/>
      <c r="AX456" s="2"/>
      <c r="AY456" s="2"/>
      <c r="AZ456" s="2"/>
      <c r="BA456" s="2"/>
      <c r="BB456" s="2"/>
      <c r="BC456" s="2"/>
      <c r="BD456" s="2"/>
      <c r="BE456" s="2"/>
      <c r="BF456" s="2"/>
      <c r="BG456" s="2"/>
      <c r="BH456" s="2"/>
      <c r="BI456" s="2"/>
      <c r="BJ456" s="2"/>
      <c r="BK456" s="2"/>
      <c r="BL456" s="2"/>
      <c r="BM456" s="2"/>
      <c r="BN456" s="2"/>
      <c r="BO456" s="2"/>
      <c r="BP456" s="2"/>
      <c r="BQ456" s="2"/>
      <c r="BR456" s="2"/>
      <c r="BS456" s="2"/>
      <c r="BT456" s="2"/>
      <c r="BU456" s="2"/>
      <c r="BV456" s="2"/>
      <c r="BW456" s="2"/>
      <c r="BX456" s="2"/>
      <c r="BY456" s="2"/>
      <c r="BZ456" s="2"/>
      <c r="CA456" s="2"/>
      <c r="CB456" s="2"/>
      <c r="CC456" s="2"/>
      <c r="CD456" s="2"/>
      <c r="CE456" s="2"/>
      <c r="CF456" s="2"/>
      <c r="CG456" s="2"/>
      <c r="CH456" s="2"/>
      <c r="CI456" s="2"/>
      <c r="CJ456" s="2"/>
      <c r="CK456" s="2"/>
      <c r="CL456" s="2"/>
      <c r="CM456" s="2"/>
      <c r="CN456" s="2"/>
      <c r="CO456" s="2"/>
      <c r="CP456" s="2"/>
      <c r="CQ456" s="2"/>
      <c r="CR456" s="2"/>
      <c r="CS456" s="2"/>
      <c r="CT456" s="2"/>
      <c r="CU456" s="2"/>
      <c r="CV456" s="2"/>
      <c r="CW456" s="2"/>
      <c r="CX456" s="2"/>
      <c r="CY456" s="2"/>
      <c r="CZ456" s="2"/>
      <c r="DA456" s="2"/>
      <c r="DB456" s="2"/>
      <c r="DC456" s="2"/>
      <c r="DD456" s="2"/>
      <c r="DE456" s="2"/>
      <c r="DF456" s="2"/>
      <c r="DG456" s="2"/>
      <c r="DH456" s="2"/>
      <c r="DI456" s="2"/>
      <c r="DJ456" s="2"/>
      <c r="DK456" s="2"/>
      <c r="DL456" s="2"/>
      <c r="DM456" s="2"/>
      <c r="DN456" s="2"/>
      <c r="DO456" s="2"/>
      <c r="DP456" s="2"/>
      <c r="DQ456" s="2"/>
      <c r="DR456" s="2"/>
      <c r="DS456" s="2"/>
      <c r="DT456" s="2"/>
      <c r="DU456" s="2"/>
      <c r="DV456" s="2"/>
      <c r="DW456" s="2"/>
      <c r="DX456" s="2"/>
      <c r="DY456" s="2"/>
      <c r="DZ456" s="2"/>
      <c r="EA456" s="2"/>
      <c r="EB456" s="2"/>
      <c r="EC456" s="2"/>
      <c r="ED456" s="2"/>
      <c r="EE456" s="2"/>
      <c r="EF456" s="2"/>
      <c r="EG456" s="2"/>
      <c r="EH456" s="2"/>
      <c r="EI456" s="2"/>
      <c r="EJ456" s="2"/>
      <c r="EK456" s="2"/>
      <c r="EL456" s="2"/>
      <c r="EM456" s="2"/>
      <c r="EN456" s="2"/>
      <c r="EO456" s="2"/>
      <c r="EP456" s="2"/>
      <c r="EQ456" s="2"/>
      <c r="ER456" s="2"/>
      <c r="ES456" s="2"/>
      <c r="ET456" s="2"/>
      <c r="EU456" s="2"/>
      <c r="EV456" s="2"/>
      <c r="EW456" s="2"/>
      <c r="EX456" s="2"/>
      <c r="EY456" s="2"/>
      <c r="EZ456" s="2"/>
      <c r="FA456" s="2"/>
      <c r="FB456" s="2"/>
      <c r="FC456" s="2"/>
      <c r="FD456" s="2"/>
      <c r="FE456" s="2"/>
      <c r="FF456" s="2"/>
      <c r="FG456" s="2"/>
      <c r="FH456" s="2"/>
      <c r="FI456" s="2"/>
      <c r="FJ456" s="2"/>
      <c r="FK456" s="2"/>
      <c r="FL456" s="2"/>
      <c r="FM456" s="2"/>
      <c r="FN456" s="2"/>
      <c r="FO456" s="2"/>
      <c r="FP456" s="2"/>
      <c r="FQ456" s="2"/>
      <c r="FR456" s="2"/>
      <c r="FS456" s="2"/>
      <c r="FT456" s="2"/>
      <c r="FU456" s="2"/>
      <c r="FV456" s="2"/>
      <c r="FW456" s="2"/>
      <c r="FX456" s="2"/>
      <c r="FY456" s="2"/>
      <c r="FZ456" s="2"/>
      <c r="GA456" s="2"/>
      <c r="GB456" s="2"/>
      <c r="GC456" s="2"/>
      <c r="GD456" s="2"/>
      <c r="GE456" s="2"/>
      <c r="GF456" s="2"/>
      <c r="GG456" s="2"/>
      <c r="GH456" s="2"/>
      <c r="GI456" s="2"/>
      <c r="GJ456" s="2"/>
      <c r="GK456" s="2"/>
      <c r="GL456" s="2"/>
      <c r="GM456" s="2"/>
      <c r="GN456" s="2"/>
      <c r="GO456" s="2"/>
      <c r="GP456" s="2"/>
      <c r="GQ456" s="2"/>
      <c r="GR456" s="2"/>
      <c r="GS456" s="2"/>
      <c r="GT456" s="2"/>
      <c r="GU456" s="2"/>
      <c r="GV456" s="2"/>
      <c r="GW456" s="2"/>
      <c r="GX456" s="2"/>
      <c r="GY456" s="2"/>
      <c r="GZ456" s="2"/>
      <c r="HA456" s="2"/>
      <c r="HB456" s="2"/>
      <c r="HC456" s="2"/>
      <c r="HD456" s="2"/>
      <c r="HE456" s="2"/>
      <c r="HF456" s="2"/>
      <c r="HG456" s="2"/>
      <c r="HH456" s="2"/>
      <c r="HI456" s="2"/>
      <c r="HJ456" s="2"/>
      <c r="HK456" s="2"/>
      <c r="HL456" s="2"/>
      <c r="HM456" s="2"/>
      <c r="HN456" s="2"/>
      <c r="HO456" s="2"/>
      <c r="HP456" s="2"/>
      <c r="HQ456" s="2"/>
      <c r="HR456" s="2"/>
      <c r="HS456" s="2"/>
      <c r="HT456" s="2"/>
      <c r="HU456" s="2"/>
      <c r="HV456" s="2"/>
      <c r="HW456" s="2"/>
      <c r="HX456" s="2"/>
      <c r="HY456" s="2"/>
      <c r="HZ456" s="2"/>
      <c r="IA456" s="2"/>
      <c r="IB456" s="2"/>
      <c r="IC456" s="2"/>
    </row>
    <row r="457" spans="1:237" x14ac:dyDescent="0.2">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c r="AA457" s="2"/>
      <c r="AB457" s="2"/>
      <c r="AC457" s="2"/>
      <c r="AD457" s="2"/>
      <c r="AE457" s="2"/>
      <c r="AF457" s="2"/>
      <c r="AG457" s="2"/>
      <c r="AH457" s="2"/>
      <c r="AI457" s="2"/>
      <c r="AJ457" s="2"/>
      <c r="AK457" s="2"/>
      <c r="AL457" s="2"/>
      <c r="AM457" s="2"/>
      <c r="AN457" s="2"/>
      <c r="AO457" s="2"/>
      <c r="AP457" s="2"/>
      <c r="AQ457" s="2"/>
      <c r="AR457" s="2"/>
      <c r="AS457" s="2"/>
      <c r="AT457" s="2"/>
      <c r="AU457" s="2"/>
      <c r="AV457" s="2"/>
      <c r="AW457" s="2"/>
      <c r="AX457" s="2"/>
      <c r="AY457" s="2"/>
      <c r="AZ457" s="2"/>
      <c r="BA457" s="2"/>
      <c r="BB457" s="2"/>
      <c r="BC457" s="2"/>
      <c r="BD457" s="2"/>
      <c r="BE457" s="2"/>
      <c r="BF457" s="2"/>
      <c r="BG457" s="2"/>
      <c r="BH457" s="2"/>
      <c r="BI457" s="2"/>
      <c r="BJ457" s="2"/>
      <c r="BK457" s="2"/>
      <c r="BL457" s="2"/>
      <c r="BM457" s="2"/>
      <c r="BN457" s="2"/>
      <c r="BO457" s="2"/>
      <c r="BP457" s="2"/>
      <c r="BQ457" s="2"/>
      <c r="BR457" s="2"/>
      <c r="BS457" s="2"/>
      <c r="BT457" s="2"/>
      <c r="BU457" s="2"/>
      <c r="BV457" s="2"/>
      <c r="BW457" s="2"/>
      <c r="BX457" s="2"/>
      <c r="BY457" s="2"/>
      <c r="BZ457" s="2"/>
      <c r="CA457" s="2"/>
      <c r="CB457" s="2"/>
      <c r="CC457" s="2"/>
      <c r="CD457" s="2"/>
      <c r="CE457" s="2"/>
      <c r="CF457" s="2"/>
      <c r="CG457" s="2"/>
      <c r="CH457" s="2"/>
      <c r="CI457" s="2"/>
      <c r="CJ457" s="2"/>
      <c r="CK457" s="2"/>
      <c r="CL457" s="2"/>
      <c r="CM457" s="2"/>
      <c r="CN457" s="2"/>
      <c r="CO457" s="2"/>
      <c r="CP457" s="2"/>
      <c r="CQ457" s="2"/>
      <c r="CR457" s="2"/>
      <c r="CS457" s="2"/>
      <c r="CT457" s="2"/>
      <c r="CU457" s="2"/>
      <c r="CV457" s="2"/>
      <c r="CW457" s="2"/>
      <c r="CX457" s="2"/>
      <c r="CY457" s="2"/>
      <c r="CZ457" s="2"/>
      <c r="DA457" s="2"/>
      <c r="DB457" s="2"/>
      <c r="DC457" s="2"/>
      <c r="DD457" s="2"/>
      <c r="DE457" s="2"/>
      <c r="DF457" s="2"/>
      <c r="DG457" s="2"/>
      <c r="DH457" s="2"/>
      <c r="DI457" s="2"/>
      <c r="DJ457" s="2"/>
      <c r="DK457" s="2"/>
      <c r="DL457" s="2"/>
      <c r="DM457" s="2"/>
      <c r="DN457" s="2"/>
      <c r="DO457" s="2"/>
      <c r="DP457" s="2"/>
      <c r="DQ457" s="2"/>
      <c r="DR457" s="2"/>
      <c r="DS457" s="2"/>
      <c r="DT457" s="2"/>
      <c r="DU457" s="2"/>
      <c r="DV457" s="2"/>
      <c r="DW457" s="2"/>
      <c r="DX457" s="2"/>
      <c r="DY457" s="2"/>
      <c r="DZ457" s="2"/>
      <c r="EA457" s="2"/>
      <c r="EB457" s="2"/>
      <c r="EC457" s="2"/>
      <c r="ED457" s="2"/>
      <c r="EE457" s="2"/>
      <c r="EF457" s="2"/>
      <c r="EG457" s="2"/>
      <c r="EH457" s="2"/>
      <c r="EI457" s="2"/>
      <c r="EJ457" s="2"/>
      <c r="EK457" s="2"/>
      <c r="EL457" s="2"/>
      <c r="EM457" s="2"/>
      <c r="EN457" s="2"/>
      <c r="EO457" s="2"/>
      <c r="EP457" s="2"/>
      <c r="EQ457" s="2"/>
      <c r="ER457" s="2"/>
      <c r="ES457" s="2"/>
      <c r="ET457" s="2"/>
      <c r="EU457" s="2"/>
      <c r="EV457" s="2"/>
      <c r="EW457" s="2"/>
      <c r="EX457" s="2"/>
      <c r="EY457" s="2"/>
      <c r="EZ457" s="2"/>
      <c r="FA457" s="2"/>
      <c r="FB457" s="2"/>
      <c r="FC457" s="2"/>
      <c r="FD457" s="2"/>
      <c r="FE457" s="2"/>
      <c r="FF457" s="2"/>
      <c r="FG457" s="2"/>
      <c r="FH457" s="2"/>
      <c r="FI457" s="2"/>
      <c r="FJ457" s="2"/>
      <c r="FK457" s="2"/>
      <c r="FL457" s="2"/>
      <c r="FM457" s="2"/>
      <c r="FN457" s="2"/>
      <c r="FO457" s="2"/>
      <c r="FP457" s="2"/>
      <c r="FQ457" s="2"/>
      <c r="FR457" s="2"/>
      <c r="FS457" s="2"/>
      <c r="FT457" s="2"/>
      <c r="FU457" s="2"/>
      <c r="FV457" s="2"/>
      <c r="FW457" s="2"/>
      <c r="FX457" s="2"/>
      <c r="FY457" s="2"/>
      <c r="FZ457" s="2"/>
      <c r="GA457" s="2"/>
      <c r="GB457" s="2"/>
      <c r="GC457" s="2"/>
      <c r="GD457" s="2"/>
      <c r="GE457" s="2"/>
      <c r="GF457" s="2"/>
      <c r="GG457" s="2"/>
      <c r="GH457" s="2"/>
      <c r="GI457" s="2"/>
      <c r="GJ457" s="2"/>
      <c r="GK457" s="2"/>
      <c r="GL457" s="2"/>
      <c r="GM457" s="2"/>
      <c r="GN457" s="2"/>
      <c r="GO457" s="2"/>
      <c r="GP457" s="2"/>
      <c r="GQ457" s="2"/>
      <c r="GR457" s="2"/>
      <c r="GS457" s="2"/>
      <c r="GT457" s="2"/>
      <c r="GU457" s="2"/>
      <c r="GV457" s="2"/>
      <c r="GW457" s="2"/>
      <c r="GX457" s="2"/>
      <c r="GY457" s="2"/>
      <c r="GZ457" s="2"/>
      <c r="HA457" s="2"/>
      <c r="HB457" s="2"/>
      <c r="HC457" s="2"/>
      <c r="HD457" s="2"/>
      <c r="HE457" s="2"/>
      <c r="HF457" s="2"/>
      <c r="HG457" s="2"/>
      <c r="HH457" s="2"/>
      <c r="HI457" s="2"/>
      <c r="HJ457" s="2"/>
      <c r="HK457" s="2"/>
      <c r="HL457" s="2"/>
      <c r="HM457" s="2"/>
      <c r="HN457" s="2"/>
      <c r="HO457" s="2"/>
      <c r="HP457" s="2"/>
      <c r="HQ457" s="2"/>
      <c r="HR457" s="2"/>
      <c r="HS457" s="2"/>
      <c r="HT457" s="2"/>
      <c r="HU457" s="2"/>
      <c r="HV457" s="2"/>
      <c r="HW457" s="2"/>
      <c r="HX457" s="2"/>
      <c r="HY457" s="2"/>
      <c r="HZ457" s="2"/>
      <c r="IA457" s="2"/>
      <c r="IB457" s="2"/>
      <c r="IC457" s="2"/>
    </row>
    <row r="458" spans="1:237" x14ac:dyDescent="0.2">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c r="AA458" s="2"/>
      <c r="AB458" s="2"/>
      <c r="AC458" s="2"/>
      <c r="AD458" s="2"/>
      <c r="AE458" s="2"/>
      <c r="AF458" s="2"/>
      <c r="AG458" s="2"/>
      <c r="AH458" s="2"/>
      <c r="AI458" s="2"/>
      <c r="AJ458" s="2"/>
      <c r="AK458" s="2"/>
      <c r="AL458" s="2"/>
      <c r="AM458" s="2"/>
      <c r="AN458" s="2"/>
      <c r="AO458" s="2"/>
      <c r="AP458" s="2"/>
      <c r="AQ458" s="2"/>
      <c r="AR458" s="2"/>
      <c r="AS458" s="2"/>
      <c r="AT458" s="2"/>
      <c r="AU458" s="2"/>
      <c r="AV458" s="2"/>
      <c r="AW458" s="2"/>
      <c r="AX458" s="2"/>
      <c r="AY458" s="2"/>
      <c r="AZ458" s="2"/>
      <c r="BA458" s="2"/>
      <c r="BB458" s="2"/>
      <c r="BC458" s="2"/>
      <c r="BD458" s="2"/>
      <c r="BE458" s="2"/>
      <c r="BF458" s="2"/>
      <c r="BG458" s="2"/>
      <c r="BH458" s="2"/>
      <c r="BI458" s="2"/>
      <c r="BJ458" s="2"/>
      <c r="BK458" s="2"/>
      <c r="BL458" s="2"/>
      <c r="BM458" s="2"/>
      <c r="BN458" s="2"/>
      <c r="BO458" s="2"/>
      <c r="BP458" s="2"/>
      <c r="BQ458" s="2"/>
      <c r="BR458" s="2"/>
      <c r="BS458" s="2"/>
      <c r="BT458" s="2"/>
      <c r="BU458" s="2"/>
      <c r="BV458" s="2"/>
      <c r="BW458" s="2"/>
      <c r="BX458" s="2"/>
      <c r="BY458" s="2"/>
      <c r="BZ458" s="2"/>
      <c r="CA458" s="2"/>
      <c r="CB458" s="2"/>
      <c r="CC458" s="2"/>
      <c r="CD458" s="2"/>
      <c r="CE458" s="2"/>
      <c r="CF458" s="2"/>
      <c r="CG458" s="2"/>
      <c r="CH458" s="2"/>
      <c r="CI458" s="2"/>
      <c r="CJ458" s="2"/>
      <c r="CK458" s="2"/>
      <c r="CL458" s="2"/>
      <c r="CM458" s="2"/>
      <c r="CN458" s="2"/>
      <c r="CO458" s="2"/>
      <c r="CP458" s="2"/>
      <c r="CQ458" s="2"/>
      <c r="CR458" s="2"/>
      <c r="CS458" s="2"/>
      <c r="CT458" s="2"/>
      <c r="CU458" s="2"/>
      <c r="CV458" s="2"/>
      <c r="CW458" s="2"/>
      <c r="CX458" s="2"/>
      <c r="CY458" s="2"/>
      <c r="CZ458" s="2"/>
      <c r="DA458" s="2"/>
      <c r="DB458" s="2"/>
      <c r="DC458" s="2"/>
      <c r="DD458" s="2"/>
      <c r="DE458" s="2"/>
      <c r="DF458" s="2"/>
      <c r="DG458" s="2"/>
      <c r="DH458" s="2"/>
      <c r="DI458" s="2"/>
      <c r="DJ458" s="2"/>
      <c r="DK458" s="2"/>
      <c r="DL458" s="2"/>
      <c r="DM458" s="2"/>
      <c r="DN458" s="2"/>
      <c r="DO458" s="2"/>
      <c r="DP458" s="2"/>
      <c r="DQ458" s="2"/>
      <c r="DR458" s="2"/>
      <c r="DS458" s="2"/>
      <c r="DT458" s="2"/>
      <c r="DU458" s="2"/>
      <c r="DV458" s="2"/>
      <c r="DW458" s="2"/>
      <c r="DX458" s="2"/>
      <c r="DY458" s="2"/>
      <c r="DZ458" s="2"/>
      <c r="EA458" s="2"/>
      <c r="EB458" s="2"/>
      <c r="EC458" s="2"/>
      <c r="ED458" s="2"/>
      <c r="EE458" s="2"/>
      <c r="EF458" s="2"/>
      <c r="EG458" s="2"/>
      <c r="EH458" s="2"/>
      <c r="EI458" s="2"/>
      <c r="EJ458" s="2"/>
      <c r="EK458" s="2"/>
      <c r="EL458" s="2"/>
      <c r="EM458" s="2"/>
      <c r="EN458" s="2"/>
      <c r="EO458" s="2"/>
      <c r="EP458" s="2"/>
      <c r="EQ458" s="2"/>
      <c r="ER458" s="2"/>
      <c r="ES458" s="2"/>
      <c r="ET458" s="2"/>
      <c r="EU458" s="2"/>
      <c r="EV458" s="2"/>
      <c r="EW458" s="2"/>
      <c r="EX458" s="2"/>
      <c r="EY458" s="2"/>
      <c r="EZ458" s="2"/>
      <c r="FA458" s="2"/>
      <c r="FB458" s="2"/>
      <c r="FC458" s="2"/>
      <c r="FD458" s="2"/>
      <c r="FE458" s="2"/>
      <c r="FF458" s="2"/>
      <c r="FG458" s="2"/>
      <c r="FH458" s="2"/>
      <c r="FI458" s="2"/>
      <c r="FJ458" s="2"/>
      <c r="FK458" s="2"/>
      <c r="FL458" s="2"/>
      <c r="FM458" s="2"/>
      <c r="FN458" s="2"/>
      <c r="FO458" s="2"/>
      <c r="FP458" s="2"/>
      <c r="FQ458" s="2"/>
      <c r="FR458" s="2"/>
      <c r="FS458" s="2"/>
      <c r="FT458" s="2"/>
      <c r="FU458" s="2"/>
      <c r="FV458" s="2"/>
      <c r="FW458" s="2"/>
      <c r="FX458" s="2"/>
      <c r="FY458" s="2"/>
      <c r="FZ458" s="2"/>
      <c r="GA458" s="2"/>
      <c r="GB458" s="2"/>
      <c r="GC458" s="2"/>
      <c r="GD458" s="2"/>
      <c r="GE458" s="2"/>
      <c r="GF458" s="2"/>
      <c r="GG458" s="2"/>
      <c r="GH458" s="2"/>
      <c r="GI458" s="2"/>
      <c r="GJ458" s="2"/>
      <c r="GK458" s="2"/>
      <c r="GL458" s="2"/>
      <c r="GM458" s="2"/>
      <c r="GN458" s="2"/>
      <c r="GO458" s="2"/>
      <c r="GP458" s="2"/>
      <c r="GQ458" s="2"/>
      <c r="GR458" s="2"/>
      <c r="GS458" s="2"/>
      <c r="GT458" s="2"/>
      <c r="GU458" s="2"/>
      <c r="GV458" s="2"/>
      <c r="GW458" s="2"/>
      <c r="GX458" s="2"/>
      <c r="GY458" s="2"/>
      <c r="GZ458" s="2"/>
      <c r="HA458" s="2"/>
      <c r="HB458" s="2"/>
      <c r="HC458" s="2"/>
      <c r="HD458" s="2"/>
      <c r="HE458" s="2"/>
      <c r="HF458" s="2"/>
      <c r="HG458" s="2"/>
      <c r="HH458" s="2"/>
      <c r="HI458" s="2"/>
      <c r="HJ458" s="2"/>
      <c r="HK458" s="2"/>
      <c r="HL458" s="2"/>
      <c r="HM458" s="2"/>
      <c r="HN458" s="2"/>
      <c r="HO458" s="2"/>
      <c r="HP458" s="2"/>
      <c r="HQ458" s="2"/>
      <c r="HR458" s="2"/>
      <c r="HS458" s="2"/>
      <c r="HT458" s="2"/>
      <c r="HU458" s="2"/>
      <c r="HV458" s="2"/>
      <c r="HW458" s="2"/>
      <c r="HX458" s="2"/>
      <c r="HY458" s="2"/>
      <c r="HZ458" s="2"/>
      <c r="IA458" s="2"/>
      <c r="IB458" s="2"/>
      <c r="IC458" s="2"/>
    </row>
    <row r="459" spans="1:237" x14ac:dyDescent="0.2">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c r="AA459" s="2"/>
      <c r="AB459" s="2"/>
      <c r="AC459" s="2"/>
      <c r="AD459" s="2"/>
      <c r="AE459" s="2"/>
      <c r="AF459" s="2"/>
      <c r="AG459" s="2"/>
      <c r="AH459" s="2"/>
      <c r="AI459" s="2"/>
      <c r="AJ459" s="2"/>
      <c r="AK459" s="2"/>
      <c r="AL459" s="2"/>
      <c r="AM459" s="2"/>
      <c r="AN459" s="2"/>
      <c r="AO459" s="2"/>
      <c r="AP459" s="2"/>
      <c r="AQ459" s="2"/>
      <c r="AR459" s="2"/>
      <c r="AS459" s="2"/>
      <c r="AT459" s="2"/>
      <c r="AU459" s="2"/>
      <c r="AV459" s="2"/>
      <c r="AW459" s="2"/>
      <c r="AX459" s="2"/>
      <c r="AY459" s="2"/>
      <c r="AZ459" s="2"/>
      <c r="BA459" s="2"/>
      <c r="BB459" s="2"/>
      <c r="BC459" s="2"/>
      <c r="BD459" s="2"/>
      <c r="BE459" s="2"/>
      <c r="BF459" s="2"/>
      <c r="BG459" s="2"/>
      <c r="BH459" s="2"/>
      <c r="BI459" s="2"/>
      <c r="BJ459" s="2"/>
      <c r="BK459" s="2"/>
      <c r="BL459" s="2"/>
      <c r="BM459" s="2"/>
      <c r="BN459" s="2"/>
      <c r="BO459" s="2"/>
      <c r="BP459" s="2"/>
      <c r="BQ459" s="2"/>
      <c r="BR459" s="2"/>
      <c r="BS459" s="2"/>
      <c r="BT459" s="2"/>
      <c r="BU459" s="2"/>
      <c r="BV459" s="2"/>
      <c r="BW459" s="2"/>
      <c r="BX459" s="2"/>
      <c r="BY459" s="2"/>
      <c r="BZ459" s="2"/>
      <c r="CA459" s="2"/>
      <c r="CB459" s="2"/>
      <c r="CC459" s="2"/>
      <c r="CD459" s="2"/>
      <c r="CE459" s="2"/>
      <c r="CF459" s="2"/>
      <c r="CG459" s="2"/>
      <c r="CH459" s="2"/>
      <c r="CI459" s="2"/>
      <c r="CJ459" s="2"/>
      <c r="CK459" s="2"/>
      <c r="CL459" s="2"/>
      <c r="CM459" s="2"/>
      <c r="CN459" s="2"/>
      <c r="CO459" s="2"/>
      <c r="CP459" s="2"/>
      <c r="CQ459" s="2"/>
      <c r="CR459" s="2"/>
      <c r="CS459" s="2"/>
      <c r="CT459" s="2"/>
      <c r="CU459" s="2"/>
      <c r="CV459" s="2"/>
      <c r="CW459" s="2"/>
      <c r="CX459" s="2"/>
      <c r="CY459" s="2"/>
      <c r="CZ459" s="2"/>
      <c r="DA459" s="2"/>
      <c r="DB459" s="2"/>
      <c r="DC459" s="2"/>
      <c r="DD459" s="2"/>
      <c r="DE459" s="2"/>
      <c r="DF459" s="2"/>
      <c r="DG459" s="2"/>
      <c r="DH459" s="2"/>
      <c r="DI459" s="2"/>
      <c r="DJ459" s="2"/>
      <c r="DK459" s="2"/>
      <c r="DL459" s="2"/>
      <c r="DM459" s="2"/>
      <c r="DN459" s="2"/>
      <c r="DO459" s="2"/>
      <c r="DP459" s="2"/>
      <c r="DQ459" s="2"/>
      <c r="DR459" s="2"/>
      <c r="DS459" s="2"/>
      <c r="DT459" s="2"/>
      <c r="DU459" s="2"/>
      <c r="DV459" s="2"/>
      <c r="DW459" s="2"/>
      <c r="DX459" s="2"/>
      <c r="DY459" s="2"/>
      <c r="DZ459" s="2"/>
      <c r="EA459" s="2"/>
      <c r="EB459" s="2"/>
      <c r="EC459" s="2"/>
      <c r="ED459" s="2"/>
      <c r="EE459" s="2"/>
      <c r="EF459" s="2"/>
      <c r="EG459" s="2"/>
      <c r="EH459" s="2"/>
      <c r="EI459" s="2"/>
      <c r="EJ459" s="2"/>
      <c r="EK459" s="2"/>
      <c r="EL459" s="2"/>
      <c r="EM459" s="2"/>
      <c r="EN459" s="2"/>
      <c r="EO459" s="2"/>
      <c r="EP459" s="2"/>
      <c r="EQ459" s="2"/>
      <c r="ER459" s="2"/>
      <c r="ES459" s="2"/>
      <c r="ET459" s="2"/>
      <c r="EU459" s="2"/>
      <c r="EV459" s="2"/>
      <c r="EW459" s="2"/>
      <c r="EX459" s="2"/>
      <c r="EY459" s="2"/>
      <c r="EZ459" s="2"/>
      <c r="FA459" s="2"/>
      <c r="FB459" s="2"/>
      <c r="FC459" s="2"/>
      <c r="FD459" s="2"/>
      <c r="FE459" s="2"/>
      <c r="FF459" s="2"/>
      <c r="FG459" s="2"/>
      <c r="FH459" s="2"/>
      <c r="FI459" s="2"/>
      <c r="FJ459" s="2"/>
      <c r="FK459" s="2"/>
      <c r="FL459" s="2"/>
      <c r="FM459" s="2"/>
      <c r="FN459" s="2"/>
      <c r="FO459" s="2"/>
      <c r="FP459" s="2"/>
      <c r="FQ459" s="2"/>
      <c r="FR459" s="2"/>
      <c r="FS459" s="2"/>
      <c r="FT459" s="2"/>
      <c r="FU459" s="2"/>
      <c r="FV459" s="2"/>
      <c r="FW459" s="2"/>
      <c r="FX459" s="2"/>
      <c r="FY459" s="2"/>
      <c r="FZ459" s="2"/>
      <c r="GA459" s="2"/>
      <c r="GB459" s="2"/>
      <c r="GC459" s="2"/>
      <c r="GD459" s="2"/>
      <c r="GE459" s="2"/>
      <c r="GF459" s="2"/>
      <c r="GG459" s="2"/>
      <c r="GH459" s="2"/>
      <c r="GI459" s="2"/>
      <c r="GJ459" s="2"/>
      <c r="GK459" s="2"/>
      <c r="GL459" s="2"/>
      <c r="GM459" s="2"/>
      <c r="GN459" s="2"/>
      <c r="GO459" s="2"/>
      <c r="GP459" s="2"/>
      <c r="GQ459" s="2"/>
      <c r="GR459" s="2"/>
      <c r="GS459" s="2"/>
      <c r="GT459" s="2"/>
      <c r="GU459" s="2"/>
      <c r="GV459" s="2"/>
      <c r="GW459" s="2"/>
      <c r="GX459" s="2"/>
      <c r="GY459" s="2"/>
      <c r="GZ459" s="2"/>
      <c r="HA459" s="2"/>
      <c r="HB459" s="2"/>
      <c r="HC459" s="2"/>
      <c r="HD459" s="2"/>
      <c r="HE459" s="2"/>
      <c r="HF459" s="2"/>
      <c r="HG459" s="2"/>
      <c r="HH459" s="2"/>
      <c r="HI459" s="2"/>
      <c r="HJ459" s="2"/>
      <c r="HK459" s="2"/>
      <c r="HL459" s="2"/>
      <c r="HM459" s="2"/>
      <c r="HN459" s="2"/>
      <c r="HO459" s="2"/>
      <c r="HP459" s="2"/>
      <c r="HQ459" s="2"/>
      <c r="HR459" s="2"/>
      <c r="HS459" s="2"/>
      <c r="HT459" s="2"/>
      <c r="HU459" s="2"/>
      <c r="HV459" s="2"/>
      <c r="HW459" s="2"/>
      <c r="HX459" s="2"/>
      <c r="HY459" s="2"/>
      <c r="HZ459" s="2"/>
      <c r="IA459" s="2"/>
      <c r="IB459" s="2"/>
      <c r="IC459" s="2"/>
    </row>
    <row r="460" spans="1:237" x14ac:dyDescent="0.2">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c r="AA460" s="2"/>
      <c r="AB460" s="2"/>
      <c r="AC460" s="2"/>
      <c r="AD460" s="2"/>
      <c r="AE460" s="2"/>
      <c r="AF460" s="2"/>
      <c r="AG460" s="2"/>
      <c r="AH460" s="2"/>
      <c r="AI460" s="2"/>
      <c r="AJ460" s="2"/>
      <c r="AK460" s="2"/>
      <c r="AL460" s="2"/>
      <c r="AM460" s="2"/>
      <c r="AN460" s="2"/>
      <c r="AO460" s="2"/>
      <c r="AP460" s="2"/>
      <c r="AQ460" s="2"/>
      <c r="AR460" s="2"/>
      <c r="AS460" s="2"/>
      <c r="AT460" s="2"/>
      <c r="AU460" s="2"/>
      <c r="AV460" s="2"/>
      <c r="AW460" s="2"/>
      <c r="AX460" s="2"/>
      <c r="AY460" s="2"/>
      <c r="AZ460" s="2"/>
      <c r="BA460" s="2"/>
      <c r="BB460" s="2"/>
      <c r="BC460" s="2"/>
      <c r="BD460" s="2"/>
      <c r="BE460" s="2"/>
      <c r="BF460" s="2"/>
      <c r="BG460" s="2"/>
      <c r="BH460" s="2"/>
      <c r="BI460" s="2"/>
      <c r="BJ460" s="2"/>
      <c r="BK460" s="2"/>
      <c r="BL460" s="2"/>
      <c r="BM460" s="2"/>
      <c r="BN460" s="2"/>
      <c r="BO460" s="2"/>
      <c r="BP460" s="2"/>
      <c r="BQ460" s="2"/>
      <c r="BR460" s="2"/>
      <c r="BS460" s="2"/>
      <c r="BT460" s="2"/>
      <c r="BU460" s="2"/>
      <c r="BV460" s="2"/>
      <c r="BW460" s="2"/>
      <c r="BX460" s="2"/>
      <c r="BY460" s="2"/>
      <c r="BZ460" s="2"/>
      <c r="CA460" s="2"/>
      <c r="CB460" s="2"/>
      <c r="CC460" s="2"/>
      <c r="CD460" s="2"/>
      <c r="CE460" s="2"/>
      <c r="CF460" s="2"/>
      <c r="CG460" s="2"/>
      <c r="CH460" s="2"/>
      <c r="CI460" s="2"/>
      <c r="CJ460" s="2"/>
      <c r="CK460" s="2"/>
      <c r="CL460" s="2"/>
      <c r="CM460" s="2"/>
      <c r="CN460" s="2"/>
      <c r="CO460" s="2"/>
      <c r="CP460" s="2"/>
      <c r="CQ460" s="2"/>
      <c r="CR460" s="2"/>
      <c r="CS460" s="2"/>
      <c r="CT460" s="2"/>
      <c r="CU460" s="2"/>
      <c r="CV460" s="2"/>
      <c r="CW460" s="2"/>
      <c r="CX460" s="2"/>
      <c r="CY460" s="2"/>
      <c r="CZ460" s="2"/>
      <c r="DA460" s="2"/>
      <c r="DB460" s="2"/>
      <c r="DC460" s="2"/>
      <c r="DD460" s="2"/>
      <c r="DE460" s="2"/>
      <c r="DF460" s="2"/>
      <c r="DG460" s="2"/>
      <c r="DH460" s="2"/>
      <c r="DI460" s="2"/>
      <c r="DJ460" s="2"/>
      <c r="DK460" s="2"/>
      <c r="DL460" s="2"/>
      <c r="DM460" s="2"/>
      <c r="DN460" s="2"/>
      <c r="DO460" s="2"/>
      <c r="DP460" s="2"/>
      <c r="DQ460" s="2"/>
      <c r="DR460" s="2"/>
      <c r="DS460" s="2"/>
      <c r="DT460" s="2"/>
      <c r="DU460" s="2"/>
      <c r="DV460" s="2"/>
      <c r="DW460" s="2"/>
      <c r="DX460" s="2"/>
      <c r="DY460" s="2"/>
      <c r="DZ460" s="2"/>
      <c r="EA460" s="2"/>
      <c r="EB460" s="2"/>
      <c r="EC460" s="2"/>
      <c r="ED460" s="2"/>
      <c r="EE460" s="2"/>
      <c r="EF460" s="2"/>
      <c r="EG460" s="2"/>
      <c r="EH460" s="2"/>
      <c r="EI460" s="2"/>
      <c r="EJ460" s="2"/>
      <c r="EK460" s="2"/>
      <c r="EL460" s="2"/>
      <c r="EM460" s="2"/>
      <c r="EN460" s="2"/>
      <c r="EO460" s="2"/>
      <c r="EP460" s="2"/>
      <c r="EQ460" s="2"/>
      <c r="ER460" s="2"/>
      <c r="ES460" s="2"/>
      <c r="ET460" s="2"/>
      <c r="EU460" s="2"/>
      <c r="EV460" s="2"/>
      <c r="EW460" s="2"/>
      <c r="EX460" s="2"/>
      <c r="EY460" s="2"/>
      <c r="EZ460" s="2"/>
      <c r="FA460" s="2"/>
      <c r="FB460" s="2"/>
      <c r="FC460" s="2"/>
      <c r="FD460" s="2"/>
      <c r="FE460" s="2"/>
      <c r="FF460" s="2"/>
      <c r="FG460" s="2"/>
      <c r="FH460" s="2"/>
      <c r="FI460" s="2"/>
      <c r="FJ460" s="2"/>
      <c r="FK460" s="2"/>
      <c r="FL460" s="2"/>
      <c r="FM460" s="2"/>
      <c r="FN460" s="2"/>
      <c r="FO460" s="2"/>
      <c r="FP460" s="2"/>
      <c r="FQ460" s="2"/>
      <c r="FR460" s="2"/>
      <c r="FS460" s="2"/>
      <c r="FT460" s="2"/>
      <c r="FU460" s="2"/>
      <c r="FV460" s="2"/>
      <c r="FW460" s="2"/>
      <c r="FX460" s="2"/>
      <c r="FY460" s="2"/>
      <c r="FZ460" s="2"/>
      <c r="GA460" s="2"/>
      <c r="GB460" s="2"/>
      <c r="GC460" s="2"/>
      <c r="GD460" s="2"/>
      <c r="GE460" s="2"/>
      <c r="GF460" s="2"/>
      <c r="GG460" s="2"/>
      <c r="GH460" s="2"/>
      <c r="GI460" s="2"/>
      <c r="GJ460" s="2"/>
      <c r="GK460" s="2"/>
      <c r="GL460" s="2"/>
      <c r="GM460" s="2"/>
      <c r="GN460" s="2"/>
      <c r="GO460" s="2"/>
      <c r="GP460" s="2"/>
      <c r="GQ460" s="2"/>
      <c r="GR460" s="2"/>
      <c r="GS460" s="2"/>
      <c r="GT460" s="2"/>
      <c r="GU460" s="2"/>
      <c r="GV460" s="2"/>
      <c r="GW460" s="2"/>
      <c r="GX460" s="2"/>
      <c r="GY460" s="2"/>
      <c r="GZ460" s="2"/>
      <c r="HA460" s="2"/>
      <c r="HB460" s="2"/>
      <c r="HC460" s="2"/>
      <c r="HD460" s="2"/>
      <c r="HE460" s="2"/>
      <c r="HF460" s="2"/>
      <c r="HG460" s="2"/>
      <c r="HH460" s="2"/>
      <c r="HI460" s="2"/>
      <c r="HJ460" s="2"/>
      <c r="HK460" s="2"/>
      <c r="HL460" s="2"/>
      <c r="HM460" s="2"/>
      <c r="HN460" s="2"/>
      <c r="HO460" s="2"/>
      <c r="HP460" s="2"/>
      <c r="HQ460" s="2"/>
      <c r="HR460" s="2"/>
      <c r="HS460" s="2"/>
      <c r="HT460" s="2"/>
      <c r="HU460" s="2"/>
      <c r="HV460" s="2"/>
      <c r="HW460" s="2"/>
      <c r="HX460" s="2"/>
      <c r="HY460" s="2"/>
      <c r="HZ460" s="2"/>
      <c r="IA460" s="2"/>
      <c r="IB460" s="2"/>
      <c r="IC460" s="2"/>
    </row>
    <row r="461" spans="1:237" x14ac:dyDescent="0.2">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c r="AA461" s="2"/>
      <c r="AB461" s="2"/>
      <c r="AC461" s="2"/>
      <c r="AD461" s="2"/>
      <c r="AE461" s="2"/>
      <c r="AF461" s="2"/>
      <c r="AG461" s="2"/>
      <c r="AH461" s="2"/>
      <c r="AI461" s="2"/>
      <c r="AJ461" s="2"/>
      <c r="AK461" s="2"/>
      <c r="AL461" s="2"/>
      <c r="AM461" s="2"/>
      <c r="AN461" s="2"/>
      <c r="AO461" s="2"/>
      <c r="AP461" s="2"/>
      <c r="AQ461" s="2"/>
      <c r="AR461" s="2"/>
      <c r="AS461" s="2"/>
      <c r="AT461" s="2"/>
      <c r="AU461" s="2"/>
      <c r="AV461" s="2"/>
      <c r="AW461" s="2"/>
      <c r="AX461" s="2"/>
      <c r="AY461" s="2"/>
      <c r="AZ461" s="2"/>
      <c r="BA461" s="2"/>
      <c r="BB461" s="2"/>
      <c r="BC461" s="2"/>
      <c r="BD461" s="2"/>
      <c r="BE461" s="2"/>
      <c r="BF461" s="2"/>
      <c r="BG461" s="2"/>
      <c r="BH461" s="2"/>
      <c r="BI461" s="2"/>
      <c r="BJ461" s="2"/>
      <c r="BK461" s="2"/>
      <c r="BL461" s="2"/>
      <c r="BM461" s="2"/>
      <c r="BN461" s="2"/>
      <c r="BO461" s="2"/>
      <c r="BP461" s="2"/>
      <c r="BQ461" s="2"/>
      <c r="BR461" s="2"/>
      <c r="BS461" s="2"/>
      <c r="BT461" s="2"/>
      <c r="BU461" s="2"/>
      <c r="BV461" s="2"/>
      <c r="BW461" s="2"/>
      <c r="BX461" s="2"/>
      <c r="BY461" s="2"/>
      <c r="BZ461" s="2"/>
      <c r="CA461" s="2"/>
      <c r="CB461" s="2"/>
      <c r="CC461" s="2"/>
      <c r="CD461" s="2"/>
      <c r="CE461" s="2"/>
      <c r="CF461" s="2"/>
      <c r="CG461" s="2"/>
      <c r="CH461" s="2"/>
      <c r="CI461" s="2"/>
      <c r="CJ461" s="2"/>
      <c r="CK461" s="2"/>
      <c r="CL461" s="2"/>
      <c r="CM461" s="2"/>
      <c r="CN461" s="2"/>
      <c r="CO461" s="2"/>
      <c r="CP461" s="2"/>
      <c r="CQ461" s="2"/>
      <c r="CR461" s="2"/>
      <c r="CS461" s="2"/>
      <c r="CT461" s="2"/>
      <c r="CU461" s="2"/>
      <c r="CV461" s="2"/>
      <c r="CW461" s="2"/>
      <c r="CX461" s="2"/>
      <c r="CY461" s="2"/>
      <c r="CZ461" s="2"/>
      <c r="DA461" s="2"/>
      <c r="DB461" s="2"/>
      <c r="DC461" s="2"/>
      <c r="DD461" s="2"/>
      <c r="DE461" s="2"/>
      <c r="DF461" s="2"/>
      <c r="DG461" s="2"/>
      <c r="DH461" s="2"/>
      <c r="DI461" s="2"/>
      <c r="DJ461" s="2"/>
      <c r="DK461" s="2"/>
      <c r="DL461" s="2"/>
      <c r="DM461" s="2"/>
      <c r="DN461" s="2"/>
      <c r="DO461" s="2"/>
      <c r="DP461" s="2"/>
      <c r="DQ461" s="2"/>
      <c r="DR461" s="2"/>
      <c r="DS461" s="2"/>
      <c r="DT461" s="2"/>
      <c r="DU461" s="2"/>
      <c r="DV461" s="2"/>
      <c r="DW461" s="2"/>
      <c r="DX461" s="2"/>
      <c r="DY461" s="2"/>
      <c r="DZ461" s="2"/>
      <c r="EA461" s="2"/>
      <c r="EB461" s="2"/>
      <c r="EC461" s="2"/>
      <c r="ED461" s="2"/>
      <c r="EE461" s="2"/>
      <c r="EF461" s="2"/>
      <c r="EG461" s="2"/>
      <c r="EH461" s="2"/>
      <c r="EI461" s="2"/>
      <c r="EJ461" s="2"/>
      <c r="EK461" s="2"/>
      <c r="EL461" s="2"/>
      <c r="EM461" s="2"/>
      <c r="EN461" s="2"/>
      <c r="EO461" s="2"/>
      <c r="EP461" s="2"/>
      <c r="EQ461" s="2"/>
      <c r="ER461" s="2"/>
      <c r="ES461" s="2"/>
      <c r="ET461" s="2"/>
      <c r="EU461" s="2"/>
      <c r="EV461" s="2"/>
      <c r="EW461" s="2"/>
      <c r="EX461" s="2"/>
      <c r="EY461" s="2"/>
      <c r="EZ461" s="2"/>
      <c r="FA461" s="2"/>
      <c r="FB461" s="2"/>
      <c r="FC461" s="2"/>
      <c r="FD461" s="2"/>
      <c r="FE461" s="2"/>
      <c r="FF461" s="2"/>
      <c r="FG461" s="2"/>
      <c r="FH461" s="2"/>
      <c r="FI461" s="2"/>
      <c r="FJ461" s="2"/>
      <c r="FK461" s="2"/>
      <c r="FL461" s="2"/>
      <c r="FM461" s="2"/>
      <c r="FN461" s="2"/>
      <c r="FO461" s="2"/>
      <c r="FP461" s="2"/>
      <c r="FQ461" s="2"/>
      <c r="FR461" s="2"/>
      <c r="FS461" s="2"/>
      <c r="FT461" s="2"/>
      <c r="FU461" s="2"/>
      <c r="FV461" s="2"/>
      <c r="FW461" s="2"/>
      <c r="FX461" s="2"/>
      <c r="FY461" s="2"/>
      <c r="FZ461" s="2"/>
      <c r="GA461" s="2"/>
      <c r="GB461" s="2"/>
      <c r="GC461" s="2"/>
      <c r="GD461" s="2"/>
      <c r="GE461" s="2"/>
      <c r="GF461" s="2"/>
      <c r="GG461" s="2"/>
      <c r="GH461" s="2"/>
      <c r="GI461" s="2"/>
      <c r="GJ461" s="2"/>
      <c r="GK461" s="2"/>
      <c r="GL461" s="2"/>
      <c r="GM461" s="2"/>
      <c r="GN461" s="2"/>
      <c r="GO461" s="2"/>
      <c r="GP461" s="2"/>
      <c r="GQ461" s="2"/>
      <c r="GR461" s="2"/>
      <c r="GS461" s="2"/>
      <c r="GT461" s="2"/>
      <c r="GU461" s="2"/>
      <c r="GV461" s="2"/>
      <c r="GW461" s="2"/>
      <c r="GX461" s="2"/>
      <c r="GY461" s="2"/>
      <c r="GZ461" s="2"/>
      <c r="HA461" s="2"/>
      <c r="HB461" s="2"/>
      <c r="HC461" s="2"/>
      <c r="HD461" s="2"/>
      <c r="HE461" s="2"/>
      <c r="HF461" s="2"/>
      <c r="HG461" s="2"/>
      <c r="HH461" s="2"/>
      <c r="HI461" s="2"/>
      <c r="HJ461" s="2"/>
      <c r="HK461" s="2"/>
      <c r="HL461" s="2"/>
      <c r="HM461" s="2"/>
      <c r="HN461" s="2"/>
      <c r="HO461" s="2"/>
      <c r="HP461" s="2"/>
      <c r="HQ461" s="2"/>
      <c r="HR461" s="2"/>
      <c r="HS461" s="2"/>
      <c r="HT461" s="2"/>
      <c r="HU461" s="2"/>
      <c r="HV461" s="2"/>
      <c r="HW461" s="2"/>
      <c r="HX461" s="2"/>
      <c r="HY461" s="2"/>
      <c r="HZ461" s="2"/>
      <c r="IA461" s="2"/>
      <c r="IB461" s="2"/>
      <c r="IC461" s="2"/>
    </row>
    <row r="462" spans="1:237" x14ac:dyDescent="0.2">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c r="AA462" s="2"/>
      <c r="AB462" s="2"/>
      <c r="AC462" s="2"/>
      <c r="AD462" s="2"/>
      <c r="AE462" s="2"/>
      <c r="AF462" s="2"/>
      <c r="AG462" s="2"/>
      <c r="AH462" s="2"/>
      <c r="AI462" s="2"/>
      <c r="AJ462" s="2"/>
      <c r="AK462" s="2"/>
      <c r="AL462" s="2"/>
      <c r="AM462" s="2"/>
      <c r="AN462" s="2"/>
      <c r="AO462" s="2"/>
      <c r="AP462" s="2"/>
      <c r="AQ462" s="2"/>
      <c r="AR462" s="2"/>
      <c r="AS462" s="2"/>
      <c r="AT462" s="2"/>
      <c r="AU462" s="2"/>
      <c r="AV462" s="2"/>
      <c r="AW462" s="2"/>
      <c r="AX462" s="2"/>
      <c r="AY462" s="2"/>
      <c r="AZ462" s="2"/>
      <c r="BA462" s="2"/>
      <c r="BB462" s="2"/>
      <c r="BC462" s="2"/>
      <c r="BD462" s="2"/>
      <c r="BE462" s="2"/>
      <c r="BF462" s="2"/>
      <c r="BG462" s="2"/>
      <c r="BH462" s="2"/>
      <c r="BI462" s="2"/>
      <c r="BJ462" s="2"/>
      <c r="BK462" s="2"/>
      <c r="BL462" s="2"/>
      <c r="BM462" s="2"/>
      <c r="BN462" s="2"/>
      <c r="BO462" s="2"/>
      <c r="BP462" s="2"/>
      <c r="BQ462" s="2"/>
      <c r="BR462" s="2"/>
      <c r="BS462" s="2"/>
      <c r="BT462" s="2"/>
      <c r="BU462" s="2"/>
      <c r="BV462" s="2"/>
      <c r="BW462" s="2"/>
      <c r="BX462" s="2"/>
      <c r="BY462" s="2"/>
      <c r="BZ462" s="2"/>
      <c r="CA462" s="2"/>
      <c r="CB462" s="2"/>
      <c r="CC462" s="2"/>
      <c r="CD462" s="2"/>
      <c r="CE462" s="2"/>
      <c r="CF462" s="2"/>
      <c r="CG462" s="2"/>
      <c r="CH462" s="2"/>
      <c r="CI462" s="2"/>
      <c r="CJ462" s="2"/>
      <c r="CK462" s="2"/>
      <c r="CL462" s="2"/>
      <c r="CM462" s="2"/>
      <c r="CN462" s="2"/>
      <c r="CO462" s="2"/>
      <c r="CP462" s="2"/>
      <c r="CQ462" s="2"/>
      <c r="CR462" s="2"/>
      <c r="CS462" s="2"/>
      <c r="CT462" s="2"/>
      <c r="CU462" s="2"/>
      <c r="CV462" s="2"/>
      <c r="CW462" s="2"/>
      <c r="CX462" s="2"/>
      <c r="CY462" s="2"/>
      <c r="CZ462" s="2"/>
      <c r="DA462" s="2"/>
      <c r="DB462" s="2"/>
      <c r="DC462" s="2"/>
      <c r="DD462" s="2"/>
      <c r="DE462" s="2"/>
      <c r="DF462" s="2"/>
      <c r="DG462" s="2"/>
      <c r="DH462" s="2"/>
      <c r="DI462" s="2"/>
      <c r="DJ462" s="2"/>
      <c r="DK462" s="2"/>
      <c r="DL462" s="2"/>
      <c r="DM462" s="2"/>
      <c r="DN462" s="2"/>
      <c r="DO462" s="2"/>
      <c r="DP462" s="2"/>
      <c r="DQ462" s="2"/>
      <c r="DR462" s="2"/>
      <c r="DS462" s="2"/>
      <c r="DT462" s="2"/>
      <c r="DU462" s="2"/>
      <c r="DV462" s="2"/>
      <c r="DW462" s="2"/>
      <c r="DX462" s="2"/>
      <c r="DY462" s="2"/>
      <c r="DZ462" s="2"/>
      <c r="EA462" s="2"/>
      <c r="EB462" s="2"/>
      <c r="EC462" s="2"/>
      <c r="ED462" s="2"/>
      <c r="EE462" s="2"/>
      <c r="EF462" s="2"/>
      <c r="EG462" s="2"/>
      <c r="EH462" s="2"/>
      <c r="EI462" s="2"/>
      <c r="EJ462" s="2"/>
      <c r="EK462" s="2"/>
      <c r="EL462" s="2"/>
      <c r="EM462" s="2"/>
      <c r="EN462" s="2"/>
      <c r="EO462" s="2"/>
      <c r="EP462" s="2"/>
      <c r="EQ462" s="2"/>
      <c r="ER462" s="2"/>
      <c r="ES462" s="2"/>
      <c r="ET462" s="2"/>
      <c r="EU462" s="2"/>
      <c r="EV462" s="2"/>
      <c r="EW462" s="2"/>
      <c r="EX462" s="2"/>
      <c r="EY462" s="2"/>
      <c r="EZ462" s="2"/>
      <c r="FA462" s="2"/>
      <c r="FB462" s="2"/>
      <c r="FC462" s="2"/>
      <c r="FD462" s="2"/>
      <c r="FE462" s="2"/>
      <c r="FF462" s="2"/>
      <c r="FG462" s="2"/>
      <c r="FH462" s="2"/>
      <c r="FI462" s="2"/>
      <c r="FJ462" s="2"/>
      <c r="FK462" s="2"/>
      <c r="FL462" s="2"/>
      <c r="FM462" s="2"/>
      <c r="FN462" s="2"/>
      <c r="FO462" s="2"/>
      <c r="FP462" s="2"/>
      <c r="FQ462" s="2"/>
      <c r="FR462" s="2"/>
      <c r="FS462" s="2"/>
      <c r="FT462" s="2"/>
      <c r="FU462" s="2"/>
      <c r="FV462" s="2"/>
      <c r="FW462" s="2"/>
      <c r="FX462" s="2"/>
      <c r="FY462" s="2"/>
      <c r="FZ462" s="2"/>
      <c r="GA462" s="2"/>
      <c r="GB462" s="2"/>
      <c r="GC462" s="2"/>
      <c r="GD462" s="2"/>
      <c r="GE462" s="2"/>
      <c r="GF462" s="2"/>
      <c r="GG462" s="2"/>
      <c r="GH462" s="2"/>
      <c r="GI462" s="2"/>
      <c r="GJ462" s="2"/>
      <c r="GK462" s="2"/>
      <c r="GL462" s="2"/>
      <c r="GM462" s="2"/>
      <c r="GN462" s="2"/>
      <c r="GO462" s="2"/>
      <c r="GP462" s="2"/>
      <c r="GQ462" s="2"/>
      <c r="GR462" s="2"/>
      <c r="GS462" s="2"/>
      <c r="GT462" s="2"/>
      <c r="GU462" s="2"/>
      <c r="GV462" s="2"/>
      <c r="GW462" s="2"/>
      <c r="GX462" s="2"/>
      <c r="GY462" s="2"/>
      <c r="GZ462" s="2"/>
      <c r="HA462" s="2"/>
      <c r="HB462" s="2"/>
      <c r="HC462" s="2"/>
      <c r="HD462" s="2"/>
      <c r="HE462" s="2"/>
      <c r="HF462" s="2"/>
      <c r="HG462" s="2"/>
      <c r="HH462" s="2"/>
      <c r="HI462" s="2"/>
      <c r="HJ462" s="2"/>
      <c r="HK462" s="2"/>
      <c r="HL462" s="2"/>
      <c r="HM462" s="2"/>
      <c r="HN462" s="2"/>
      <c r="HO462" s="2"/>
      <c r="HP462" s="2"/>
      <c r="HQ462" s="2"/>
      <c r="HR462" s="2"/>
      <c r="HS462" s="2"/>
      <c r="HT462" s="2"/>
      <c r="HU462" s="2"/>
      <c r="HV462" s="2"/>
      <c r="HW462" s="2"/>
      <c r="HX462" s="2"/>
      <c r="HY462" s="2"/>
      <c r="HZ462" s="2"/>
      <c r="IA462" s="2"/>
      <c r="IB462" s="2"/>
      <c r="IC462" s="2"/>
    </row>
    <row r="463" spans="1:237" x14ac:dyDescent="0.2">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c r="AA463" s="2"/>
      <c r="AB463" s="2"/>
      <c r="AC463" s="2"/>
      <c r="AD463" s="2"/>
      <c r="AE463" s="2"/>
      <c r="AF463" s="2"/>
      <c r="AG463" s="2"/>
      <c r="AH463" s="2"/>
      <c r="AI463" s="2"/>
      <c r="AJ463" s="2"/>
      <c r="AK463" s="2"/>
      <c r="AL463" s="2"/>
      <c r="AM463" s="2"/>
      <c r="AN463" s="2"/>
      <c r="AO463" s="2"/>
      <c r="AP463" s="2"/>
      <c r="AQ463" s="2"/>
      <c r="AR463" s="2"/>
      <c r="AS463" s="2"/>
      <c r="AT463" s="2"/>
      <c r="AU463" s="2"/>
      <c r="AV463" s="2"/>
      <c r="AW463" s="2"/>
      <c r="AX463" s="2"/>
      <c r="AY463" s="2"/>
      <c r="AZ463" s="2"/>
      <c r="BA463" s="2"/>
      <c r="BB463" s="2"/>
      <c r="BC463" s="2"/>
      <c r="BD463" s="2"/>
      <c r="BE463" s="2"/>
      <c r="BF463" s="2"/>
      <c r="BG463" s="2"/>
      <c r="BH463" s="2"/>
      <c r="BI463" s="2"/>
      <c r="BJ463" s="2"/>
      <c r="BK463" s="2"/>
      <c r="BL463" s="2"/>
      <c r="BM463" s="2"/>
      <c r="BN463" s="2"/>
      <c r="BO463" s="2"/>
      <c r="BP463" s="2"/>
      <c r="BQ463" s="2"/>
      <c r="BR463" s="2"/>
      <c r="BS463" s="2"/>
      <c r="BT463" s="2"/>
      <c r="BU463" s="2"/>
      <c r="BV463" s="2"/>
      <c r="BW463" s="2"/>
      <c r="BX463" s="2"/>
      <c r="BY463" s="2"/>
      <c r="BZ463" s="2"/>
      <c r="CA463" s="2"/>
      <c r="CB463" s="2"/>
      <c r="CC463" s="2"/>
      <c r="CD463" s="2"/>
      <c r="CE463" s="2"/>
      <c r="CF463" s="2"/>
      <c r="CG463" s="2"/>
      <c r="CH463" s="2"/>
      <c r="CI463" s="2"/>
      <c r="CJ463" s="2"/>
      <c r="CK463" s="2"/>
      <c r="CL463" s="2"/>
      <c r="CM463" s="2"/>
      <c r="CN463" s="2"/>
      <c r="CO463" s="2"/>
      <c r="CP463" s="2"/>
      <c r="CQ463" s="2"/>
      <c r="CR463" s="2"/>
      <c r="CS463" s="2"/>
      <c r="CT463" s="2"/>
      <c r="CU463" s="2"/>
      <c r="CV463" s="2"/>
      <c r="CW463" s="2"/>
      <c r="CX463" s="2"/>
      <c r="CY463" s="2"/>
      <c r="CZ463" s="2"/>
      <c r="DA463" s="2"/>
      <c r="DB463" s="2"/>
      <c r="DC463" s="2"/>
      <c r="DD463" s="2"/>
      <c r="DE463" s="2"/>
      <c r="DF463" s="2"/>
      <c r="DG463" s="2"/>
      <c r="DH463" s="2"/>
      <c r="DI463" s="2"/>
      <c r="DJ463" s="2"/>
      <c r="DK463" s="2"/>
      <c r="DL463" s="2"/>
      <c r="DM463" s="2"/>
      <c r="DN463" s="2"/>
      <c r="DO463" s="2"/>
      <c r="DP463" s="2"/>
      <c r="DQ463" s="2"/>
      <c r="DR463" s="2"/>
      <c r="DS463" s="2"/>
      <c r="DT463" s="2"/>
      <c r="DU463" s="2"/>
      <c r="DV463" s="2"/>
      <c r="DW463" s="2"/>
      <c r="DX463" s="2"/>
      <c r="DY463" s="2"/>
      <c r="DZ463" s="2"/>
      <c r="EA463" s="2"/>
      <c r="EB463" s="2"/>
      <c r="EC463" s="2"/>
      <c r="ED463" s="2"/>
      <c r="EE463" s="2"/>
      <c r="EF463" s="2"/>
      <c r="EG463" s="2"/>
      <c r="EH463" s="2"/>
      <c r="EI463" s="2"/>
      <c r="EJ463" s="2"/>
      <c r="EK463" s="2"/>
      <c r="EL463" s="2"/>
      <c r="EM463" s="2"/>
      <c r="EN463" s="2"/>
      <c r="EO463" s="2"/>
      <c r="EP463" s="2"/>
      <c r="EQ463" s="2"/>
      <c r="ER463" s="2"/>
      <c r="ES463" s="2"/>
      <c r="ET463" s="2"/>
      <c r="EU463" s="2"/>
      <c r="EV463" s="2"/>
      <c r="EW463" s="2"/>
      <c r="EX463" s="2"/>
      <c r="EY463" s="2"/>
      <c r="EZ463" s="2"/>
      <c r="FA463" s="2"/>
      <c r="FB463" s="2"/>
      <c r="FC463" s="2"/>
      <c r="FD463" s="2"/>
      <c r="FE463" s="2"/>
      <c r="FF463" s="2"/>
      <c r="FG463" s="2"/>
      <c r="FH463" s="2"/>
      <c r="FI463" s="2"/>
      <c r="FJ463" s="2"/>
      <c r="FK463" s="2"/>
      <c r="FL463" s="2"/>
      <c r="FM463" s="2"/>
      <c r="FN463" s="2"/>
      <c r="FO463" s="2"/>
      <c r="FP463" s="2"/>
      <c r="FQ463" s="2"/>
      <c r="FR463" s="2"/>
      <c r="FS463" s="2"/>
      <c r="FT463" s="2"/>
      <c r="FU463" s="2"/>
      <c r="FV463" s="2"/>
      <c r="FW463" s="2"/>
      <c r="FX463" s="2"/>
      <c r="FY463" s="2"/>
      <c r="FZ463" s="2"/>
      <c r="GA463" s="2"/>
      <c r="GB463" s="2"/>
      <c r="GC463" s="2"/>
      <c r="GD463" s="2"/>
      <c r="GE463" s="2"/>
      <c r="GF463" s="2"/>
      <c r="GG463" s="2"/>
      <c r="GH463" s="2"/>
      <c r="GI463" s="2"/>
      <c r="GJ463" s="2"/>
      <c r="GK463" s="2"/>
      <c r="GL463" s="2"/>
      <c r="GM463" s="2"/>
      <c r="GN463" s="2"/>
      <c r="GO463" s="2"/>
      <c r="GP463" s="2"/>
      <c r="GQ463" s="2"/>
      <c r="GR463" s="2"/>
      <c r="GS463" s="2"/>
      <c r="GT463" s="2"/>
      <c r="GU463" s="2"/>
      <c r="GV463" s="2"/>
      <c r="GW463" s="2"/>
      <c r="GX463" s="2"/>
      <c r="GY463" s="2"/>
      <c r="GZ463" s="2"/>
      <c r="HA463" s="2"/>
      <c r="HB463" s="2"/>
      <c r="HC463" s="2"/>
      <c r="HD463" s="2"/>
      <c r="HE463" s="2"/>
      <c r="HF463" s="2"/>
      <c r="HG463" s="2"/>
      <c r="HH463" s="2"/>
      <c r="HI463" s="2"/>
      <c r="HJ463" s="2"/>
      <c r="HK463" s="2"/>
      <c r="HL463" s="2"/>
      <c r="HM463" s="2"/>
      <c r="HN463" s="2"/>
      <c r="HO463" s="2"/>
      <c r="HP463" s="2"/>
      <c r="HQ463" s="2"/>
      <c r="HR463" s="2"/>
      <c r="HS463" s="2"/>
      <c r="HT463" s="2"/>
      <c r="HU463" s="2"/>
      <c r="HV463" s="2"/>
      <c r="HW463" s="2"/>
      <c r="HX463" s="2"/>
      <c r="HY463" s="2"/>
      <c r="HZ463" s="2"/>
      <c r="IA463" s="2"/>
      <c r="IB463" s="2"/>
      <c r="IC463" s="2"/>
    </row>
    <row r="464" spans="1:237" x14ac:dyDescent="0.2">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c r="AA464" s="2"/>
      <c r="AB464" s="2"/>
      <c r="AC464" s="2"/>
      <c r="AD464" s="2"/>
      <c r="AE464" s="2"/>
      <c r="AF464" s="2"/>
      <c r="AG464" s="2"/>
      <c r="AH464" s="2"/>
      <c r="AI464" s="2"/>
      <c r="AJ464" s="2"/>
      <c r="AK464" s="2"/>
      <c r="AL464" s="2"/>
      <c r="AM464" s="2"/>
      <c r="AN464" s="2"/>
      <c r="AO464" s="2"/>
      <c r="AP464" s="2"/>
      <c r="AQ464" s="2"/>
      <c r="AR464" s="2"/>
      <c r="AS464" s="2"/>
      <c r="AT464" s="2"/>
      <c r="AU464" s="2"/>
      <c r="AV464" s="2"/>
      <c r="AW464" s="2"/>
      <c r="AX464" s="2"/>
      <c r="AY464" s="2"/>
      <c r="AZ464" s="2"/>
      <c r="BA464" s="2"/>
      <c r="BB464" s="2"/>
      <c r="BC464" s="2"/>
      <c r="BD464" s="2"/>
      <c r="BE464" s="2"/>
      <c r="BF464" s="2"/>
      <c r="BG464" s="2"/>
      <c r="BH464" s="2"/>
      <c r="BI464" s="2"/>
      <c r="BJ464" s="2"/>
      <c r="BK464" s="2"/>
      <c r="BL464" s="2"/>
      <c r="BM464" s="2"/>
      <c r="BN464" s="2"/>
      <c r="BO464" s="2"/>
      <c r="BP464" s="2"/>
      <c r="BQ464" s="2"/>
      <c r="BR464" s="2"/>
      <c r="BS464" s="2"/>
      <c r="BT464" s="2"/>
      <c r="BU464" s="2"/>
      <c r="BV464" s="2"/>
      <c r="BW464" s="2"/>
      <c r="BX464" s="2"/>
      <c r="BY464" s="2"/>
      <c r="BZ464" s="2"/>
      <c r="CA464" s="2"/>
      <c r="CB464" s="2"/>
      <c r="CC464" s="2"/>
      <c r="CD464" s="2"/>
      <c r="CE464" s="2"/>
      <c r="CF464" s="2"/>
      <c r="CG464" s="2"/>
      <c r="CH464" s="2"/>
      <c r="CI464" s="2"/>
      <c r="CJ464" s="2"/>
      <c r="CK464" s="2"/>
      <c r="CL464" s="2"/>
      <c r="CM464" s="2"/>
      <c r="CN464" s="2"/>
      <c r="CO464" s="2"/>
      <c r="CP464" s="2"/>
      <c r="CQ464" s="2"/>
      <c r="CR464" s="2"/>
      <c r="CS464" s="2"/>
      <c r="CT464" s="2"/>
      <c r="CU464" s="2"/>
      <c r="CV464" s="2"/>
      <c r="CW464" s="2"/>
      <c r="CX464" s="2"/>
      <c r="CY464" s="2"/>
      <c r="CZ464" s="2"/>
      <c r="DA464" s="2"/>
      <c r="DB464" s="2"/>
      <c r="DC464" s="2"/>
      <c r="DD464" s="2"/>
      <c r="DE464" s="2"/>
      <c r="DF464" s="2"/>
      <c r="DG464" s="2"/>
      <c r="DH464" s="2"/>
      <c r="DI464" s="2"/>
      <c r="DJ464" s="2"/>
      <c r="DK464" s="2"/>
      <c r="DL464" s="2"/>
      <c r="DM464" s="2"/>
      <c r="DN464" s="2"/>
      <c r="DO464" s="2"/>
      <c r="DP464" s="2"/>
      <c r="DQ464" s="2"/>
      <c r="DR464" s="2"/>
      <c r="DS464" s="2"/>
      <c r="DT464" s="2"/>
      <c r="DU464" s="2"/>
      <c r="DV464" s="2"/>
      <c r="DW464" s="2"/>
      <c r="DX464" s="2"/>
      <c r="DY464" s="2"/>
      <c r="DZ464" s="2"/>
      <c r="EA464" s="2"/>
      <c r="EB464" s="2"/>
      <c r="EC464" s="2"/>
      <c r="ED464" s="2"/>
      <c r="EE464" s="2"/>
      <c r="EF464" s="2"/>
      <c r="EG464" s="2"/>
      <c r="EH464" s="2"/>
      <c r="EI464" s="2"/>
      <c r="EJ464" s="2"/>
      <c r="EK464" s="2"/>
      <c r="EL464" s="2"/>
      <c r="EM464" s="2"/>
      <c r="EN464" s="2"/>
      <c r="EO464" s="2"/>
      <c r="EP464" s="2"/>
      <c r="EQ464" s="2"/>
      <c r="ER464" s="2"/>
      <c r="ES464" s="2"/>
      <c r="ET464" s="2"/>
      <c r="EU464" s="2"/>
      <c r="EV464" s="2"/>
      <c r="EW464" s="2"/>
      <c r="EX464" s="2"/>
      <c r="EY464" s="2"/>
      <c r="EZ464" s="2"/>
      <c r="FA464" s="2"/>
      <c r="FB464" s="2"/>
      <c r="FC464" s="2"/>
      <c r="FD464" s="2"/>
      <c r="FE464" s="2"/>
      <c r="FF464" s="2"/>
      <c r="FG464" s="2"/>
      <c r="FH464" s="2"/>
      <c r="FI464" s="2"/>
      <c r="FJ464" s="2"/>
      <c r="FK464" s="2"/>
      <c r="FL464" s="2"/>
      <c r="FM464" s="2"/>
      <c r="FN464" s="2"/>
      <c r="FO464" s="2"/>
      <c r="FP464" s="2"/>
      <c r="FQ464" s="2"/>
      <c r="FR464" s="2"/>
      <c r="FS464" s="2"/>
      <c r="FT464" s="2"/>
      <c r="FU464" s="2"/>
      <c r="FV464" s="2"/>
      <c r="FW464" s="2"/>
      <c r="FX464" s="2"/>
      <c r="FY464" s="2"/>
      <c r="FZ464" s="2"/>
      <c r="GA464" s="2"/>
      <c r="GB464" s="2"/>
      <c r="GC464" s="2"/>
      <c r="GD464" s="2"/>
      <c r="GE464" s="2"/>
      <c r="GF464" s="2"/>
      <c r="GG464" s="2"/>
      <c r="GH464" s="2"/>
      <c r="GI464" s="2"/>
      <c r="GJ464" s="2"/>
      <c r="GK464" s="2"/>
      <c r="GL464" s="2"/>
      <c r="GM464" s="2"/>
      <c r="GN464" s="2"/>
      <c r="GO464" s="2"/>
      <c r="GP464" s="2"/>
      <c r="GQ464" s="2"/>
      <c r="GR464" s="2"/>
      <c r="GS464" s="2"/>
      <c r="GT464" s="2"/>
      <c r="GU464" s="2"/>
      <c r="GV464" s="2"/>
      <c r="GW464" s="2"/>
      <c r="GX464" s="2"/>
      <c r="GY464" s="2"/>
      <c r="GZ464" s="2"/>
      <c r="HA464" s="2"/>
      <c r="HB464" s="2"/>
      <c r="HC464" s="2"/>
      <c r="HD464" s="2"/>
      <c r="HE464" s="2"/>
      <c r="HF464" s="2"/>
      <c r="HG464" s="2"/>
      <c r="HH464" s="2"/>
      <c r="HI464" s="2"/>
      <c r="HJ464" s="2"/>
      <c r="HK464" s="2"/>
      <c r="HL464" s="2"/>
      <c r="HM464" s="2"/>
      <c r="HN464" s="2"/>
      <c r="HO464" s="2"/>
      <c r="HP464" s="2"/>
      <c r="HQ464" s="2"/>
      <c r="HR464" s="2"/>
      <c r="HS464" s="2"/>
      <c r="HT464" s="2"/>
      <c r="HU464" s="2"/>
      <c r="HV464" s="2"/>
      <c r="HW464" s="2"/>
      <c r="HX464" s="2"/>
      <c r="HY464" s="2"/>
      <c r="HZ464" s="2"/>
      <c r="IA464" s="2"/>
      <c r="IB464" s="2"/>
      <c r="IC464" s="2"/>
    </row>
    <row r="465" spans="1:237" x14ac:dyDescent="0.2">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c r="AA465" s="2"/>
      <c r="AB465" s="2"/>
      <c r="AC465" s="2"/>
      <c r="AD465" s="2"/>
      <c r="AE465" s="2"/>
      <c r="AF465" s="2"/>
      <c r="AG465" s="2"/>
      <c r="AH465" s="2"/>
      <c r="AI465" s="2"/>
      <c r="AJ465" s="2"/>
      <c r="AK465" s="2"/>
      <c r="AL465" s="2"/>
      <c r="AM465" s="2"/>
      <c r="AN465" s="2"/>
      <c r="AO465" s="2"/>
      <c r="AP465" s="2"/>
      <c r="AQ465" s="2"/>
      <c r="AR465" s="2"/>
      <c r="AS465" s="2"/>
      <c r="AT465" s="2"/>
      <c r="AU465" s="2"/>
      <c r="AV465" s="2"/>
      <c r="AW465" s="2"/>
      <c r="AX465" s="2"/>
      <c r="AY465" s="2"/>
      <c r="AZ465" s="2"/>
      <c r="BA465" s="2"/>
      <c r="BB465" s="2"/>
      <c r="BC465" s="2"/>
      <c r="BD465" s="2"/>
      <c r="BE465" s="2"/>
      <c r="BF465" s="2"/>
      <c r="BG465" s="2"/>
      <c r="BH465" s="2"/>
      <c r="BI465" s="2"/>
      <c r="BJ465" s="2"/>
      <c r="BK465" s="2"/>
      <c r="BL465" s="2"/>
      <c r="BM465" s="2"/>
      <c r="BN465" s="2"/>
      <c r="BO465" s="2"/>
      <c r="BP465" s="2"/>
      <c r="BQ465" s="2"/>
      <c r="BR465" s="2"/>
      <c r="BS465" s="2"/>
      <c r="BT465" s="2"/>
      <c r="BU465" s="2"/>
      <c r="BV465" s="2"/>
      <c r="BW465" s="2"/>
      <c r="BX465" s="2"/>
      <c r="BY465" s="2"/>
      <c r="BZ465" s="2"/>
      <c r="CA465" s="2"/>
      <c r="CB465" s="2"/>
      <c r="CC465" s="2"/>
      <c r="CD465" s="2"/>
      <c r="CE465" s="2"/>
      <c r="CF465" s="2"/>
      <c r="CG465" s="2"/>
      <c r="CH465" s="2"/>
      <c r="CI465" s="2"/>
      <c r="CJ465" s="2"/>
      <c r="CK465" s="2"/>
      <c r="CL465" s="2"/>
      <c r="CM465" s="2"/>
      <c r="CN465" s="2"/>
      <c r="CO465" s="2"/>
      <c r="CP465" s="2"/>
      <c r="CQ465" s="2"/>
      <c r="CR465" s="2"/>
      <c r="CS465" s="2"/>
      <c r="CT465" s="2"/>
      <c r="CU465" s="2"/>
      <c r="CV465" s="2"/>
      <c r="CW465" s="2"/>
      <c r="CX465" s="2"/>
      <c r="CY465" s="2"/>
      <c r="CZ465" s="2"/>
      <c r="DA465" s="2"/>
      <c r="DB465" s="2"/>
      <c r="DC465" s="2"/>
      <c r="DD465" s="2"/>
      <c r="DE465" s="2"/>
      <c r="DF465" s="2"/>
      <c r="DG465" s="2"/>
      <c r="DH465" s="2"/>
      <c r="DI465" s="2"/>
      <c r="DJ465" s="2"/>
      <c r="DK465" s="2"/>
      <c r="DL465" s="2"/>
      <c r="DM465" s="2"/>
      <c r="DN465" s="2"/>
      <c r="DO465" s="2"/>
      <c r="DP465" s="2"/>
      <c r="DQ465" s="2"/>
      <c r="DR465" s="2"/>
      <c r="DS465" s="2"/>
      <c r="DT465" s="2"/>
      <c r="DU465" s="2"/>
      <c r="DV465" s="2"/>
      <c r="DW465" s="2"/>
      <c r="DX465" s="2"/>
      <c r="DY465" s="2"/>
      <c r="DZ465" s="2"/>
      <c r="EA465" s="2"/>
      <c r="EB465" s="2"/>
      <c r="EC465" s="2"/>
      <c r="ED465" s="2"/>
      <c r="EE465" s="2"/>
      <c r="EF465" s="2"/>
      <c r="EG465" s="2"/>
      <c r="EH465" s="2"/>
      <c r="EI465" s="2"/>
      <c r="EJ465" s="2"/>
      <c r="EK465" s="2"/>
      <c r="EL465" s="2"/>
      <c r="EM465" s="2"/>
      <c r="EN465" s="2"/>
      <c r="EO465" s="2"/>
      <c r="EP465" s="2"/>
      <c r="EQ465" s="2"/>
      <c r="ER465" s="2"/>
      <c r="ES465" s="2"/>
      <c r="ET465" s="2"/>
      <c r="EU465" s="2"/>
      <c r="EV465" s="2"/>
      <c r="EW465" s="2"/>
      <c r="EX465" s="2"/>
      <c r="EY465" s="2"/>
      <c r="EZ465" s="2"/>
      <c r="FA465" s="2"/>
      <c r="FB465" s="2"/>
      <c r="FC465" s="2"/>
      <c r="FD465" s="2"/>
      <c r="FE465" s="2"/>
      <c r="FF465" s="2"/>
      <c r="FG465" s="2"/>
      <c r="FH465" s="2"/>
      <c r="FI465" s="2"/>
      <c r="FJ465" s="2"/>
      <c r="FK465" s="2"/>
      <c r="FL465" s="2"/>
      <c r="FM465" s="2"/>
      <c r="FN465" s="2"/>
      <c r="FO465" s="2"/>
      <c r="FP465" s="2"/>
      <c r="FQ465" s="2"/>
      <c r="FR465" s="2"/>
      <c r="FS465" s="2"/>
      <c r="FT465" s="2"/>
      <c r="FU465" s="2"/>
      <c r="FV465" s="2"/>
      <c r="FW465" s="2"/>
      <c r="FX465" s="2"/>
      <c r="FY465" s="2"/>
      <c r="FZ465" s="2"/>
      <c r="GA465" s="2"/>
      <c r="GB465" s="2"/>
      <c r="GC465" s="2"/>
      <c r="GD465" s="2"/>
      <c r="GE465" s="2"/>
      <c r="GF465" s="2"/>
      <c r="GG465" s="2"/>
      <c r="GH465" s="2"/>
      <c r="GI465" s="2"/>
      <c r="GJ465" s="2"/>
      <c r="GK465" s="2"/>
      <c r="GL465" s="2"/>
      <c r="GM465" s="2"/>
      <c r="GN465" s="2"/>
      <c r="GO465" s="2"/>
      <c r="GP465" s="2"/>
      <c r="GQ465" s="2"/>
      <c r="GR465" s="2"/>
      <c r="GS465" s="2"/>
      <c r="GT465" s="2"/>
      <c r="GU465" s="2"/>
      <c r="GV465" s="2"/>
      <c r="GW465" s="2"/>
      <c r="GX465" s="2"/>
      <c r="GY465" s="2"/>
      <c r="GZ465" s="2"/>
      <c r="HA465" s="2"/>
      <c r="HB465" s="2"/>
      <c r="HC465" s="2"/>
      <c r="HD465" s="2"/>
      <c r="HE465" s="2"/>
      <c r="HF465" s="2"/>
      <c r="HG465" s="2"/>
      <c r="HH465" s="2"/>
      <c r="HI465" s="2"/>
      <c r="HJ465" s="2"/>
      <c r="HK465" s="2"/>
      <c r="HL465" s="2"/>
      <c r="HM465" s="2"/>
      <c r="HN465" s="2"/>
      <c r="HO465" s="2"/>
      <c r="HP465" s="2"/>
      <c r="HQ465" s="2"/>
      <c r="HR465" s="2"/>
      <c r="HS465" s="2"/>
      <c r="HT465" s="2"/>
      <c r="HU465" s="2"/>
      <c r="HV465" s="2"/>
      <c r="HW465" s="2"/>
      <c r="HX465" s="2"/>
      <c r="HY465" s="2"/>
      <c r="HZ465" s="2"/>
      <c r="IA465" s="2"/>
      <c r="IB465" s="2"/>
      <c r="IC465" s="2"/>
    </row>
    <row r="466" spans="1:237" x14ac:dyDescent="0.2">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c r="AA466" s="2"/>
      <c r="AB466" s="2"/>
      <c r="AC466" s="2"/>
      <c r="AD466" s="2"/>
      <c r="AE466" s="2"/>
      <c r="AF466" s="2"/>
      <c r="AG466" s="2"/>
      <c r="AH466" s="2"/>
      <c r="AI466" s="2"/>
      <c r="AJ466" s="2"/>
      <c r="AK466" s="2"/>
      <c r="AL466" s="2"/>
      <c r="AM466" s="2"/>
      <c r="AN466" s="2"/>
      <c r="AO466" s="2"/>
      <c r="AP466" s="2"/>
      <c r="AQ466" s="2"/>
      <c r="AR466" s="2"/>
      <c r="AS466" s="2"/>
      <c r="AT466" s="2"/>
      <c r="AU466" s="2"/>
      <c r="AV466" s="2"/>
      <c r="AW466" s="2"/>
      <c r="AX466" s="2"/>
      <c r="AY466" s="2"/>
      <c r="AZ466" s="2"/>
      <c r="BA466" s="2"/>
      <c r="BB466" s="2"/>
      <c r="BC466" s="2"/>
      <c r="BD466" s="2"/>
      <c r="BE466" s="2"/>
      <c r="BF466" s="2"/>
      <c r="BG466" s="2"/>
      <c r="BH466" s="2"/>
      <c r="BI466" s="2"/>
      <c r="BJ466" s="2"/>
      <c r="BK466" s="2"/>
      <c r="BL466" s="2"/>
      <c r="BM466" s="2"/>
      <c r="BN466" s="2"/>
      <c r="BO466" s="2"/>
      <c r="BP466" s="2"/>
      <c r="BQ466" s="2"/>
      <c r="BR466" s="2"/>
      <c r="BS466" s="2"/>
      <c r="BT466" s="2"/>
      <c r="BU466" s="2"/>
      <c r="BV466" s="2"/>
      <c r="BW466" s="2"/>
      <c r="BX466" s="2"/>
      <c r="BY466" s="2"/>
      <c r="BZ466" s="2"/>
      <c r="CA466" s="2"/>
      <c r="CB466" s="2"/>
      <c r="CC466" s="2"/>
      <c r="CD466" s="2"/>
      <c r="CE466" s="2"/>
      <c r="CF466" s="2"/>
      <c r="CG466" s="2"/>
      <c r="CH466" s="2"/>
      <c r="CI466" s="2"/>
      <c r="CJ466" s="2"/>
      <c r="CK466" s="2"/>
      <c r="CL466" s="2"/>
      <c r="CM466" s="2"/>
      <c r="CN466" s="2"/>
      <c r="CO466" s="2"/>
      <c r="CP466" s="2"/>
      <c r="CQ466" s="2"/>
      <c r="CR466" s="2"/>
      <c r="CS466" s="2"/>
      <c r="CT466" s="2"/>
      <c r="CU466" s="2"/>
      <c r="CV466" s="2"/>
      <c r="CW466" s="2"/>
      <c r="CX466" s="2"/>
      <c r="CY466" s="2"/>
      <c r="CZ466" s="2"/>
      <c r="DA466" s="2"/>
      <c r="DB466" s="2"/>
      <c r="DC466" s="2"/>
      <c r="DD466" s="2"/>
      <c r="DE466" s="2"/>
      <c r="DF466" s="2"/>
      <c r="DG466" s="2"/>
      <c r="DH466" s="2"/>
      <c r="DI466" s="2"/>
      <c r="DJ466" s="2"/>
      <c r="DK466" s="2"/>
      <c r="DL466" s="2"/>
      <c r="DM466" s="2"/>
      <c r="DN466" s="2"/>
      <c r="DO466" s="2"/>
      <c r="DP466" s="2"/>
      <c r="DQ466" s="2"/>
      <c r="DR466" s="2"/>
      <c r="DS466" s="2"/>
      <c r="DT466" s="2"/>
      <c r="DU466" s="2"/>
      <c r="DV466" s="2"/>
      <c r="DW466" s="2"/>
      <c r="DX466" s="2"/>
      <c r="DY466" s="2"/>
      <c r="DZ466" s="2"/>
      <c r="EA466" s="2"/>
      <c r="EB466" s="2"/>
      <c r="EC466" s="2"/>
      <c r="ED466" s="2"/>
      <c r="EE466" s="2"/>
      <c r="EF466" s="2"/>
      <c r="EG466" s="2"/>
      <c r="EH466" s="2"/>
      <c r="EI466" s="2"/>
      <c r="EJ466" s="2"/>
      <c r="EK466" s="2"/>
      <c r="EL466" s="2"/>
      <c r="EM466" s="2"/>
      <c r="EN466" s="2"/>
      <c r="EO466" s="2"/>
      <c r="EP466" s="2"/>
      <c r="EQ466" s="2"/>
      <c r="ER466" s="2"/>
      <c r="ES466" s="2"/>
      <c r="ET466" s="2"/>
      <c r="EU466" s="2"/>
      <c r="EV466" s="2"/>
      <c r="EW466" s="2"/>
      <c r="EX466" s="2"/>
      <c r="EY466" s="2"/>
      <c r="EZ466" s="2"/>
      <c r="FA466" s="2"/>
      <c r="FB466" s="2"/>
      <c r="FC466" s="2"/>
      <c r="FD466" s="2"/>
      <c r="FE466" s="2"/>
      <c r="FF466" s="2"/>
      <c r="FG466" s="2"/>
      <c r="FH466" s="2"/>
      <c r="FI466" s="2"/>
      <c r="FJ466" s="2"/>
      <c r="FK466" s="2"/>
      <c r="FL466" s="2"/>
      <c r="FM466" s="2"/>
      <c r="FN466" s="2"/>
      <c r="FO466" s="2"/>
      <c r="FP466" s="2"/>
      <c r="FQ466" s="2"/>
      <c r="FR466" s="2"/>
      <c r="FS466" s="2"/>
      <c r="FT466" s="2"/>
      <c r="FU466" s="2"/>
      <c r="FV466" s="2"/>
      <c r="FW466" s="2"/>
      <c r="FX466" s="2"/>
      <c r="FY466" s="2"/>
      <c r="FZ466" s="2"/>
      <c r="GA466" s="2"/>
      <c r="GB466" s="2"/>
      <c r="GC466" s="2"/>
      <c r="GD466" s="2"/>
      <c r="GE466" s="2"/>
      <c r="GF466" s="2"/>
      <c r="GG466" s="2"/>
      <c r="GH466" s="2"/>
      <c r="GI466" s="2"/>
      <c r="GJ466" s="2"/>
      <c r="GK466" s="2"/>
      <c r="GL466" s="2"/>
      <c r="GM466" s="2"/>
      <c r="GN466" s="2"/>
      <c r="GO466" s="2"/>
      <c r="GP466" s="2"/>
      <c r="GQ466" s="2"/>
      <c r="GR466" s="2"/>
      <c r="GS466" s="2"/>
      <c r="GT466" s="2"/>
      <c r="GU466" s="2"/>
      <c r="GV466" s="2"/>
      <c r="GW466" s="2"/>
      <c r="GX466" s="2"/>
      <c r="GY466" s="2"/>
      <c r="GZ466" s="2"/>
      <c r="HA466" s="2"/>
      <c r="HB466" s="2"/>
      <c r="HC466" s="2"/>
      <c r="HD466" s="2"/>
      <c r="HE466" s="2"/>
      <c r="HF466" s="2"/>
      <c r="HG466" s="2"/>
      <c r="HH466" s="2"/>
      <c r="HI466" s="2"/>
      <c r="HJ466" s="2"/>
      <c r="HK466" s="2"/>
      <c r="HL466" s="2"/>
      <c r="HM466" s="2"/>
      <c r="HN466" s="2"/>
      <c r="HO466" s="2"/>
      <c r="HP466" s="2"/>
      <c r="HQ466" s="2"/>
      <c r="HR466" s="2"/>
      <c r="HS466" s="2"/>
      <c r="HT466" s="2"/>
      <c r="HU466" s="2"/>
      <c r="HV466" s="2"/>
      <c r="HW466" s="2"/>
      <c r="HX466" s="2"/>
      <c r="HY466" s="2"/>
      <c r="HZ466" s="2"/>
      <c r="IA466" s="2"/>
      <c r="IB466" s="2"/>
      <c r="IC466" s="2"/>
    </row>
    <row r="467" spans="1:237" x14ac:dyDescent="0.2">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c r="AA467" s="2"/>
      <c r="AB467" s="2"/>
      <c r="AC467" s="2"/>
      <c r="AD467" s="2"/>
      <c r="AE467" s="2"/>
      <c r="AF467" s="2"/>
      <c r="AG467" s="2"/>
      <c r="AH467" s="2"/>
      <c r="AI467" s="2"/>
      <c r="AJ467" s="2"/>
      <c r="AK467" s="2"/>
      <c r="AL467" s="2"/>
      <c r="AM467" s="2"/>
      <c r="AN467" s="2"/>
      <c r="AO467" s="2"/>
      <c r="AP467" s="2"/>
      <c r="AQ467" s="2"/>
      <c r="AR467" s="2"/>
      <c r="AS467" s="2"/>
      <c r="AT467" s="2"/>
      <c r="AU467" s="2"/>
      <c r="AV467" s="2"/>
      <c r="AW467" s="2"/>
      <c r="AX467" s="2"/>
      <c r="AY467" s="2"/>
      <c r="AZ467" s="2"/>
      <c r="BA467" s="2"/>
      <c r="BB467" s="2"/>
      <c r="BC467" s="2"/>
      <c r="BD467" s="2"/>
      <c r="BE467" s="2"/>
      <c r="BF467" s="2"/>
      <c r="BG467" s="2"/>
      <c r="BH467" s="2"/>
      <c r="BI467" s="2"/>
      <c r="BJ467" s="2"/>
      <c r="BK467" s="2"/>
      <c r="BL467" s="2"/>
      <c r="BM467" s="2"/>
      <c r="BN467" s="2"/>
      <c r="BO467" s="2"/>
      <c r="BP467" s="2"/>
      <c r="BQ467" s="2"/>
      <c r="BR467" s="2"/>
      <c r="BS467" s="2"/>
      <c r="BT467" s="2"/>
      <c r="BU467" s="2"/>
      <c r="BV467" s="2"/>
      <c r="BW467" s="2"/>
      <c r="BX467" s="2"/>
      <c r="BY467" s="2"/>
      <c r="BZ467" s="2"/>
      <c r="CA467" s="2"/>
      <c r="CB467" s="2"/>
      <c r="CC467" s="2"/>
      <c r="CD467" s="2"/>
      <c r="CE467" s="2"/>
      <c r="CF467" s="2"/>
      <c r="CG467" s="2"/>
      <c r="CH467" s="2"/>
      <c r="CI467" s="2"/>
      <c r="CJ467" s="2"/>
      <c r="CK467" s="2"/>
      <c r="CL467" s="2"/>
      <c r="CM467" s="2"/>
      <c r="CN467" s="2"/>
      <c r="CO467" s="2"/>
      <c r="CP467" s="2"/>
      <c r="CQ467" s="2"/>
      <c r="CR467" s="2"/>
      <c r="CS467" s="2"/>
      <c r="CT467" s="2"/>
      <c r="CU467" s="2"/>
      <c r="CV467" s="2"/>
      <c r="CW467" s="2"/>
      <c r="CX467" s="2"/>
      <c r="CY467" s="2"/>
      <c r="CZ467" s="2"/>
      <c r="DA467" s="2"/>
      <c r="DB467" s="2"/>
      <c r="DC467" s="2"/>
      <c r="DD467" s="2"/>
      <c r="DE467" s="2"/>
      <c r="DF467" s="2"/>
      <c r="DG467" s="2"/>
      <c r="DH467" s="2"/>
      <c r="DI467" s="2"/>
      <c r="DJ467" s="2"/>
      <c r="DK467" s="2"/>
      <c r="DL467" s="2"/>
      <c r="DM467" s="2"/>
      <c r="DN467" s="2"/>
      <c r="DO467" s="2"/>
      <c r="DP467" s="2"/>
      <c r="DQ467" s="2"/>
      <c r="DR467" s="2"/>
      <c r="DS467" s="2"/>
      <c r="DT467" s="2"/>
      <c r="DU467" s="2"/>
      <c r="DV467" s="2"/>
      <c r="DW467" s="2"/>
      <c r="DX467" s="2"/>
      <c r="DY467" s="2"/>
      <c r="DZ467" s="2"/>
      <c r="EA467" s="2"/>
      <c r="EB467" s="2"/>
      <c r="EC467" s="2"/>
      <c r="ED467" s="2"/>
      <c r="EE467" s="2"/>
      <c r="EF467" s="2"/>
      <c r="EG467" s="2"/>
      <c r="EH467" s="2"/>
      <c r="EI467" s="2"/>
      <c r="EJ467" s="2"/>
      <c r="EK467" s="2"/>
      <c r="EL467" s="2"/>
      <c r="EM467" s="2"/>
      <c r="EN467" s="2"/>
      <c r="EO467" s="2"/>
      <c r="EP467" s="2"/>
      <c r="EQ467" s="2"/>
      <c r="ER467" s="2"/>
      <c r="ES467" s="2"/>
      <c r="ET467" s="2"/>
      <c r="EU467" s="2"/>
      <c r="EV467" s="2"/>
      <c r="EW467" s="2"/>
      <c r="EX467" s="2"/>
      <c r="EY467" s="2"/>
      <c r="EZ467" s="2"/>
      <c r="FA467" s="2"/>
      <c r="FB467" s="2"/>
      <c r="FC467" s="2"/>
      <c r="FD467" s="2"/>
      <c r="FE467" s="2"/>
      <c r="FF467" s="2"/>
      <c r="FG467" s="2"/>
      <c r="FH467" s="2"/>
      <c r="FI467" s="2"/>
      <c r="FJ467" s="2"/>
      <c r="FK467" s="2"/>
      <c r="FL467" s="2"/>
      <c r="FM467" s="2"/>
      <c r="FN467" s="2"/>
      <c r="FO467" s="2"/>
      <c r="FP467" s="2"/>
      <c r="FQ467" s="2"/>
      <c r="FR467" s="2"/>
      <c r="FS467" s="2"/>
      <c r="FT467" s="2"/>
      <c r="FU467" s="2"/>
      <c r="FV467" s="2"/>
      <c r="FW467" s="2"/>
      <c r="FX467" s="2"/>
      <c r="FY467" s="2"/>
      <c r="FZ467" s="2"/>
      <c r="GA467" s="2"/>
      <c r="GB467" s="2"/>
      <c r="GC467" s="2"/>
      <c r="GD467" s="2"/>
      <c r="GE467" s="2"/>
      <c r="GF467" s="2"/>
      <c r="GG467" s="2"/>
      <c r="GH467" s="2"/>
      <c r="GI467" s="2"/>
      <c r="GJ467" s="2"/>
      <c r="GK467" s="2"/>
      <c r="GL467" s="2"/>
      <c r="GM467" s="2"/>
      <c r="GN467" s="2"/>
      <c r="GO467" s="2"/>
      <c r="GP467" s="2"/>
      <c r="GQ467" s="2"/>
      <c r="GR467" s="2"/>
      <c r="GS467" s="2"/>
      <c r="GT467" s="2"/>
      <c r="GU467" s="2"/>
      <c r="GV467" s="2"/>
      <c r="GW467" s="2"/>
      <c r="GX467" s="2"/>
      <c r="GY467" s="2"/>
      <c r="GZ467" s="2"/>
      <c r="HA467" s="2"/>
      <c r="HB467" s="2"/>
      <c r="HC467" s="2"/>
      <c r="HD467" s="2"/>
      <c r="HE467" s="2"/>
      <c r="HF467" s="2"/>
      <c r="HG467" s="2"/>
      <c r="HH467" s="2"/>
      <c r="HI467" s="2"/>
      <c r="HJ467" s="2"/>
      <c r="HK467" s="2"/>
      <c r="HL467" s="2"/>
      <c r="HM467" s="2"/>
      <c r="HN467" s="2"/>
      <c r="HO467" s="2"/>
      <c r="HP467" s="2"/>
      <c r="HQ467" s="2"/>
      <c r="HR467" s="2"/>
      <c r="HS467" s="2"/>
      <c r="HT467" s="2"/>
      <c r="HU467" s="2"/>
      <c r="HV467" s="2"/>
      <c r="HW467" s="2"/>
      <c r="HX467" s="2"/>
      <c r="HY467" s="2"/>
      <c r="HZ467" s="2"/>
      <c r="IA467" s="2"/>
      <c r="IB467" s="2"/>
      <c r="IC467" s="2"/>
    </row>
    <row r="468" spans="1:237" x14ac:dyDescent="0.2">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c r="AA468" s="2"/>
      <c r="AB468" s="2"/>
      <c r="AC468" s="2"/>
      <c r="AD468" s="2"/>
      <c r="AE468" s="2"/>
      <c r="AF468" s="2"/>
      <c r="AG468" s="2"/>
      <c r="AH468" s="2"/>
      <c r="AI468" s="2"/>
      <c r="AJ468" s="2"/>
      <c r="AK468" s="2"/>
      <c r="AL468" s="2"/>
      <c r="AM468" s="2"/>
      <c r="AN468" s="2"/>
      <c r="AO468" s="2"/>
      <c r="AP468" s="2"/>
      <c r="AQ468" s="2"/>
      <c r="AR468" s="2"/>
      <c r="AS468" s="2"/>
      <c r="AT468" s="2"/>
      <c r="AU468" s="2"/>
      <c r="AV468" s="2"/>
      <c r="AW468" s="2"/>
      <c r="AX468" s="2"/>
      <c r="AY468" s="2"/>
      <c r="AZ468" s="2"/>
      <c r="BA468" s="2"/>
      <c r="BB468" s="2"/>
      <c r="BC468" s="2"/>
      <c r="BD468" s="2"/>
      <c r="BE468" s="2"/>
      <c r="BF468" s="2"/>
      <c r="BG468" s="2"/>
      <c r="BH468" s="2"/>
      <c r="BI468" s="2"/>
      <c r="BJ468" s="2"/>
      <c r="BK468" s="2"/>
      <c r="BL468" s="2"/>
      <c r="BM468" s="2"/>
      <c r="BN468" s="2"/>
      <c r="BO468" s="2"/>
      <c r="BP468" s="2"/>
      <c r="BQ468" s="2"/>
      <c r="BR468" s="2"/>
      <c r="BS468" s="2"/>
      <c r="BT468" s="2"/>
      <c r="BU468" s="2"/>
      <c r="BV468" s="2"/>
      <c r="BW468" s="2"/>
      <c r="BX468" s="2"/>
      <c r="BY468" s="2"/>
      <c r="BZ468" s="2"/>
      <c r="CA468" s="2"/>
      <c r="CB468" s="2"/>
      <c r="CC468" s="2"/>
      <c r="CD468" s="2"/>
      <c r="CE468" s="2"/>
      <c r="CF468" s="2"/>
      <c r="CG468" s="2"/>
      <c r="CH468" s="2"/>
      <c r="CI468" s="2"/>
      <c r="CJ468" s="2"/>
      <c r="CK468" s="2"/>
      <c r="CL468" s="2"/>
      <c r="CM468" s="2"/>
      <c r="CN468" s="2"/>
      <c r="CO468" s="2"/>
      <c r="CP468" s="2"/>
      <c r="CQ468" s="2"/>
      <c r="CR468" s="2"/>
      <c r="CS468" s="2"/>
      <c r="CT468" s="2"/>
      <c r="CU468" s="2"/>
      <c r="CV468" s="2"/>
      <c r="CW468" s="2"/>
      <c r="CX468" s="2"/>
      <c r="CY468" s="2"/>
      <c r="CZ468" s="2"/>
      <c r="DA468" s="2"/>
      <c r="DB468" s="2"/>
      <c r="DC468" s="2"/>
      <c r="DD468" s="2"/>
      <c r="DE468" s="2"/>
      <c r="DF468" s="2"/>
      <c r="DG468" s="2"/>
      <c r="DH468" s="2"/>
      <c r="DI468" s="2"/>
      <c r="DJ468" s="2"/>
      <c r="DK468" s="2"/>
      <c r="DL468" s="2"/>
      <c r="DM468" s="2"/>
      <c r="DN468" s="2"/>
      <c r="DO468" s="2"/>
      <c r="DP468" s="2"/>
      <c r="DQ468" s="2"/>
      <c r="DR468" s="2"/>
      <c r="DS468" s="2"/>
      <c r="DT468" s="2"/>
      <c r="DU468" s="2"/>
      <c r="DV468" s="2"/>
      <c r="DW468" s="2"/>
      <c r="DX468" s="2"/>
      <c r="DY468" s="2"/>
      <c r="DZ468" s="2"/>
      <c r="EA468" s="2"/>
      <c r="EB468" s="2"/>
      <c r="EC468" s="2"/>
      <c r="ED468" s="2"/>
      <c r="EE468" s="2"/>
      <c r="EF468" s="2"/>
      <c r="EG468" s="2"/>
      <c r="EH468" s="2"/>
      <c r="EI468" s="2"/>
      <c r="EJ468" s="2"/>
      <c r="EK468" s="2"/>
      <c r="EL468" s="2"/>
      <c r="EM468" s="2"/>
      <c r="EN468" s="2"/>
      <c r="EO468" s="2"/>
      <c r="EP468" s="2"/>
      <c r="EQ468" s="2"/>
      <c r="ER468" s="2"/>
      <c r="ES468" s="2"/>
      <c r="ET468" s="2"/>
      <c r="EU468" s="2"/>
      <c r="EV468" s="2"/>
      <c r="EW468" s="2"/>
      <c r="EX468" s="2"/>
      <c r="EY468" s="2"/>
      <c r="EZ468" s="2"/>
      <c r="FA468" s="2"/>
      <c r="FB468" s="2"/>
      <c r="FC468" s="2"/>
      <c r="FD468" s="2"/>
      <c r="FE468" s="2"/>
      <c r="FF468" s="2"/>
      <c r="FG468" s="2"/>
      <c r="FH468" s="2"/>
      <c r="FI468" s="2"/>
      <c r="FJ468" s="2"/>
      <c r="FK468" s="2"/>
      <c r="FL468" s="2"/>
      <c r="FM468" s="2"/>
      <c r="FN468" s="2"/>
      <c r="FO468" s="2"/>
      <c r="FP468" s="2"/>
      <c r="FQ468" s="2"/>
      <c r="FR468" s="2"/>
      <c r="FS468" s="2"/>
      <c r="FT468" s="2"/>
      <c r="FU468" s="2"/>
      <c r="FV468" s="2"/>
      <c r="FW468" s="2"/>
      <c r="FX468" s="2"/>
      <c r="FY468" s="2"/>
      <c r="FZ468" s="2"/>
      <c r="GA468" s="2"/>
      <c r="GB468" s="2"/>
      <c r="GC468" s="2"/>
      <c r="GD468" s="2"/>
      <c r="GE468" s="2"/>
      <c r="GF468" s="2"/>
      <c r="GG468" s="2"/>
      <c r="GH468" s="2"/>
      <c r="GI468" s="2"/>
      <c r="GJ468" s="2"/>
      <c r="GK468" s="2"/>
      <c r="GL468" s="2"/>
      <c r="GM468" s="2"/>
      <c r="GN468" s="2"/>
      <c r="GO468" s="2"/>
      <c r="GP468" s="2"/>
      <c r="GQ468" s="2"/>
      <c r="GR468" s="2"/>
      <c r="GS468" s="2"/>
      <c r="GT468" s="2"/>
      <c r="GU468" s="2"/>
      <c r="GV468" s="2"/>
      <c r="GW468" s="2"/>
      <c r="GX468" s="2"/>
      <c r="GY468" s="2"/>
      <c r="GZ468" s="2"/>
      <c r="HA468" s="2"/>
      <c r="HB468" s="2"/>
      <c r="HC468" s="2"/>
      <c r="HD468" s="2"/>
      <c r="HE468" s="2"/>
      <c r="HF468" s="2"/>
      <c r="HG468" s="2"/>
      <c r="HH468" s="2"/>
      <c r="HI468" s="2"/>
      <c r="HJ468" s="2"/>
      <c r="HK468" s="2"/>
      <c r="HL468" s="2"/>
      <c r="HM468" s="2"/>
      <c r="HN468" s="2"/>
      <c r="HO468" s="2"/>
      <c r="HP468" s="2"/>
      <c r="HQ468" s="2"/>
      <c r="HR468" s="2"/>
      <c r="HS468" s="2"/>
      <c r="HT468" s="2"/>
      <c r="HU468" s="2"/>
      <c r="HV468" s="2"/>
      <c r="HW468" s="2"/>
      <c r="HX468" s="2"/>
      <c r="HY468" s="2"/>
      <c r="HZ468" s="2"/>
      <c r="IA468" s="2"/>
      <c r="IB468" s="2"/>
      <c r="IC468" s="2"/>
    </row>
    <row r="469" spans="1:237" x14ac:dyDescent="0.2">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c r="AA469" s="2"/>
      <c r="AB469" s="2"/>
      <c r="AC469" s="2"/>
      <c r="AD469" s="2"/>
      <c r="AE469" s="2"/>
      <c r="AF469" s="2"/>
      <c r="AG469" s="2"/>
      <c r="AH469" s="2"/>
      <c r="AI469" s="2"/>
      <c r="AJ469" s="2"/>
      <c r="AK469" s="2"/>
      <c r="AL469" s="2"/>
      <c r="AM469" s="2"/>
      <c r="AN469" s="2"/>
      <c r="AO469" s="2"/>
      <c r="AP469" s="2"/>
      <c r="AQ469" s="2"/>
      <c r="AR469" s="2"/>
      <c r="AS469" s="2"/>
      <c r="AT469" s="2"/>
      <c r="AU469" s="2"/>
      <c r="AV469" s="2"/>
      <c r="AW469" s="2"/>
      <c r="AX469" s="2"/>
      <c r="AY469" s="2"/>
      <c r="AZ469" s="2"/>
      <c r="BA469" s="2"/>
      <c r="BB469" s="2"/>
      <c r="BC469" s="2"/>
      <c r="BD469" s="2"/>
      <c r="BE469" s="2"/>
      <c r="BF469" s="2"/>
      <c r="BG469" s="2"/>
      <c r="BH469" s="2"/>
      <c r="BI469" s="2"/>
      <c r="BJ469" s="2"/>
      <c r="BK469" s="2"/>
      <c r="BL469" s="2"/>
      <c r="BM469" s="2"/>
      <c r="BN469" s="2"/>
      <c r="BO469" s="2"/>
      <c r="BP469" s="2"/>
      <c r="BQ469" s="2"/>
      <c r="BR469" s="2"/>
      <c r="BS469" s="2"/>
      <c r="BT469" s="2"/>
      <c r="BU469" s="2"/>
      <c r="BV469" s="2"/>
      <c r="BW469" s="2"/>
      <c r="BX469" s="2"/>
      <c r="BY469" s="2"/>
      <c r="BZ469" s="2"/>
      <c r="CA469" s="2"/>
      <c r="CB469" s="2"/>
      <c r="CC469" s="2"/>
      <c r="CD469" s="2"/>
      <c r="CE469" s="2"/>
      <c r="CF469" s="2"/>
      <c r="CG469" s="2"/>
      <c r="CH469" s="2"/>
      <c r="CI469" s="2"/>
      <c r="CJ469" s="2"/>
      <c r="CK469" s="2"/>
      <c r="CL469" s="2"/>
      <c r="CM469" s="2"/>
      <c r="CN469" s="2"/>
      <c r="CO469" s="2"/>
      <c r="CP469" s="2"/>
      <c r="CQ469" s="2"/>
      <c r="CR469" s="2"/>
      <c r="CS469" s="2"/>
      <c r="CT469" s="2"/>
      <c r="CU469" s="2"/>
      <c r="CV469" s="2"/>
      <c r="CW469" s="2"/>
      <c r="CX469" s="2"/>
      <c r="CY469" s="2"/>
      <c r="CZ469" s="2"/>
      <c r="DA469" s="2"/>
      <c r="DB469" s="2"/>
      <c r="DC469" s="2"/>
      <c r="DD469" s="2"/>
      <c r="DE469" s="2"/>
      <c r="DF469" s="2"/>
      <c r="DG469" s="2"/>
      <c r="DH469" s="2"/>
      <c r="DI469" s="2"/>
      <c r="DJ469" s="2"/>
      <c r="DK469" s="2"/>
      <c r="DL469" s="2"/>
      <c r="DM469" s="2"/>
      <c r="DN469" s="2"/>
      <c r="DO469" s="2"/>
      <c r="DP469" s="2"/>
      <c r="DQ469" s="2"/>
      <c r="DR469" s="2"/>
      <c r="DS469" s="2"/>
      <c r="DT469" s="2"/>
      <c r="DU469" s="2"/>
      <c r="DV469" s="2"/>
      <c r="DW469" s="2"/>
      <c r="DX469" s="2"/>
      <c r="DY469" s="2"/>
      <c r="DZ469" s="2"/>
      <c r="EA469" s="2"/>
      <c r="EB469" s="2"/>
      <c r="EC469" s="2"/>
      <c r="ED469" s="2"/>
      <c r="EE469" s="2"/>
      <c r="EF469" s="2"/>
      <c r="EG469" s="2"/>
      <c r="EH469" s="2"/>
      <c r="EI469" s="2"/>
      <c r="EJ469" s="2"/>
      <c r="EK469" s="2"/>
      <c r="EL469" s="2"/>
      <c r="EM469" s="2"/>
      <c r="EN469" s="2"/>
      <c r="EO469" s="2"/>
      <c r="EP469" s="2"/>
      <c r="EQ469" s="2"/>
      <c r="ER469" s="2"/>
      <c r="ES469" s="2"/>
      <c r="ET469" s="2"/>
      <c r="EU469" s="2"/>
      <c r="EV469" s="2"/>
      <c r="EW469" s="2"/>
      <c r="EX469" s="2"/>
      <c r="EY469" s="2"/>
      <c r="EZ469" s="2"/>
      <c r="FA469" s="2"/>
      <c r="FB469" s="2"/>
      <c r="FC469" s="2"/>
      <c r="FD469" s="2"/>
      <c r="FE469" s="2"/>
      <c r="FF469" s="2"/>
      <c r="FG469" s="2"/>
      <c r="FH469" s="2"/>
      <c r="FI469" s="2"/>
      <c r="FJ469" s="2"/>
      <c r="FK469" s="2"/>
      <c r="FL469" s="2"/>
      <c r="FM469" s="2"/>
      <c r="FN469" s="2"/>
      <c r="FO469" s="2"/>
      <c r="FP469" s="2"/>
      <c r="FQ469" s="2"/>
      <c r="FR469" s="2"/>
      <c r="FS469" s="2"/>
      <c r="FT469" s="2"/>
      <c r="FU469" s="2"/>
      <c r="FV469" s="2"/>
      <c r="FW469" s="2"/>
      <c r="FX469" s="2"/>
      <c r="FY469" s="2"/>
      <c r="FZ469" s="2"/>
      <c r="GA469" s="2"/>
      <c r="GB469" s="2"/>
      <c r="GC469" s="2"/>
      <c r="GD469" s="2"/>
      <c r="GE469" s="2"/>
      <c r="GF469" s="2"/>
      <c r="GG469" s="2"/>
      <c r="GH469" s="2"/>
      <c r="GI469" s="2"/>
      <c r="GJ469" s="2"/>
      <c r="GK469" s="2"/>
      <c r="GL469" s="2"/>
      <c r="GM469" s="2"/>
      <c r="GN469" s="2"/>
      <c r="GO469" s="2"/>
      <c r="GP469" s="2"/>
      <c r="GQ469" s="2"/>
      <c r="GR469" s="2"/>
      <c r="GS469" s="2"/>
      <c r="GT469" s="2"/>
      <c r="GU469" s="2"/>
      <c r="GV469" s="2"/>
      <c r="GW469" s="2"/>
      <c r="GX469" s="2"/>
      <c r="GY469" s="2"/>
      <c r="GZ469" s="2"/>
      <c r="HA469" s="2"/>
      <c r="HB469" s="2"/>
      <c r="HC469" s="2"/>
      <c r="HD469" s="2"/>
      <c r="HE469" s="2"/>
      <c r="HF469" s="2"/>
      <c r="HG469" s="2"/>
      <c r="HH469" s="2"/>
      <c r="HI469" s="2"/>
      <c r="HJ469" s="2"/>
      <c r="HK469" s="2"/>
      <c r="HL469" s="2"/>
      <c r="HM469" s="2"/>
      <c r="HN469" s="2"/>
      <c r="HO469" s="2"/>
      <c r="HP469" s="2"/>
      <c r="HQ469" s="2"/>
      <c r="HR469" s="2"/>
      <c r="HS469" s="2"/>
      <c r="HT469" s="2"/>
      <c r="HU469" s="2"/>
      <c r="HV469" s="2"/>
      <c r="HW469" s="2"/>
      <c r="HX469" s="2"/>
      <c r="HY469" s="2"/>
      <c r="HZ469" s="2"/>
      <c r="IA469" s="2"/>
      <c r="IB469" s="2"/>
      <c r="IC469" s="2"/>
    </row>
    <row r="470" spans="1:237" x14ac:dyDescent="0.2">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c r="AA470" s="2"/>
      <c r="AB470" s="2"/>
      <c r="AC470" s="2"/>
      <c r="AD470" s="2"/>
      <c r="AE470" s="2"/>
      <c r="AF470" s="2"/>
      <c r="AG470" s="2"/>
      <c r="AH470" s="2"/>
      <c r="AI470" s="2"/>
      <c r="AJ470" s="2"/>
      <c r="AK470" s="2"/>
      <c r="AL470" s="2"/>
      <c r="AM470" s="2"/>
      <c r="AN470" s="2"/>
      <c r="AO470" s="2"/>
      <c r="AP470" s="2"/>
      <c r="AQ470" s="2"/>
      <c r="AR470" s="2"/>
      <c r="AS470" s="2"/>
      <c r="AT470" s="2"/>
      <c r="AU470" s="2"/>
      <c r="AV470" s="2"/>
      <c r="AW470" s="2"/>
      <c r="AX470" s="2"/>
      <c r="AY470" s="2"/>
      <c r="AZ470" s="2"/>
      <c r="BA470" s="2"/>
      <c r="BB470" s="2"/>
      <c r="BC470" s="2"/>
      <c r="BD470" s="2"/>
      <c r="BE470" s="2"/>
      <c r="BF470" s="2"/>
      <c r="BG470" s="2"/>
      <c r="BH470" s="2"/>
      <c r="BI470" s="2"/>
      <c r="BJ470" s="2"/>
      <c r="BK470" s="2"/>
      <c r="BL470" s="2"/>
      <c r="BM470" s="2"/>
      <c r="BN470" s="2"/>
      <c r="BO470" s="2"/>
      <c r="BP470" s="2"/>
      <c r="BQ470" s="2"/>
      <c r="BR470" s="2"/>
      <c r="BS470" s="2"/>
      <c r="BT470" s="2"/>
      <c r="BU470" s="2"/>
      <c r="BV470" s="2"/>
      <c r="BW470" s="2"/>
      <c r="BX470" s="2"/>
      <c r="BY470" s="2"/>
      <c r="BZ470" s="2"/>
      <c r="CA470" s="2"/>
      <c r="CB470" s="2"/>
      <c r="CC470" s="2"/>
      <c r="CD470" s="2"/>
      <c r="CE470" s="2"/>
      <c r="CF470" s="2"/>
      <c r="CG470" s="2"/>
      <c r="CH470" s="2"/>
      <c r="CI470" s="2"/>
      <c r="CJ470" s="2"/>
      <c r="CK470" s="2"/>
      <c r="CL470" s="2"/>
      <c r="CM470" s="2"/>
      <c r="CN470" s="2"/>
      <c r="CO470" s="2"/>
      <c r="CP470" s="2"/>
      <c r="CQ470" s="2"/>
      <c r="CR470" s="2"/>
      <c r="CS470" s="2"/>
      <c r="CT470" s="2"/>
      <c r="CU470" s="2"/>
      <c r="CV470" s="2"/>
      <c r="CW470" s="2"/>
      <c r="CX470" s="2"/>
      <c r="CY470" s="2"/>
      <c r="CZ470" s="2"/>
      <c r="DA470" s="2"/>
      <c r="DB470" s="2"/>
      <c r="DC470" s="2"/>
      <c r="DD470" s="2"/>
      <c r="DE470" s="2"/>
      <c r="DF470" s="2"/>
      <c r="DG470" s="2"/>
      <c r="DH470" s="2"/>
      <c r="DI470" s="2"/>
      <c r="DJ470" s="2"/>
      <c r="DK470" s="2"/>
      <c r="DL470" s="2"/>
      <c r="DM470" s="2"/>
      <c r="DN470" s="2"/>
      <c r="DO470" s="2"/>
      <c r="DP470" s="2"/>
      <c r="DQ470" s="2"/>
      <c r="DR470" s="2"/>
      <c r="DS470" s="2"/>
      <c r="DT470" s="2"/>
      <c r="DU470" s="2"/>
      <c r="DV470" s="2"/>
      <c r="DW470" s="2"/>
      <c r="DX470" s="2"/>
      <c r="DY470" s="2"/>
      <c r="DZ470" s="2"/>
      <c r="EA470" s="2"/>
      <c r="EB470" s="2"/>
      <c r="EC470" s="2"/>
      <c r="ED470" s="2"/>
      <c r="EE470" s="2"/>
      <c r="EF470" s="2"/>
      <c r="EG470" s="2"/>
      <c r="EH470" s="2"/>
      <c r="EI470" s="2"/>
      <c r="EJ470" s="2"/>
      <c r="EK470" s="2"/>
      <c r="EL470" s="2"/>
      <c r="EM470" s="2"/>
      <c r="EN470" s="2"/>
      <c r="EO470" s="2"/>
      <c r="EP470" s="2"/>
      <c r="EQ470" s="2"/>
      <c r="ER470" s="2"/>
      <c r="ES470" s="2"/>
      <c r="ET470" s="2"/>
      <c r="EU470" s="2"/>
      <c r="EV470" s="2"/>
      <c r="EW470" s="2"/>
      <c r="EX470" s="2"/>
      <c r="EY470" s="2"/>
      <c r="EZ470" s="2"/>
      <c r="FA470" s="2"/>
      <c r="FB470" s="2"/>
      <c r="FC470" s="2"/>
      <c r="FD470" s="2"/>
      <c r="FE470" s="2"/>
      <c r="FF470" s="2"/>
      <c r="FG470" s="2"/>
      <c r="FH470" s="2"/>
      <c r="FI470" s="2"/>
      <c r="FJ470" s="2"/>
      <c r="FK470" s="2"/>
      <c r="FL470" s="2"/>
      <c r="FM470" s="2"/>
      <c r="FN470" s="2"/>
      <c r="FO470" s="2"/>
      <c r="FP470" s="2"/>
      <c r="FQ470" s="2"/>
      <c r="FR470" s="2"/>
      <c r="FS470" s="2"/>
      <c r="FT470" s="2"/>
      <c r="FU470" s="2"/>
      <c r="FV470" s="2"/>
      <c r="FW470" s="2"/>
      <c r="FX470" s="2"/>
      <c r="FY470" s="2"/>
      <c r="FZ470" s="2"/>
      <c r="GA470" s="2"/>
      <c r="GB470" s="2"/>
      <c r="GC470" s="2"/>
      <c r="GD470" s="2"/>
      <c r="GE470" s="2"/>
      <c r="GF470" s="2"/>
      <c r="GG470" s="2"/>
      <c r="GH470" s="2"/>
      <c r="GI470" s="2"/>
      <c r="GJ470" s="2"/>
      <c r="GK470" s="2"/>
      <c r="GL470" s="2"/>
      <c r="GM470" s="2"/>
      <c r="GN470" s="2"/>
      <c r="GO470" s="2"/>
      <c r="GP470" s="2"/>
      <c r="GQ470" s="2"/>
      <c r="GR470" s="2"/>
      <c r="GS470" s="2"/>
      <c r="GT470" s="2"/>
      <c r="GU470" s="2"/>
      <c r="GV470" s="2"/>
      <c r="GW470" s="2"/>
      <c r="GX470" s="2"/>
      <c r="GY470" s="2"/>
      <c r="GZ470" s="2"/>
      <c r="HA470" s="2"/>
      <c r="HB470" s="2"/>
      <c r="HC470" s="2"/>
      <c r="HD470" s="2"/>
      <c r="HE470" s="2"/>
      <c r="HF470" s="2"/>
      <c r="HG470" s="2"/>
      <c r="HH470" s="2"/>
      <c r="HI470" s="2"/>
      <c r="HJ470" s="2"/>
      <c r="HK470" s="2"/>
      <c r="HL470" s="2"/>
      <c r="HM470" s="2"/>
      <c r="HN470" s="2"/>
      <c r="HO470" s="2"/>
      <c r="HP470" s="2"/>
      <c r="HQ470" s="2"/>
      <c r="HR470" s="2"/>
      <c r="HS470" s="2"/>
      <c r="HT470" s="2"/>
      <c r="HU470" s="2"/>
      <c r="HV470" s="2"/>
      <c r="HW470" s="2"/>
      <c r="HX470" s="2"/>
      <c r="HY470" s="2"/>
      <c r="HZ470" s="2"/>
      <c r="IA470" s="2"/>
      <c r="IB470" s="2"/>
      <c r="IC470" s="2"/>
    </row>
    <row r="471" spans="1:237" x14ac:dyDescent="0.2">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c r="AA471" s="2"/>
      <c r="AB471" s="2"/>
      <c r="AC471" s="2"/>
      <c r="AD471" s="2"/>
      <c r="AE471" s="2"/>
      <c r="AF471" s="2"/>
      <c r="AG471" s="2"/>
      <c r="AH471" s="2"/>
      <c r="AI471" s="2"/>
      <c r="AJ471" s="2"/>
      <c r="AK471" s="2"/>
      <c r="AL471" s="2"/>
      <c r="AM471" s="2"/>
      <c r="AN471" s="2"/>
      <c r="AO471" s="2"/>
      <c r="AP471" s="2"/>
      <c r="AQ471" s="2"/>
      <c r="AR471" s="2"/>
      <c r="AS471" s="2"/>
      <c r="AT471" s="2"/>
      <c r="AU471" s="2"/>
      <c r="AV471" s="2"/>
      <c r="AW471" s="2"/>
      <c r="AX471" s="2"/>
      <c r="AY471" s="2"/>
      <c r="AZ471" s="2"/>
      <c r="BA471" s="2"/>
      <c r="BB471" s="2"/>
      <c r="BC471" s="2"/>
      <c r="BD471" s="2"/>
      <c r="BE471" s="2"/>
      <c r="BF471" s="2"/>
      <c r="BG471" s="2"/>
      <c r="BH471" s="2"/>
      <c r="BI471" s="2"/>
      <c r="BJ471" s="2"/>
      <c r="BK471" s="2"/>
      <c r="BL471" s="2"/>
      <c r="BM471" s="2"/>
      <c r="BN471" s="2"/>
      <c r="BO471" s="2"/>
      <c r="BP471" s="2"/>
      <c r="BQ471" s="2"/>
      <c r="BR471" s="2"/>
      <c r="BS471" s="2"/>
      <c r="BT471" s="2"/>
      <c r="BU471" s="2"/>
      <c r="BV471" s="2"/>
      <c r="BW471" s="2"/>
      <c r="BX471" s="2"/>
      <c r="BY471" s="2"/>
      <c r="BZ471" s="2"/>
      <c r="CA471" s="2"/>
      <c r="CB471" s="2"/>
      <c r="CC471" s="2"/>
      <c r="CD471" s="2"/>
      <c r="CE471" s="2"/>
      <c r="CF471" s="2"/>
      <c r="CG471" s="2"/>
      <c r="CH471" s="2"/>
      <c r="CI471" s="2"/>
      <c r="CJ471" s="2"/>
      <c r="CK471" s="2"/>
      <c r="CL471" s="2"/>
      <c r="CM471" s="2"/>
      <c r="CN471" s="2"/>
      <c r="CO471" s="2"/>
      <c r="CP471" s="2"/>
      <c r="CQ471" s="2"/>
      <c r="CR471" s="2"/>
      <c r="CS471" s="2"/>
      <c r="CT471" s="2"/>
      <c r="CU471" s="2"/>
      <c r="CV471" s="2"/>
      <c r="CW471" s="2"/>
      <c r="CX471" s="2"/>
      <c r="CY471" s="2"/>
      <c r="CZ471" s="2"/>
      <c r="DA471" s="2"/>
      <c r="DB471" s="2"/>
      <c r="DC471" s="2"/>
      <c r="DD471" s="2"/>
      <c r="DE471" s="2"/>
      <c r="DF471" s="2"/>
      <c r="DG471" s="2"/>
      <c r="DH471" s="2"/>
      <c r="DI471" s="2"/>
      <c r="DJ471" s="2"/>
      <c r="DK471" s="2"/>
      <c r="DL471" s="2"/>
      <c r="DM471" s="2"/>
      <c r="DN471" s="2"/>
      <c r="DO471" s="2"/>
      <c r="DP471" s="2"/>
      <c r="DQ471" s="2"/>
      <c r="DR471" s="2"/>
      <c r="DS471" s="2"/>
      <c r="DT471" s="2"/>
      <c r="DU471" s="2"/>
      <c r="DV471" s="2"/>
      <c r="DW471" s="2"/>
      <c r="DX471" s="2"/>
      <c r="DY471" s="2"/>
      <c r="DZ471" s="2"/>
      <c r="EA471" s="2"/>
      <c r="EB471" s="2"/>
      <c r="EC471" s="2"/>
      <c r="ED471" s="2"/>
      <c r="EE471" s="2"/>
      <c r="EF471" s="2"/>
      <c r="EG471" s="2"/>
      <c r="EH471" s="2"/>
      <c r="EI471" s="2"/>
      <c r="EJ471" s="2"/>
      <c r="EK471" s="2"/>
      <c r="EL471" s="2"/>
      <c r="EM471" s="2"/>
      <c r="EN471" s="2"/>
      <c r="EO471" s="2"/>
      <c r="EP471" s="2"/>
      <c r="EQ471" s="2"/>
      <c r="ER471" s="2"/>
      <c r="ES471" s="2"/>
      <c r="ET471" s="2"/>
      <c r="EU471" s="2"/>
      <c r="EV471" s="2"/>
      <c r="EW471" s="2"/>
      <c r="EX471" s="2"/>
      <c r="EY471" s="2"/>
      <c r="EZ471" s="2"/>
      <c r="FA471" s="2"/>
      <c r="FB471" s="2"/>
      <c r="FC471" s="2"/>
      <c r="FD471" s="2"/>
      <c r="FE471" s="2"/>
      <c r="FF471" s="2"/>
      <c r="FG471" s="2"/>
      <c r="FH471" s="2"/>
      <c r="FI471" s="2"/>
      <c r="FJ471" s="2"/>
      <c r="FK471" s="2"/>
      <c r="FL471" s="2"/>
      <c r="FM471" s="2"/>
      <c r="FN471" s="2"/>
      <c r="FO471" s="2"/>
      <c r="FP471" s="2"/>
      <c r="FQ471" s="2"/>
      <c r="FR471" s="2"/>
      <c r="FS471" s="2"/>
      <c r="FT471" s="2"/>
      <c r="FU471" s="2"/>
      <c r="FV471" s="2"/>
      <c r="FW471" s="2"/>
      <c r="FX471" s="2"/>
      <c r="FY471" s="2"/>
      <c r="FZ471" s="2"/>
      <c r="GA471" s="2"/>
      <c r="GB471" s="2"/>
      <c r="GC471" s="2"/>
      <c r="GD471" s="2"/>
      <c r="GE471" s="2"/>
      <c r="GF471" s="2"/>
      <c r="GG471" s="2"/>
      <c r="GH471" s="2"/>
      <c r="GI471" s="2"/>
      <c r="GJ471" s="2"/>
      <c r="GK471" s="2"/>
      <c r="GL471" s="2"/>
      <c r="GM471" s="2"/>
      <c r="GN471" s="2"/>
      <c r="GO471" s="2"/>
      <c r="GP471" s="2"/>
      <c r="GQ471" s="2"/>
      <c r="GR471" s="2"/>
      <c r="GS471" s="2"/>
      <c r="GT471" s="2"/>
      <c r="GU471" s="2"/>
      <c r="GV471" s="2"/>
      <c r="GW471" s="2"/>
      <c r="GX471" s="2"/>
      <c r="GY471" s="2"/>
      <c r="GZ471" s="2"/>
      <c r="HA471" s="2"/>
      <c r="HB471" s="2"/>
      <c r="HC471" s="2"/>
      <c r="HD471" s="2"/>
      <c r="HE471" s="2"/>
      <c r="HF471" s="2"/>
      <c r="HG471" s="2"/>
      <c r="HH471" s="2"/>
      <c r="HI471" s="2"/>
      <c r="HJ471" s="2"/>
      <c r="HK471" s="2"/>
      <c r="HL471" s="2"/>
      <c r="HM471" s="2"/>
      <c r="HN471" s="2"/>
      <c r="HO471" s="2"/>
      <c r="HP471" s="2"/>
      <c r="HQ471" s="2"/>
      <c r="HR471" s="2"/>
      <c r="HS471" s="2"/>
      <c r="HT471" s="2"/>
      <c r="HU471" s="2"/>
      <c r="HV471" s="2"/>
      <c r="HW471" s="2"/>
      <c r="HX471" s="2"/>
      <c r="HY471" s="2"/>
      <c r="HZ471" s="2"/>
      <c r="IA471" s="2"/>
      <c r="IB471" s="2"/>
      <c r="IC471" s="2"/>
    </row>
    <row r="472" spans="1:237" x14ac:dyDescent="0.2">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c r="AA472" s="2"/>
      <c r="AB472" s="2"/>
      <c r="AC472" s="2"/>
      <c r="AD472" s="2"/>
      <c r="AE472" s="2"/>
      <c r="AF472" s="2"/>
      <c r="AG472" s="2"/>
      <c r="AH472" s="2"/>
      <c r="AI472" s="2"/>
      <c r="AJ472" s="2"/>
      <c r="AK472" s="2"/>
      <c r="AL472" s="2"/>
      <c r="AM472" s="2"/>
      <c r="AN472" s="2"/>
      <c r="AO472" s="2"/>
      <c r="AP472" s="2"/>
      <c r="AQ472" s="2"/>
      <c r="AR472" s="2"/>
      <c r="AS472" s="2"/>
      <c r="AT472" s="2"/>
      <c r="AU472" s="2"/>
      <c r="AV472" s="2"/>
      <c r="AW472" s="2"/>
      <c r="AX472" s="2"/>
      <c r="AY472" s="2"/>
      <c r="AZ472" s="2"/>
      <c r="BA472" s="2"/>
      <c r="BB472" s="2"/>
      <c r="BC472" s="2"/>
      <c r="BD472" s="2"/>
      <c r="BE472" s="2"/>
      <c r="BF472" s="2"/>
      <c r="BG472" s="2"/>
      <c r="BH472" s="2"/>
      <c r="BI472" s="2"/>
      <c r="BJ472" s="2"/>
      <c r="BK472" s="2"/>
      <c r="BL472" s="2"/>
      <c r="BM472" s="2"/>
      <c r="BN472" s="2"/>
      <c r="BO472" s="2"/>
      <c r="BP472" s="2"/>
      <c r="BQ472" s="2"/>
      <c r="BR472" s="2"/>
      <c r="BS472" s="2"/>
      <c r="BT472" s="2"/>
      <c r="BU472" s="2"/>
      <c r="BV472" s="2"/>
      <c r="BW472" s="2"/>
      <c r="BX472" s="2"/>
      <c r="BY472" s="2"/>
      <c r="BZ472" s="2"/>
      <c r="CA472" s="2"/>
      <c r="CB472" s="2"/>
      <c r="CC472" s="2"/>
      <c r="CD472" s="2"/>
      <c r="CE472" s="2"/>
      <c r="CF472" s="2"/>
      <c r="CG472" s="2"/>
      <c r="CH472" s="2"/>
      <c r="CI472" s="2"/>
      <c r="CJ472" s="2"/>
      <c r="CK472" s="2"/>
      <c r="CL472" s="2"/>
      <c r="CM472" s="2"/>
      <c r="CN472" s="2"/>
      <c r="CO472" s="2"/>
      <c r="CP472" s="2"/>
      <c r="CQ472" s="2"/>
      <c r="CR472" s="2"/>
      <c r="CS472" s="2"/>
      <c r="CT472" s="2"/>
      <c r="CU472" s="2"/>
      <c r="CV472" s="2"/>
      <c r="CW472" s="2"/>
      <c r="CX472" s="2"/>
      <c r="CY472" s="2"/>
      <c r="CZ472" s="2"/>
      <c r="DA472" s="2"/>
      <c r="DB472" s="2"/>
      <c r="DC472" s="2"/>
      <c r="DD472" s="2"/>
      <c r="DE472" s="2"/>
      <c r="DF472" s="2"/>
      <c r="DG472" s="2"/>
      <c r="DH472" s="2"/>
      <c r="DI472" s="2"/>
      <c r="DJ472" s="2"/>
      <c r="DK472" s="2"/>
      <c r="DL472" s="2"/>
      <c r="DM472" s="2"/>
      <c r="DN472" s="2"/>
      <c r="DO472" s="2"/>
      <c r="DP472" s="2"/>
      <c r="DQ472" s="2"/>
      <c r="DR472" s="2"/>
      <c r="DS472" s="2"/>
      <c r="DT472" s="2"/>
      <c r="DU472" s="2"/>
      <c r="DV472" s="2"/>
      <c r="DW472" s="2"/>
      <c r="DX472" s="2"/>
      <c r="DY472" s="2"/>
      <c r="DZ472" s="2"/>
      <c r="EA472" s="2"/>
      <c r="EB472" s="2"/>
      <c r="EC472" s="2"/>
      <c r="ED472" s="2"/>
      <c r="EE472" s="2"/>
      <c r="EF472" s="2"/>
      <c r="EG472" s="2"/>
      <c r="EH472" s="2"/>
      <c r="EI472" s="2"/>
      <c r="EJ472" s="2"/>
      <c r="EK472" s="2"/>
      <c r="EL472" s="2"/>
      <c r="EM472" s="2"/>
      <c r="EN472" s="2"/>
      <c r="EO472" s="2"/>
      <c r="EP472" s="2"/>
      <c r="EQ472" s="2"/>
      <c r="ER472" s="2"/>
      <c r="ES472" s="2"/>
      <c r="ET472" s="2"/>
      <c r="EU472" s="2"/>
      <c r="EV472" s="2"/>
      <c r="EW472" s="2"/>
      <c r="EX472" s="2"/>
      <c r="EY472" s="2"/>
      <c r="EZ472" s="2"/>
      <c r="FA472" s="2"/>
      <c r="FB472" s="2"/>
      <c r="FC472" s="2"/>
      <c r="FD472" s="2"/>
      <c r="FE472" s="2"/>
      <c r="FF472" s="2"/>
      <c r="FG472" s="2"/>
      <c r="FH472" s="2"/>
      <c r="FI472" s="2"/>
      <c r="FJ472" s="2"/>
      <c r="FK472" s="2"/>
      <c r="FL472" s="2"/>
      <c r="FM472" s="2"/>
      <c r="FN472" s="2"/>
      <c r="FO472" s="2"/>
      <c r="FP472" s="2"/>
      <c r="FQ472" s="2"/>
      <c r="FR472" s="2"/>
      <c r="FS472" s="2"/>
      <c r="FT472" s="2"/>
      <c r="FU472" s="2"/>
      <c r="FV472" s="2"/>
      <c r="FW472" s="2"/>
      <c r="FX472" s="2"/>
      <c r="FY472" s="2"/>
      <c r="FZ472" s="2"/>
      <c r="GA472" s="2"/>
      <c r="GB472" s="2"/>
      <c r="GC472" s="2"/>
      <c r="GD472" s="2"/>
      <c r="GE472" s="2"/>
      <c r="GF472" s="2"/>
      <c r="GG472" s="2"/>
      <c r="GH472" s="2"/>
      <c r="GI472" s="2"/>
      <c r="GJ472" s="2"/>
      <c r="GK472" s="2"/>
      <c r="GL472" s="2"/>
      <c r="GM472" s="2"/>
      <c r="GN472" s="2"/>
      <c r="GO472" s="2"/>
      <c r="GP472" s="2"/>
      <c r="GQ472" s="2"/>
      <c r="GR472" s="2"/>
      <c r="GS472" s="2"/>
      <c r="GT472" s="2"/>
      <c r="GU472" s="2"/>
      <c r="GV472" s="2"/>
      <c r="GW472" s="2"/>
      <c r="GX472" s="2"/>
      <c r="GY472" s="2"/>
      <c r="GZ472" s="2"/>
      <c r="HA472" s="2"/>
      <c r="HB472" s="2"/>
      <c r="HC472" s="2"/>
      <c r="HD472" s="2"/>
      <c r="HE472" s="2"/>
      <c r="HF472" s="2"/>
      <c r="HG472" s="2"/>
      <c r="HH472" s="2"/>
      <c r="HI472" s="2"/>
      <c r="HJ472" s="2"/>
      <c r="HK472" s="2"/>
      <c r="HL472" s="2"/>
      <c r="HM472" s="2"/>
      <c r="HN472" s="2"/>
      <c r="HO472" s="2"/>
      <c r="HP472" s="2"/>
      <c r="HQ472" s="2"/>
      <c r="HR472" s="2"/>
      <c r="HS472" s="2"/>
      <c r="HT472" s="2"/>
      <c r="HU472" s="2"/>
      <c r="HV472" s="2"/>
      <c r="HW472" s="2"/>
      <c r="HX472" s="2"/>
      <c r="HY472" s="2"/>
      <c r="HZ472" s="2"/>
      <c r="IA472" s="2"/>
      <c r="IB472" s="2"/>
      <c r="IC472" s="2"/>
    </row>
    <row r="473" spans="1:237" x14ac:dyDescent="0.2">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c r="AA473" s="2"/>
      <c r="AB473" s="2"/>
      <c r="AC473" s="2"/>
      <c r="AD473" s="2"/>
      <c r="AE473" s="2"/>
      <c r="AF473" s="2"/>
      <c r="AG473" s="2"/>
      <c r="AH473" s="2"/>
      <c r="AI473" s="2"/>
      <c r="AJ473" s="2"/>
      <c r="AK473" s="2"/>
      <c r="AL473" s="2"/>
      <c r="AM473" s="2"/>
      <c r="AN473" s="2"/>
      <c r="AO473" s="2"/>
      <c r="AP473" s="2"/>
      <c r="AQ473" s="2"/>
      <c r="AR473" s="2"/>
      <c r="AS473" s="2"/>
      <c r="AT473" s="2"/>
      <c r="AU473" s="2"/>
      <c r="AV473" s="2"/>
      <c r="AW473" s="2"/>
      <c r="AX473" s="2"/>
      <c r="AY473" s="2"/>
      <c r="AZ473" s="2"/>
      <c r="BA473" s="2"/>
      <c r="BB473" s="2"/>
      <c r="BC473" s="2"/>
      <c r="BD473" s="2"/>
      <c r="BE473" s="2"/>
      <c r="BF473" s="2"/>
      <c r="BG473" s="2"/>
      <c r="BH473" s="2"/>
      <c r="BI473" s="2"/>
      <c r="BJ473" s="2"/>
      <c r="BK473" s="2"/>
      <c r="BL473" s="2"/>
      <c r="BM473" s="2"/>
      <c r="BN473" s="2"/>
      <c r="BO473" s="2"/>
      <c r="BP473" s="2"/>
      <c r="BQ473" s="2"/>
      <c r="BR473" s="2"/>
      <c r="BS473" s="2"/>
      <c r="BT473" s="2"/>
      <c r="BU473" s="2"/>
      <c r="BV473" s="2"/>
      <c r="BW473" s="2"/>
      <c r="BX473" s="2"/>
      <c r="BY473" s="2"/>
      <c r="BZ473" s="2"/>
      <c r="CA473" s="2"/>
      <c r="CB473" s="2"/>
      <c r="CC473" s="2"/>
      <c r="CD473" s="2"/>
      <c r="CE473" s="2"/>
      <c r="CF473" s="2"/>
      <c r="CG473" s="2"/>
      <c r="CH473" s="2"/>
      <c r="CI473" s="2"/>
      <c r="CJ473" s="2"/>
      <c r="CK473" s="2"/>
      <c r="CL473" s="2"/>
      <c r="CM473" s="2"/>
      <c r="CN473" s="2"/>
      <c r="CO473" s="2"/>
      <c r="CP473" s="2"/>
      <c r="CQ473" s="2"/>
      <c r="CR473" s="2"/>
      <c r="CS473" s="2"/>
      <c r="CT473" s="2"/>
      <c r="CU473" s="2"/>
      <c r="CV473" s="2"/>
      <c r="CW473" s="2"/>
      <c r="CX473" s="2"/>
      <c r="CY473" s="2"/>
      <c r="CZ473" s="2"/>
      <c r="DA473" s="2"/>
      <c r="DB473" s="2"/>
      <c r="DC473" s="2"/>
      <c r="DD473" s="2"/>
      <c r="DE473" s="2"/>
      <c r="DF473" s="2"/>
      <c r="DG473" s="2"/>
      <c r="DH473" s="2"/>
      <c r="DI473" s="2"/>
      <c r="DJ473" s="2"/>
      <c r="DK473" s="2"/>
      <c r="DL473" s="2"/>
      <c r="DM473" s="2"/>
      <c r="DN473" s="2"/>
      <c r="DO473" s="2"/>
      <c r="DP473" s="2"/>
      <c r="DQ473" s="2"/>
      <c r="DR473" s="2"/>
      <c r="DS473" s="2"/>
      <c r="DT473" s="2"/>
      <c r="DU473" s="2"/>
      <c r="DV473" s="2"/>
      <c r="DW473" s="2"/>
      <c r="DX473" s="2"/>
      <c r="DY473" s="2"/>
      <c r="DZ473" s="2"/>
      <c r="EA473" s="2"/>
      <c r="EB473" s="2"/>
      <c r="EC473" s="2"/>
      <c r="ED473" s="2"/>
      <c r="EE473" s="2"/>
      <c r="EF473" s="2"/>
      <c r="EG473" s="2"/>
      <c r="EH473" s="2"/>
      <c r="EI473" s="2"/>
      <c r="EJ473" s="2"/>
      <c r="EK473" s="2"/>
      <c r="EL473" s="2"/>
      <c r="EM473" s="2"/>
      <c r="EN473" s="2"/>
      <c r="EO473" s="2"/>
      <c r="EP473" s="2"/>
      <c r="EQ473" s="2"/>
      <c r="ER473" s="2"/>
      <c r="ES473" s="2"/>
      <c r="ET473" s="2"/>
      <c r="EU473" s="2"/>
      <c r="EV473" s="2"/>
      <c r="EW473" s="2"/>
      <c r="EX473" s="2"/>
      <c r="EY473" s="2"/>
      <c r="EZ473" s="2"/>
      <c r="FA473" s="2"/>
      <c r="FB473" s="2"/>
      <c r="FC473" s="2"/>
      <c r="FD473" s="2"/>
      <c r="FE473" s="2"/>
      <c r="FF473" s="2"/>
      <c r="FG473" s="2"/>
      <c r="FH473" s="2"/>
      <c r="FI473" s="2"/>
      <c r="FJ473" s="2"/>
      <c r="FK473" s="2"/>
      <c r="FL473" s="2"/>
      <c r="FM473" s="2"/>
      <c r="FN473" s="2"/>
      <c r="FO473" s="2"/>
      <c r="FP473" s="2"/>
      <c r="FQ473" s="2"/>
      <c r="FR473" s="2"/>
      <c r="FS473" s="2"/>
      <c r="FT473" s="2"/>
      <c r="FU473" s="2"/>
      <c r="FV473" s="2"/>
      <c r="FW473" s="2"/>
      <c r="FX473" s="2"/>
      <c r="FY473" s="2"/>
      <c r="FZ473" s="2"/>
      <c r="GA473" s="2"/>
      <c r="GB473" s="2"/>
      <c r="GC473" s="2"/>
      <c r="GD473" s="2"/>
      <c r="GE473" s="2"/>
      <c r="GF473" s="2"/>
      <c r="GG473" s="2"/>
      <c r="GH473" s="2"/>
      <c r="GI473" s="2"/>
      <c r="GJ473" s="2"/>
      <c r="GK473" s="2"/>
      <c r="GL473" s="2"/>
      <c r="GM473" s="2"/>
      <c r="GN473" s="2"/>
      <c r="GO473" s="2"/>
      <c r="GP473" s="2"/>
      <c r="GQ473" s="2"/>
      <c r="GR473" s="2"/>
      <c r="GS473" s="2"/>
      <c r="GT473" s="2"/>
      <c r="GU473" s="2"/>
      <c r="GV473" s="2"/>
      <c r="GW473" s="2"/>
      <c r="GX473" s="2"/>
      <c r="GY473" s="2"/>
      <c r="GZ473" s="2"/>
      <c r="HA473" s="2"/>
      <c r="HB473" s="2"/>
      <c r="HC473" s="2"/>
      <c r="HD473" s="2"/>
      <c r="HE473" s="2"/>
      <c r="HF473" s="2"/>
      <c r="HG473" s="2"/>
      <c r="HH473" s="2"/>
      <c r="HI473" s="2"/>
      <c r="HJ473" s="2"/>
      <c r="HK473" s="2"/>
      <c r="HL473" s="2"/>
      <c r="HM473" s="2"/>
      <c r="HN473" s="2"/>
      <c r="HO473" s="2"/>
      <c r="HP473" s="2"/>
      <c r="HQ473" s="2"/>
      <c r="HR473" s="2"/>
      <c r="HS473" s="2"/>
      <c r="HT473" s="2"/>
      <c r="HU473" s="2"/>
      <c r="HV473" s="2"/>
      <c r="HW473" s="2"/>
      <c r="HX473" s="2"/>
      <c r="HY473" s="2"/>
      <c r="HZ473" s="2"/>
      <c r="IA473" s="2"/>
      <c r="IB473" s="2"/>
      <c r="IC473" s="2"/>
    </row>
    <row r="474" spans="1:237" x14ac:dyDescent="0.2">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c r="AA474" s="2"/>
      <c r="AB474" s="2"/>
      <c r="AC474" s="2"/>
      <c r="AD474" s="2"/>
      <c r="AE474" s="2"/>
      <c r="AF474" s="2"/>
      <c r="AG474" s="2"/>
      <c r="AH474" s="2"/>
      <c r="AI474" s="2"/>
      <c r="AJ474" s="2"/>
      <c r="AK474" s="2"/>
      <c r="AL474" s="2"/>
      <c r="AM474" s="2"/>
      <c r="AN474" s="2"/>
      <c r="AO474" s="2"/>
      <c r="AP474" s="2"/>
      <c r="AQ474" s="2"/>
      <c r="AR474" s="2"/>
      <c r="AS474" s="2"/>
      <c r="AT474" s="2"/>
      <c r="AU474" s="2"/>
      <c r="AV474" s="2"/>
      <c r="AW474" s="2"/>
      <c r="AX474" s="2"/>
      <c r="AY474" s="2"/>
      <c r="AZ474" s="2"/>
      <c r="BA474" s="2"/>
      <c r="BB474" s="2"/>
      <c r="BC474" s="2"/>
      <c r="BD474" s="2"/>
      <c r="BE474" s="2"/>
      <c r="BF474" s="2"/>
      <c r="BG474" s="2"/>
      <c r="BH474" s="2"/>
      <c r="BI474" s="2"/>
      <c r="BJ474" s="2"/>
      <c r="BK474" s="2"/>
      <c r="BL474" s="2"/>
      <c r="BM474" s="2"/>
      <c r="BN474" s="2"/>
      <c r="BO474" s="2"/>
      <c r="BP474" s="2"/>
      <c r="BQ474" s="2"/>
      <c r="BR474" s="2"/>
      <c r="BS474" s="2"/>
      <c r="BT474" s="2"/>
      <c r="BU474" s="2"/>
      <c r="BV474" s="2"/>
      <c r="BW474" s="2"/>
      <c r="BX474" s="2"/>
      <c r="BY474" s="2"/>
      <c r="BZ474" s="2"/>
      <c r="CA474" s="2"/>
      <c r="CB474" s="2"/>
      <c r="CC474" s="2"/>
      <c r="CD474" s="2"/>
      <c r="CE474" s="2"/>
      <c r="CF474" s="2"/>
      <c r="CG474" s="2"/>
      <c r="CH474" s="2"/>
      <c r="CI474" s="2"/>
      <c r="CJ474" s="2"/>
      <c r="CK474" s="2"/>
      <c r="CL474" s="2"/>
      <c r="CM474" s="2"/>
      <c r="CN474" s="2"/>
      <c r="CO474" s="2"/>
      <c r="CP474" s="2"/>
      <c r="CQ474" s="2"/>
      <c r="CR474" s="2"/>
      <c r="CS474" s="2"/>
      <c r="CT474" s="2"/>
      <c r="CU474" s="2"/>
      <c r="CV474" s="2"/>
      <c r="CW474" s="2"/>
      <c r="CX474" s="2"/>
      <c r="CY474" s="2"/>
      <c r="CZ474" s="2"/>
      <c r="DA474" s="2"/>
      <c r="DB474" s="2"/>
      <c r="DC474" s="2"/>
      <c r="DD474" s="2"/>
      <c r="DE474" s="2"/>
      <c r="DF474" s="2"/>
      <c r="DG474" s="2"/>
      <c r="DH474" s="2"/>
      <c r="DI474" s="2"/>
      <c r="DJ474" s="2"/>
      <c r="DK474" s="2"/>
      <c r="DL474" s="2"/>
      <c r="DM474" s="2"/>
      <c r="DN474" s="2"/>
      <c r="DO474" s="2"/>
      <c r="DP474" s="2"/>
      <c r="DQ474" s="2"/>
      <c r="DR474" s="2"/>
      <c r="DS474" s="2"/>
      <c r="DT474" s="2"/>
      <c r="DU474" s="2"/>
      <c r="DV474" s="2"/>
      <c r="DW474" s="2"/>
      <c r="DX474" s="2"/>
      <c r="DY474" s="2"/>
      <c r="DZ474" s="2"/>
      <c r="EA474" s="2"/>
      <c r="EB474" s="2"/>
      <c r="EC474" s="2"/>
      <c r="ED474" s="2"/>
      <c r="EE474" s="2"/>
      <c r="EF474" s="2"/>
      <c r="EG474" s="2"/>
      <c r="EH474" s="2"/>
      <c r="EI474" s="2"/>
      <c r="EJ474" s="2"/>
      <c r="EK474" s="2"/>
      <c r="EL474" s="2"/>
      <c r="EM474" s="2"/>
      <c r="EN474" s="2"/>
      <c r="EO474" s="2"/>
      <c r="EP474" s="2"/>
      <c r="EQ474" s="2"/>
      <c r="ER474" s="2"/>
      <c r="ES474" s="2"/>
      <c r="ET474" s="2"/>
      <c r="EU474" s="2"/>
      <c r="EV474" s="2"/>
      <c r="EW474" s="2"/>
      <c r="EX474" s="2"/>
      <c r="EY474" s="2"/>
      <c r="EZ474" s="2"/>
      <c r="FA474" s="2"/>
      <c r="FB474" s="2"/>
      <c r="FC474" s="2"/>
      <c r="FD474" s="2"/>
      <c r="FE474" s="2"/>
      <c r="FF474" s="2"/>
      <c r="FG474" s="2"/>
      <c r="FH474" s="2"/>
      <c r="FI474" s="2"/>
      <c r="FJ474" s="2"/>
      <c r="FK474" s="2"/>
      <c r="FL474" s="2"/>
      <c r="FM474" s="2"/>
      <c r="FN474" s="2"/>
      <c r="FO474" s="2"/>
      <c r="FP474" s="2"/>
      <c r="FQ474" s="2"/>
      <c r="FR474" s="2"/>
      <c r="FS474" s="2"/>
      <c r="FT474" s="2"/>
      <c r="FU474" s="2"/>
      <c r="FV474" s="2"/>
      <c r="FW474" s="2"/>
      <c r="FX474" s="2"/>
      <c r="FY474" s="2"/>
      <c r="FZ474" s="2"/>
      <c r="GA474" s="2"/>
      <c r="GB474" s="2"/>
      <c r="GC474" s="2"/>
      <c r="GD474" s="2"/>
      <c r="GE474" s="2"/>
      <c r="GF474" s="2"/>
      <c r="GG474" s="2"/>
      <c r="GH474" s="2"/>
      <c r="GI474" s="2"/>
      <c r="GJ474" s="2"/>
      <c r="GK474" s="2"/>
      <c r="GL474" s="2"/>
      <c r="GM474" s="2"/>
      <c r="GN474" s="2"/>
      <c r="GO474" s="2"/>
      <c r="GP474" s="2"/>
      <c r="GQ474" s="2"/>
      <c r="GR474" s="2"/>
      <c r="GS474" s="2"/>
      <c r="GT474" s="2"/>
      <c r="GU474" s="2"/>
      <c r="GV474" s="2"/>
      <c r="GW474" s="2"/>
      <c r="GX474" s="2"/>
      <c r="GY474" s="2"/>
      <c r="GZ474" s="2"/>
      <c r="HA474" s="2"/>
      <c r="HB474" s="2"/>
      <c r="HC474" s="2"/>
      <c r="HD474" s="2"/>
      <c r="HE474" s="2"/>
      <c r="HF474" s="2"/>
      <c r="HG474" s="2"/>
      <c r="HH474" s="2"/>
      <c r="HI474" s="2"/>
      <c r="HJ474" s="2"/>
      <c r="HK474" s="2"/>
      <c r="HL474" s="2"/>
      <c r="HM474" s="2"/>
      <c r="HN474" s="2"/>
      <c r="HO474" s="2"/>
      <c r="HP474" s="2"/>
      <c r="HQ474" s="2"/>
      <c r="HR474" s="2"/>
      <c r="HS474" s="2"/>
      <c r="HT474" s="2"/>
      <c r="HU474" s="2"/>
      <c r="HV474" s="2"/>
      <c r="HW474" s="2"/>
      <c r="HX474" s="2"/>
      <c r="HY474" s="2"/>
      <c r="HZ474" s="2"/>
      <c r="IA474" s="2"/>
      <c r="IB474" s="2"/>
      <c r="IC474" s="2"/>
    </row>
    <row r="475" spans="1:237" x14ac:dyDescent="0.2">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c r="AA475" s="2"/>
      <c r="AB475" s="2"/>
      <c r="AC475" s="2"/>
      <c r="AD475" s="2"/>
      <c r="AE475" s="2"/>
      <c r="AF475" s="2"/>
      <c r="AG475" s="2"/>
      <c r="AH475" s="2"/>
      <c r="AI475" s="2"/>
      <c r="AJ475" s="2"/>
      <c r="AK475" s="2"/>
      <c r="AL475" s="2"/>
      <c r="AM475" s="2"/>
      <c r="AN475" s="2"/>
      <c r="AO475" s="2"/>
      <c r="AP475" s="2"/>
      <c r="AQ475" s="2"/>
      <c r="AR475" s="2"/>
      <c r="AS475" s="2"/>
      <c r="AT475" s="2"/>
      <c r="AU475" s="2"/>
      <c r="AV475" s="2"/>
      <c r="AW475" s="2"/>
      <c r="AX475" s="2"/>
      <c r="AY475" s="2"/>
      <c r="AZ475" s="2"/>
      <c r="BA475" s="2"/>
      <c r="BB475" s="2"/>
      <c r="BC475" s="2"/>
      <c r="BD475" s="2"/>
      <c r="BE475" s="2"/>
      <c r="BF475" s="2"/>
      <c r="BG475" s="2"/>
      <c r="BH475" s="2"/>
      <c r="BI475" s="2"/>
      <c r="BJ475" s="2"/>
      <c r="BK475" s="2"/>
      <c r="BL475" s="2"/>
      <c r="BM475" s="2"/>
      <c r="BN475" s="2"/>
      <c r="BO475" s="2"/>
      <c r="BP475" s="2"/>
      <c r="BQ475" s="2"/>
      <c r="BR475" s="2"/>
      <c r="BS475" s="2"/>
      <c r="BT475" s="2"/>
      <c r="BU475" s="2"/>
      <c r="BV475" s="2"/>
      <c r="BW475" s="2"/>
      <c r="BX475" s="2"/>
      <c r="BY475" s="2"/>
      <c r="BZ475" s="2"/>
      <c r="CA475" s="2"/>
      <c r="CB475" s="2"/>
      <c r="CC475" s="2"/>
      <c r="CD475" s="2"/>
      <c r="CE475" s="2"/>
      <c r="CF475" s="2"/>
      <c r="CG475" s="2"/>
      <c r="CH475" s="2"/>
      <c r="CI475" s="2"/>
      <c r="CJ475" s="2"/>
      <c r="CK475" s="2"/>
      <c r="CL475" s="2"/>
      <c r="CM475" s="2"/>
      <c r="CN475" s="2"/>
      <c r="CO475" s="2"/>
      <c r="CP475" s="2"/>
      <c r="CQ475" s="2"/>
      <c r="CR475" s="2"/>
      <c r="CS475" s="2"/>
      <c r="CT475" s="2"/>
      <c r="CU475" s="2"/>
      <c r="CV475" s="2"/>
      <c r="CW475" s="2"/>
      <c r="CX475" s="2"/>
      <c r="CY475" s="2"/>
      <c r="CZ475" s="2"/>
      <c r="DA475" s="2"/>
      <c r="DB475" s="2"/>
      <c r="DC475" s="2"/>
      <c r="DD475" s="2"/>
      <c r="DE475" s="2"/>
      <c r="DF475" s="2"/>
      <c r="DG475" s="2"/>
      <c r="DH475" s="2"/>
      <c r="DI475" s="2"/>
      <c r="DJ475" s="2"/>
      <c r="DK475" s="2"/>
      <c r="DL475" s="2"/>
      <c r="DM475" s="2"/>
      <c r="DN475" s="2"/>
      <c r="DO475" s="2"/>
      <c r="DP475" s="2"/>
      <c r="DQ475" s="2"/>
      <c r="DR475" s="2"/>
      <c r="DS475" s="2"/>
      <c r="DT475" s="2"/>
      <c r="DU475" s="2"/>
      <c r="DV475" s="2"/>
      <c r="DW475" s="2"/>
      <c r="DX475" s="2"/>
      <c r="DY475" s="2"/>
      <c r="DZ475" s="2"/>
      <c r="EA475" s="2"/>
      <c r="EB475" s="2"/>
      <c r="EC475" s="2"/>
      <c r="ED475" s="2"/>
      <c r="EE475" s="2"/>
      <c r="EF475" s="2"/>
      <c r="EG475" s="2"/>
      <c r="EH475" s="2"/>
      <c r="EI475" s="2"/>
      <c r="EJ475" s="2"/>
      <c r="EK475" s="2"/>
      <c r="EL475" s="2"/>
      <c r="EM475" s="2"/>
      <c r="EN475" s="2"/>
      <c r="EO475" s="2"/>
      <c r="EP475" s="2"/>
      <c r="EQ475" s="2"/>
      <c r="ER475" s="2"/>
      <c r="ES475" s="2"/>
      <c r="ET475" s="2"/>
      <c r="EU475" s="2"/>
      <c r="EV475" s="2"/>
      <c r="EW475" s="2"/>
      <c r="EX475" s="2"/>
      <c r="EY475" s="2"/>
      <c r="EZ475" s="2"/>
      <c r="FA475" s="2"/>
      <c r="FB475" s="2"/>
      <c r="FC475" s="2"/>
      <c r="FD475" s="2"/>
      <c r="FE475" s="2"/>
      <c r="FF475" s="2"/>
      <c r="FG475" s="2"/>
      <c r="FH475" s="2"/>
      <c r="FI475" s="2"/>
      <c r="FJ475" s="2"/>
      <c r="FK475" s="2"/>
      <c r="FL475" s="2"/>
      <c r="FM475" s="2"/>
      <c r="FN475" s="2"/>
      <c r="FO475" s="2"/>
      <c r="FP475" s="2"/>
      <c r="FQ475" s="2"/>
      <c r="FR475" s="2"/>
      <c r="FS475" s="2"/>
      <c r="FT475" s="2"/>
      <c r="FU475" s="2"/>
      <c r="FV475" s="2"/>
      <c r="FW475" s="2"/>
      <c r="FX475" s="2"/>
      <c r="FY475" s="2"/>
      <c r="FZ475" s="2"/>
      <c r="GA475" s="2"/>
      <c r="GB475" s="2"/>
      <c r="GC475" s="2"/>
      <c r="GD475" s="2"/>
      <c r="GE475" s="2"/>
      <c r="GF475" s="2"/>
      <c r="GG475" s="2"/>
      <c r="GH475" s="2"/>
      <c r="GI475" s="2"/>
      <c r="GJ475" s="2"/>
      <c r="GK475" s="2"/>
      <c r="GL475" s="2"/>
      <c r="GM475" s="2"/>
      <c r="GN475" s="2"/>
      <c r="GO475" s="2"/>
      <c r="GP475" s="2"/>
      <c r="GQ475" s="2"/>
      <c r="GR475" s="2"/>
      <c r="GS475" s="2"/>
      <c r="GT475" s="2"/>
      <c r="GU475" s="2"/>
      <c r="GV475" s="2"/>
      <c r="GW475" s="2"/>
      <c r="GX475" s="2"/>
      <c r="GY475" s="2"/>
      <c r="GZ475" s="2"/>
      <c r="HA475" s="2"/>
      <c r="HB475" s="2"/>
      <c r="HC475" s="2"/>
      <c r="HD475" s="2"/>
      <c r="HE475" s="2"/>
      <c r="HF475" s="2"/>
      <c r="HG475" s="2"/>
      <c r="HH475" s="2"/>
      <c r="HI475" s="2"/>
      <c r="HJ475" s="2"/>
      <c r="HK475" s="2"/>
      <c r="HL475" s="2"/>
      <c r="HM475" s="2"/>
      <c r="HN475" s="2"/>
      <c r="HO475" s="2"/>
      <c r="HP475" s="2"/>
      <c r="HQ475" s="2"/>
      <c r="HR475" s="2"/>
      <c r="HS475" s="2"/>
      <c r="HT475" s="2"/>
      <c r="HU475" s="2"/>
      <c r="HV475" s="2"/>
      <c r="HW475" s="2"/>
      <c r="HX475" s="2"/>
      <c r="HY475" s="2"/>
      <c r="HZ475" s="2"/>
      <c r="IA475" s="2"/>
      <c r="IB475" s="2"/>
      <c r="IC475" s="2"/>
    </row>
    <row r="476" spans="1:237" x14ac:dyDescent="0.2">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c r="AA476" s="2"/>
      <c r="AB476" s="2"/>
      <c r="AC476" s="2"/>
      <c r="AD476" s="2"/>
      <c r="AE476" s="2"/>
      <c r="AF476" s="2"/>
      <c r="AG476" s="2"/>
      <c r="AH476" s="2"/>
      <c r="AI476" s="2"/>
      <c r="AJ476" s="2"/>
      <c r="AK476" s="2"/>
      <c r="AL476" s="2"/>
      <c r="AM476" s="2"/>
      <c r="AN476" s="2"/>
      <c r="AO476" s="2"/>
      <c r="AP476" s="2"/>
      <c r="AQ476" s="2"/>
      <c r="AR476" s="2"/>
      <c r="AS476" s="2"/>
      <c r="AT476" s="2"/>
      <c r="AU476" s="2"/>
      <c r="AV476" s="2"/>
      <c r="AW476" s="2"/>
      <c r="AX476" s="2"/>
      <c r="AY476" s="2"/>
      <c r="AZ476" s="2"/>
      <c r="BA476" s="2"/>
      <c r="BB476" s="2"/>
      <c r="BC476" s="2"/>
      <c r="BD476" s="2"/>
      <c r="BE476" s="2"/>
      <c r="BF476" s="2"/>
      <c r="BG476" s="2"/>
      <c r="BH476" s="2"/>
      <c r="BI476" s="2"/>
      <c r="BJ476" s="2"/>
      <c r="BK476" s="2"/>
      <c r="BL476" s="2"/>
      <c r="BM476" s="2"/>
      <c r="BN476" s="2"/>
      <c r="BO476" s="2"/>
      <c r="BP476" s="2"/>
      <c r="BQ476" s="2"/>
      <c r="BR476" s="2"/>
      <c r="BS476" s="2"/>
      <c r="BT476" s="2"/>
      <c r="BU476" s="2"/>
      <c r="BV476" s="2"/>
      <c r="BW476" s="2"/>
      <c r="BX476" s="2"/>
      <c r="BY476" s="2"/>
      <c r="BZ476" s="2"/>
      <c r="CA476" s="2"/>
      <c r="CB476" s="2"/>
      <c r="CC476" s="2"/>
      <c r="CD476" s="2"/>
      <c r="CE476" s="2"/>
      <c r="CF476" s="2"/>
      <c r="CG476" s="2"/>
      <c r="CH476" s="2"/>
      <c r="CI476" s="2"/>
      <c r="CJ476" s="2"/>
      <c r="CK476" s="2"/>
      <c r="CL476" s="2"/>
      <c r="CM476" s="2"/>
      <c r="CN476" s="2"/>
      <c r="CO476" s="2"/>
      <c r="CP476" s="2"/>
      <c r="CQ476" s="2"/>
      <c r="CR476" s="2"/>
      <c r="CS476" s="2"/>
      <c r="CT476" s="2"/>
      <c r="CU476" s="2"/>
      <c r="CV476" s="2"/>
      <c r="CW476" s="2"/>
      <c r="CX476" s="2"/>
      <c r="CY476" s="2"/>
      <c r="CZ476" s="2"/>
      <c r="DA476" s="2"/>
      <c r="DB476" s="2"/>
      <c r="DC476" s="2"/>
      <c r="DD476" s="2"/>
      <c r="DE476" s="2"/>
      <c r="DF476" s="2"/>
      <c r="DG476" s="2"/>
      <c r="DH476" s="2"/>
      <c r="DI476" s="2"/>
      <c r="DJ476" s="2"/>
      <c r="DK476" s="2"/>
      <c r="DL476" s="2"/>
      <c r="DM476" s="2"/>
      <c r="DN476" s="2"/>
      <c r="DO476" s="2"/>
      <c r="DP476" s="2"/>
      <c r="DQ476" s="2"/>
      <c r="DR476" s="2"/>
      <c r="DS476" s="2"/>
      <c r="DT476" s="2"/>
      <c r="DU476" s="2"/>
      <c r="DV476" s="2"/>
      <c r="DW476" s="2"/>
      <c r="DX476" s="2"/>
      <c r="DY476" s="2"/>
      <c r="DZ476" s="2"/>
      <c r="EA476" s="2"/>
      <c r="EB476" s="2"/>
      <c r="EC476" s="2"/>
      <c r="ED476" s="2"/>
      <c r="EE476" s="2"/>
      <c r="EF476" s="2"/>
      <c r="EG476" s="2"/>
      <c r="EH476" s="2"/>
      <c r="EI476" s="2"/>
      <c r="EJ476" s="2"/>
      <c r="EK476" s="2"/>
      <c r="EL476" s="2"/>
      <c r="EM476" s="2"/>
      <c r="EN476" s="2"/>
      <c r="EO476" s="2"/>
      <c r="EP476" s="2"/>
      <c r="EQ476" s="2"/>
      <c r="ER476" s="2"/>
      <c r="ES476" s="2"/>
      <c r="ET476" s="2"/>
      <c r="EU476" s="2"/>
      <c r="EV476" s="2"/>
      <c r="EW476" s="2"/>
      <c r="EX476" s="2"/>
      <c r="EY476" s="2"/>
      <c r="EZ476" s="2"/>
      <c r="FA476" s="2"/>
      <c r="FB476" s="2"/>
      <c r="FC476" s="2"/>
      <c r="FD476" s="2"/>
      <c r="FE476" s="2"/>
      <c r="FF476" s="2"/>
      <c r="FG476" s="2"/>
      <c r="FH476" s="2"/>
      <c r="FI476" s="2"/>
      <c r="FJ476" s="2"/>
      <c r="FK476" s="2"/>
      <c r="FL476" s="2"/>
      <c r="FM476" s="2"/>
      <c r="FN476" s="2"/>
      <c r="FO476" s="2"/>
      <c r="FP476" s="2"/>
      <c r="FQ476" s="2"/>
      <c r="FR476" s="2"/>
      <c r="FS476" s="2"/>
      <c r="FT476" s="2"/>
      <c r="FU476" s="2"/>
      <c r="FV476" s="2"/>
      <c r="FW476" s="2"/>
      <c r="FX476" s="2"/>
      <c r="FY476" s="2"/>
      <c r="FZ476" s="2"/>
      <c r="GA476" s="2"/>
      <c r="GB476" s="2"/>
      <c r="GC476" s="2"/>
      <c r="GD476" s="2"/>
      <c r="GE476" s="2"/>
      <c r="GF476" s="2"/>
      <c r="GG476" s="2"/>
      <c r="GH476" s="2"/>
      <c r="GI476" s="2"/>
      <c r="GJ476" s="2"/>
      <c r="GK476" s="2"/>
      <c r="GL476" s="2"/>
      <c r="GM476" s="2"/>
      <c r="GN476" s="2"/>
      <c r="GO476" s="2"/>
      <c r="GP476" s="2"/>
      <c r="GQ476" s="2"/>
      <c r="GR476" s="2"/>
      <c r="GS476" s="2"/>
      <c r="GT476" s="2"/>
      <c r="GU476" s="2"/>
      <c r="GV476" s="2"/>
      <c r="GW476" s="2"/>
      <c r="GX476" s="2"/>
      <c r="GY476" s="2"/>
      <c r="GZ476" s="2"/>
      <c r="HA476" s="2"/>
      <c r="HB476" s="2"/>
      <c r="HC476" s="2"/>
      <c r="HD476" s="2"/>
      <c r="HE476" s="2"/>
      <c r="HF476" s="2"/>
      <c r="HG476" s="2"/>
      <c r="HH476" s="2"/>
      <c r="HI476" s="2"/>
      <c r="HJ476" s="2"/>
      <c r="HK476" s="2"/>
      <c r="HL476" s="2"/>
      <c r="HM476" s="2"/>
      <c r="HN476" s="2"/>
      <c r="HO476" s="2"/>
      <c r="HP476" s="2"/>
      <c r="HQ476" s="2"/>
      <c r="HR476" s="2"/>
      <c r="HS476" s="2"/>
      <c r="HT476" s="2"/>
      <c r="HU476" s="2"/>
      <c r="HV476" s="2"/>
      <c r="HW476" s="2"/>
      <c r="HX476" s="2"/>
      <c r="HY476" s="2"/>
      <c r="HZ476" s="2"/>
      <c r="IA476" s="2"/>
      <c r="IB476" s="2"/>
      <c r="IC476" s="2"/>
    </row>
    <row r="477" spans="1:237" x14ac:dyDescent="0.2">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c r="AA477" s="2"/>
      <c r="AB477" s="2"/>
      <c r="AC477" s="2"/>
      <c r="AD477" s="2"/>
      <c r="AE477" s="2"/>
      <c r="AF477" s="2"/>
      <c r="AG477" s="2"/>
      <c r="AH477" s="2"/>
      <c r="AI477" s="2"/>
      <c r="AJ477" s="2"/>
      <c r="AK477" s="2"/>
      <c r="AL477" s="2"/>
      <c r="AM477" s="2"/>
      <c r="AN477" s="2"/>
      <c r="AO477" s="2"/>
      <c r="AP477" s="2"/>
      <c r="AQ477" s="2"/>
      <c r="AR477" s="2"/>
      <c r="AS477" s="2"/>
      <c r="AT477" s="2"/>
      <c r="AU477" s="2"/>
      <c r="AV477" s="2"/>
      <c r="AW477" s="2"/>
      <c r="AX477" s="2"/>
      <c r="AY477" s="2"/>
      <c r="AZ477" s="2"/>
      <c r="BA477" s="2"/>
      <c r="BB477" s="2"/>
      <c r="BC477" s="2"/>
      <c r="BD477" s="2"/>
      <c r="BE477" s="2"/>
      <c r="BF477" s="2"/>
      <c r="BG477" s="2"/>
      <c r="BH477" s="2"/>
      <c r="BI477" s="2"/>
      <c r="BJ477" s="2"/>
      <c r="BK477" s="2"/>
      <c r="BL477" s="2"/>
      <c r="BM477" s="2"/>
      <c r="BN477" s="2"/>
      <c r="BO477" s="2"/>
      <c r="BP477" s="2"/>
      <c r="BQ477" s="2"/>
      <c r="BR477" s="2"/>
      <c r="BS477" s="2"/>
      <c r="BT477" s="2"/>
      <c r="BU477" s="2"/>
      <c r="BV477" s="2"/>
      <c r="BW477" s="2"/>
      <c r="BX477" s="2"/>
      <c r="BY477" s="2"/>
      <c r="BZ477" s="2"/>
      <c r="CA477" s="2"/>
      <c r="CB477" s="2"/>
      <c r="CC477" s="2"/>
      <c r="CD477" s="2"/>
      <c r="CE477" s="2"/>
      <c r="CF477" s="2"/>
      <c r="CG477" s="2"/>
      <c r="CH477" s="2"/>
      <c r="CI477" s="2"/>
      <c r="CJ477" s="2"/>
      <c r="CK477" s="2"/>
      <c r="CL477" s="2"/>
      <c r="CM477" s="2"/>
      <c r="CN477" s="2"/>
      <c r="CO477" s="2"/>
      <c r="CP477" s="2"/>
      <c r="CQ477" s="2"/>
      <c r="CR477" s="2"/>
      <c r="CS477" s="2"/>
      <c r="CT477" s="2"/>
      <c r="CU477" s="2"/>
      <c r="CV477" s="2"/>
      <c r="CW477" s="2"/>
      <c r="CX477" s="2"/>
      <c r="CY477" s="2"/>
      <c r="CZ477" s="2"/>
      <c r="DA477" s="2"/>
      <c r="DB477" s="2"/>
      <c r="DC477" s="2"/>
      <c r="DD477" s="2"/>
      <c r="DE477" s="2"/>
      <c r="DF477" s="2"/>
      <c r="DG477" s="2"/>
      <c r="DH477" s="2"/>
      <c r="DI477" s="2"/>
      <c r="DJ477" s="2"/>
      <c r="DK477" s="2"/>
      <c r="DL477" s="2"/>
      <c r="DM477" s="2"/>
      <c r="DN477" s="2"/>
      <c r="DO477" s="2"/>
      <c r="DP477" s="2"/>
      <c r="DQ477" s="2"/>
      <c r="DR477" s="2"/>
      <c r="DS477" s="2"/>
      <c r="DT477" s="2"/>
      <c r="DU477" s="2"/>
      <c r="DV477" s="2"/>
      <c r="DW477" s="2"/>
      <c r="DX477" s="2"/>
      <c r="DY477" s="2"/>
      <c r="DZ477" s="2"/>
      <c r="EA477" s="2"/>
      <c r="EB477" s="2"/>
      <c r="EC477" s="2"/>
      <c r="ED477" s="2"/>
      <c r="EE477" s="2"/>
      <c r="EF477" s="2"/>
      <c r="EG477" s="2"/>
      <c r="EH477" s="2"/>
      <c r="EI477" s="2"/>
      <c r="EJ477" s="2"/>
      <c r="EK477" s="2"/>
      <c r="EL477" s="2"/>
      <c r="EM477" s="2"/>
      <c r="EN477" s="2"/>
      <c r="EO477" s="2"/>
      <c r="EP477" s="2"/>
      <c r="EQ477" s="2"/>
      <c r="ER477" s="2"/>
      <c r="ES477" s="2"/>
      <c r="ET477" s="2"/>
      <c r="EU477" s="2"/>
      <c r="EV477" s="2"/>
      <c r="EW477" s="2"/>
      <c r="EX477" s="2"/>
      <c r="EY477" s="2"/>
      <c r="EZ477" s="2"/>
      <c r="FA477" s="2"/>
      <c r="FB477" s="2"/>
      <c r="FC477" s="2"/>
      <c r="FD477" s="2"/>
      <c r="FE477" s="2"/>
      <c r="FF477" s="2"/>
      <c r="FG477" s="2"/>
      <c r="FH477" s="2"/>
      <c r="FI477" s="2"/>
      <c r="FJ477" s="2"/>
      <c r="FK477" s="2"/>
      <c r="FL477" s="2"/>
      <c r="FM477" s="2"/>
      <c r="FN477" s="2"/>
      <c r="FO477" s="2"/>
      <c r="FP477" s="2"/>
      <c r="FQ477" s="2"/>
      <c r="FR477" s="2"/>
      <c r="FS477" s="2"/>
      <c r="FT477" s="2"/>
      <c r="FU477" s="2"/>
      <c r="FV477" s="2"/>
      <c r="FW477" s="2"/>
      <c r="FX477" s="2"/>
      <c r="FY477" s="2"/>
      <c r="FZ477" s="2"/>
      <c r="GA477" s="2"/>
      <c r="GB477" s="2"/>
      <c r="GC477" s="2"/>
      <c r="GD477" s="2"/>
      <c r="GE477" s="2"/>
      <c r="GF477" s="2"/>
      <c r="GG477" s="2"/>
      <c r="GH477" s="2"/>
      <c r="GI477" s="2"/>
      <c r="GJ477" s="2"/>
      <c r="GK477" s="2"/>
      <c r="GL477" s="2"/>
      <c r="GM477" s="2"/>
      <c r="GN477" s="2"/>
      <c r="GO477" s="2"/>
      <c r="GP477" s="2"/>
      <c r="GQ477" s="2"/>
      <c r="GR477" s="2"/>
      <c r="GS477" s="2"/>
      <c r="GT477" s="2"/>
      <c r="GU477" s="2"/>
      <c r="GV477" s="2"/>
      <c r="GW477" s="2"/>
      <c r="GX477" s="2"/>
      <c r="GY477" s="2"/>
      <c r="GZ477" s="2"/>
      <c r="HA477" s="2"/>
      <c r="HB477" s="2"/>
      <c r="HC477" s="2"/>
      <c r="HD477" s="2"/>
      <c r="HE477" s="2"/>
      <c r="HF477" s="2"/>
      <c r="HG477" s="2"/>
      <c r="HH477" s="2"/>
      <c r="HI477" s="2"/>
      <c r="HJ477" s="2"/>
      <c r="HK477" s="2"/>
      <c r="HL477" s="2"/>
      <c r="HM477" s="2"/>
      <c r="HN477" s="2"/>
      <c r="HO477" s="2"/>
      <c r="HP477" s="2"/>
      <c r="HQ477" s="2"/>
      <c r="HR477" s="2"/>
      <c r="HS477" s="2"/>
      <c r="HT477" s="2"/>
      <c r="HU477" s="2"/>
      <c r="HV477" s="2"/>
      <c r="HW477" s="2"/>
      <c r="HX477" s="2"/>
      <c r="HY477" s="2"/>
      <c r="HZ477" s="2"/>
      <c r="IA477" s="2"/>
      <c r="IB477" s="2"/>
      <c r="IC477" s="2"/>
    </row>
    <row r="478" spans="1:237" x14ac:dyDescent="0.2">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c r="AA478" s="2"/>
      <c r="AB478" s="2"/>
      <c r="AC478" s="2"/>
      <c r="AD478" s="2"/>
      <c r="AE478" s="2"/>
      <c r="AF478" s="2"/>
      <c r="AG478" s="2"/>
      <c r="AH478" s="2"/>
      <c r="AI478" s="2"/>
      <c r="AJ478" s="2"/>
      <c r="AK478" s="2"/>
      <c r="AL478" s="2"/>
      <c r="AM478" s="2"/>
      <c r="AN478" s="2"/>
      <c r="AO478" s="2"/>
      <c r="AP478" s="2"/>
      <c r="AQ478" s="2"/>
      <c r="AR478" s="2"/>
      <c r="AS478" s="2"/>
      <c r="AT478" s="2"/>
      <c r="AU478" s="2"/>
      <c r="AV478" s="2"/>
      <c r="AW478" s="2"/>
      <c r="AX478" s="2"/>
      <c r="AY478" s="2"/>
      <c r="AZ478" s="2"/>
      <c r="BA478" s="2"/>
      <c r="BB478" s="2"/>
      <c r="BC478" s="2"/>
      <c r="BD478" s="2"/>
      <c r="BE478" s="2"/>
      <c r="BF478" s="2"/>
      <c r="BG478" s="2"/>
      <c r="BH478" s="2"/>
      <c r="BI478" s="2"/>
      <c r="BJ478" s="2"/>
      <c r="BK478" s="2"/>
      <c r="BL478" s="2"/>
      <c r="BM478" s="2"/>
      <c r="BN478" s="2"/>
      <c r="BO478" s="2"/>
      <c r="BP478" s="2"/>
      <c r="BQ478" s="2"/>
      <c r="BR478" s="2"/>
      <c r="BS478" s="2"/>
      <c r="BT478" s="2"/>
      <c r="BU478" s="2"/>
      <c r="BV478" s="2"/>
      <c r="BW478" s="2"/>
      <c r="BX478" s="2"/>
      <c r="BY478" s="2"/>
      <c r="BZ478" s="2"/>
      <c r="CA478" s="2"/>
      <c r="CB478" s="2"/>
      <c r="CC478" s="2"/>
      <c r="CD478" s="2"/>
      <c r="CE478" s="2"/>
      <c r="CF478" s="2"/>
      <c r="CG478" s="2"/>
      <c r="CH478" s="2"/>
      <c r="CI478" s="2"/>
      <c r="CJ478" s="2"/>
      <c r="CK478" s="2"/>
      <c r="CL478" s="2"/>
      <c r="CM478" s="2"/>
      <c r="CN478" s="2"/>
      <c r="CO478" s="2"/>
      <c r="CP478" s="2"/>
      <c r="CQ478" s="2"/>
      <c r="CR478" s="2"/>
      <c r="CS478" s="2"/>
      <c r="CT478" s="2"/>
      <c r="CU478" s="2"/>
      <c r="CV478" s="2"/>
      <c r="CW478" s="2"/>
      <c r="CX478" s="2"/>
      <c r="CY478" s="2"/>
      <c r="CZ478" s="2"/>
      <c r="DA478" s="2"/>
      <c r="DB478" s="2"/>
      <c r="DC478" s="2"/>
      <c r="DD478" s="2"/>
      <c r="DE478" s="2"/>
      <c r="DF478" s="2"/>
      <c r="DG478" s="2"/>
      <c r="DH478" s="2"/>
      <c r="DI478" s="2"/>
      <c r="DJ478" s="2"/>
      <c r="DK478" s="2"/>
      <c r="DL478" s="2"/>
      <c r="DM478" s="2"/>
      <c r="DN478" s="2"/>
      <c r="DO478" s="2"/>
      <c r="DP478" s="2"/>
      <c r="DQ478" s="2"/>
      <c r="DR478" s="2"/>
      <c r="DS478" s="2"/>
      <c r="DT478" s="2"/>
      <c r="DU478" s="2"/>
      <c r="DV478" s="2"/>
      <c r="DW478" s="2"/>
      <c r="DX478" s="2"/>
      <c r="DY478" s="2"/>
      <c r="DZ478" s="2"/>
      <c r="EA478" s="2"/>
      <c r="EB478" s="2"/>
      <c r="EC478" s="2"/>
      <c r="ED478" s="2"/>
      <c r="EE478" s="2"/>
      <c r="EF478" s="2"/>
      <c r="EG478" s="2"/>
      <c r="EH478" s="2"/>
      <c r="EI478" s="2"/>
      <c r="EJ478" s="2"/>
      <c r="EK478" s="2"/>
      <c r="EL478" s="2"/>
      <c r="EM478" s="2"/>
      <c r="EN478" s="2"/>
      <c r="EO478" s="2"/>
      <c r="EP478" s="2"/>
      <c r="EQ478" s="2"/>
      <c r="ER478" s="2"/>
      <c r="ES478" s="2"/>
      <c r="ET478" s="2"/>
      <c r="EU478" s="2"/>
      <c r="EV478" s="2"/>
      <c r="EW478" s="2"/>
      <c r="EX478" s="2"/>
      <c r="EY478" s="2"/>
      <c r="EZ478" s="2"/>
      <c r="FA478" s="2"/>
      <c r="FB478" s="2"/>
      <c r="FC478" s="2"/>
      <c r="FD478" s="2"/>
      <c r="FE478" s="2"/>
      <c r="FF478" s="2"/>
      <c r="FG478" s="2"/>
      <c r="FH478" s="2"/>
      <c r="FI478" s="2"/>
      <c r="FJ478" s="2"/>
      <c r="FK478" s="2"/>
      <c r="FL478" s="2"/>
      <c r="FM478" s="2"/>
      <c r="FN478" s="2"/>
      <c r="FO478" s="2"/>
      <c r="FP478" s="2"/>
      <c r="FQ478" s="2"/>
      <c r="FR478" s="2"/>
      <c r="FS478" s="2"/>
      <c r="FT478" s="2"/>
      <c r="FU478" s="2"/>
      <c r="FV478" s="2"/>
      <c r="FW478" s="2"/>
      <c r="FX478" s="2"/>
      <c r="FY478" s="2"/>
      <c r="FZ478" s="2"/>
      <c r="GA478" s="2"/>
      <c r="GB478" s="2"/>
      <c r="GC478" s="2"/>
      <c r="GD478" s="2"/>
      <c r="GE478" s="2"/>
      <c r="GF478" s="2"/>
      <c r="GG478" s="2"/>
      <c r="GH478" s="2"/>
      <c r="GI478" s="2"/>
      <c r="GJ478" s="2"/>
      <c r="GK478" s="2"/>
      <c r="GL478" s="2"/>
      <c r="GM478" s="2"/>
      <c r="GN478" s="2"/>
      <c r="GO478" s="2"/>
      <c r="GP478" s="2"/>
      <c r="GQ478" s="2"/>
      <c r="GR478" s="2"/>
      <c r="GS478" s="2"/>
      <c r="GT478" s="2"/>
      <c r="GU478" s="2"/>
      <c r="GV478" s="2"/>
      <c r="GW478" s="2"/>
      <c r="GX478" s="2"/>
      <c r="GY478" s="2"/>
      <c r="GZ478" s="2"/>
      <c r="HA478" s="2"/>
      <c r="HB478" s="2"/>
      <c r="HC478" s="2"/>
      <c r="HD478" s="2"/>
      <c r="HE478" s="2"/>
      <c r="HF478" s="2"/>
      <c r="HG478" s="2"/>
      <c r="HH478" s="2"/>
      <c r="HI478" s="2"/>
      <c r="HJ478" s="2"/>
      <c r="HK478" s="2"/>
      <c r="HL478" s="2"/>
      <c r="HM478" s="2"/>
      <c r="HN478" s="2"/>
      <c r="HO478" s="2"/>
      <c r="HP478" s="2"/>
      <c r="HQ478" s="2"/>
      <c r="HR478" s="2"/>
      <c r="HS478" s="2"/>
      <c r="HT478" s="2"/>
      <c r="HU478" s="2"/>
      <c r="HV478" s="2"/>
      <c r="HW478" s="2"/>
      <c r="HX478" s="2"/>
      <c r="HY478" s="2"/>
      <c r="HZ478" s="2"/>
      <c r="IA478" s="2"/>
      <c r="IB478" s="2"/>
      <c r="IC478" s="2"/>
    </row>
    <row r="479" spans="1:237" x14ac:dyDescent="0.2">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c r="AA479" s="2"/>
      <c r="AB479" s="2"/>
      <c r="AC479" s="2"/>
      <c r="AD479" s="2"/>
      <c r="AE479" s="2"/>
      <c r="AF479" s="2"/>
      <c r="AG479" s="2"/>
      <c r="AH479" s="2"/>
      <c r="AI479" s="2"/>
      <c r="AJ479" s="2"/>
      <c r="AK479" s="2"/>
      <c r="AL479" s="2"/>
      <c r="AM479" s="2"/>
      <c r="AN479" s="2"/>
      <c r="AO479" s="2"/>
      <c r="AP479" s="2"/>
      <c r="AQ479" s="2"/>
      <c r="AR479" s="2"/>
      <c r="AS479" s="2"/>
      <c r="AT479" s="2"/>
      <c r="AU479" s="2"/>
      <c r="AV479" s="2"/>
      <c r="AW479" s="2"/>
      <c r="AX479" s="2"/>
      <c r="AY479" s="2"/>
      <c r="AZ479" s="2"/>
      <c r="BA479" s="2"/>
      <c r="BB479" s="2"/>
      <c r="BC479" s="2"/>
      <c r="BD479" s="2"/>
      <c r="BE479" s="2"/>
      <c r="BF479" s="2"/>
      <c r="BG479" s="2"/>
      <c r="BH479" s="2"/>
      <c r="BI479" s="2"/>
      <c r="BJ479" s="2"/>
      <c r="BK479" s="2"/>
      <c r="BL479" s="2"/>
      <c r="BM479" s="2"/>
      <c r="BN479" s="2"/>
      <c r="BO479" s="2"/>
      <c r="BP479" s="2"/>
      <c r="BQ479" s="2"/>
      <c r="BR479" s="2"/>
      <c r="BS479" s="2"/>
      <c r="BT479" s="2"/>
      <c r="BU479" s="2"/>
      <c r="BV479" s="2"/>
      <c r="BW479" s="2"/>
      <c r="BX479" s="2"/>
      <c r="BY479" s="2"/>
      <c r="BZ479" s="2"/>
      <c r="CA479" s="2"/>
      <c r="CB479" s="2"/>
      <c r="CC479" s="2"/>
      <c r="CD479" s="2"/>
      <c r="CE479" s="2"/>
      <c r="CF479" s="2"/>
      <c r="CG479" s="2"/>
      <c r="CH479" s="2"/>
      <c r="CI479" s="2"/>
      <c r="CJ479" s="2"/>
      <c r="CK479" s="2"/>
      <c r="CL479" s="2"/>
      <c r="CM479" s="2"/>
      <c r="CN479" s="2"/>
      <c r="CO479" s="2"/>
      <c r="CP479" s="2"/>
      <c r="CQ479" s="2"/>
      <c r="CR479" s="2"/>
      <c r="CS479" s="2"/>
      <c r="CT479" s="2"/>
      <c r="CU479" s="2"/>
      <c r="CV479" s="2"/>
      <c r="CW479" s="2"/>
      <c r="CX479" s="2"/>
      <c r="CY479" s="2"/>
      <c r="CZ479" s="2"/>
      <c r="DA479" s="2"/>
      <c r="DB479" s="2"/>
      <c r="DC479" s="2"/>
      <c r="DD479" s="2"/>
      <c r="DE479" s="2"/>
      <c r="DF479" s="2"/>
      <c r="DG479" s="2"/>
      <c r="DH479" s="2"/>
      <c r="DI479" s="2"/>
      <c r="DJ479" s="2"/>
      <c r="DK479" s="2"/>
      <c r="DL479" s="2"/>
      <c r="DM479" s="2"/>
      <c r="DN479" s="2"/>
      <c r="DO479" s="2"/>
      <c r="DP479" s="2"/>
      <c r="DQ479" s="2"/>
      <c r="DR479" s="2"/>
      <c r="DS479" s="2"/>
      <c r="DT479" s="2"/>
      <c r="DU479" s="2"/>
      <c r="DV479" s="2"/>
      <c r="DW479" s="2"/>
      <c r="DX479" s="2"/>
      <c r="DY479" s="2"/>
      <c r="DZ479" s="2"/>
      <c r="EA479" s="2"/>
      <c r="EB479" s="2"/>
      <c r="EC479" s="2"/>
      <c r="ED479" s="2"/>
      <c r="EE479" s="2"/>
      <c r="EF479" s="2"/>
      <c r="EG479" s="2"/>
      <c r="EH479" s="2"/>
      <c r="EI479" s="2"/>
      <c r="EJ479" s="2"/>
      <c r="EK479" s="2"/>
      <c r="EL479" s="2"/>
      <c r="EM479" s="2"/>
      <c r="EN479" s="2"/>
      <c r="EO479" s="2"/>
      <c r="EP479" s="2"/>
      <c r="EQ479" s="2"/>
      <c r="ER479" s="2"/>
      <c r="ES479" s="2"/>
      <c r="ET479" s="2"/>
      <c r="EU479" s="2"/>
      <c r="EV479" s="2"/>
      <c r="EW479" s="2"/>
      <c r="EX479" s="2"/>
      <c r="EY479" s="2"/>
      <c r="EZ479" s="2"/>
      <c r="FA479" s="2"/>
      <c r="FB479" s="2"/>
      <c r="FC479" s="2"/>
      <c r="FD479" s="2"/>
      <c r="FE479" s="2"/>
      <c r="FF479" s="2"/>
      <c r="FG479" s="2"/>
      <c r="FH479" s="2"/>
      <c r="FI479" s="2"/>
      <c r="FJ479" s="2"/>
      <c r="FK479" s="2"/>
      <c r="FL479" s="2"/>
      <c r="FM479" s="2"/>
      <c r="FN479" s="2"/>
      <c r="FO479" s="2"/>
      <c r="FP479" s="2"/>
      <c r="FQ479" s="2"/>
      <c r="FR479" s="2"/>
      <c r="FS479" s="2"/>
      <c r="FT479" s="2"/>
      <c r="FU479" s="2"/>
      <c r="FV479" s="2"/>
      <c r="FW479" s="2"/>
      <c r="FX479" s="2"/>
      <c r="FY479" s="2"/>
      <c r="FZ479" s="2"/>
      <c r="GA479" s="2"/>
      <c r="GB479" s="2"/>
      <c r="GC479" s="2"/>
      <c r="GD479" s="2"/>
      <c r="GE479" s="2"/>
      <c r="GF479" s="2"/>
      <c r="GG479" s="2"/>
      <c r="GH479" s="2"/>
      <c r="GI479" s="2"/>
      <c r="GJ479" s="2"/>
      <c r="GK479" s="2"/>
      <c r="GL479" s="2"/>
      <c r="GM479" s="2"/>
      <c r="GN479" s="2"/>
      <c r="GO479" s="2"/>
      <c r="GP479" s="2"/>
      <c r="GQ479" s="2"/>
      <c r="GR479" s="2"/>
      <c r="GS479" s="2"/>
      <c r="GT479" s="2"/>
      <c r="GU479" s="2"/>
      <c r="GV479" s="2"/>
      <c r="GW479" s="2"/>
      <c r="GX479" s="2"/>
      <c r="GY479" s="2"/>
      <c r="GZ479" s="2"/>
      <c r="HA479" s="2"/>
      <c r="HB479" s="2"/>
      <c r="HC479" s="2"/>
      <c r="HD479" s="2"/>
      <c r="HE479" s="2"/>
      <c r="HF479" s="2"/>
      <c r="HG479" s="2"/>
      <c r="HH479" s="2"/>
      <c r="HI479" s="2"/>
      <c r="HJ479" s="2"/>
      <c r="HK479" s="2"/>
      <c r="HL479" s="2"/>
      <c r="HM479" s="2"/>
      <c r="HN479" s="2"/>
      <c r="HO479" s="2"/>
      <c r="HP479" s="2"/>
      <c r="HQ479" s="2"/>
      <c r="HR479" s="2"/>
      <c r="HS479" s="2"/>
      <c r="HT479" s="2"/>
      <c r="HU479" s="2"/>
      <c r="HV479" s="2"/>
      <c r="HW479" s="2"/>
      <c r="HX479" s="2"/>
      <c r="HY479" s="2"/>
      <c r="HZ479" s="2"/>
      <c r="IA479" s="2"/>
      <c r="IB479" s="2"/>
      <c r="IC479" s="2"/>
    </row>
    <row r="480" spans="1:237" x14ac:dyDescent="0.2">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c r="AA480" s="2"/>
      <c r="AB480" s="2"/>
      <c r="AC480" s="2"/>
      <c r="AD480" s="2"/>
      <c r="AE480" s="2"/>
      <c r="AF480" s="2"/>
      <c r="AG480" s="2"/>
      <c r="AH480" s="2"/>
      <c r="AI480" s="2"/>
      <c r="AJ480" s="2"/>
      <c r="AK480" s="2"/>
      <c r="AL480" s="2"/>
      <c r="AM480" s="2"/>
      <c r="AN480" s="2"/>
      <c r="AO480" s="2"/>
      <c r="AP480" s="2"/>
      <c r="AQ480" s="2"/>
      <c r="AR480" s="2"/>
      <c r="AS480" s="2"/>
      <c r="AT480" s="2"/>
      <c r="AU480" s="2"/>
      <c r="AV480" s="2"/>
      <c r="AW480" s="2"/>
      <c r="AX480" s="2"/>
      <c r="AY480" s="2"/>
      <c r="AZ480" s="2"/>
      <c r="BA480" s="2"/>
      <c r="BB480" s="2"/>
      <c r="BC480" s="2"/>
      <c r="BD480" s="2"/>
      <c r="BE480" s="2"/>
      <c r="BF480" s="2"/>
      <c r="BG480" s="2"/>
      <c r="BH480" s="2"/>
      <c r="BI480" s="2"/>
      <c r="BJ480" s="2"/>
      <c r="BK480" s="2"/>
      <c r="BL480" s="2"/>
      <c r="BM480" s="2"/>
      <c r="BN480" s="2"/>
      <c r="BO480" s="2"/>
      <c r="BP480" s="2"/>
      <c r="BQ480" s="2"/>
      <c r="BR480" s="2"/>
      <c r="BS480" s="2"/>
      <c r="BT480" s="2"/>
      <c r="BU480" s="2"/>
      <c r="BV480" s="2"/>
      <c r="BW480" s="2"/>
      <c r="BX480" s="2"/>
      <c r="BY480" s="2"/>
      <c r="BZ480" s="2"/>
      <c r="CA480" s="2"/>
      <c r="CB480" s="2"/>
      <c r="CC480" s="2"/>
      <c r="CD480" s="2"/>
      <c r="CE480" s="2"/>
      <c r="CF480" s="2"/>
      <c r="CG480" s="2"/>
      <c r="CH480" s="2"/>
      <c r="CI480" s="2"/>
      <c r="CJ480" s="2"/>
      <c r="CK480" s="2"/>
      <c r="CL480" s="2"/>
      <c r="CM480" s="2"/>
      <c r="CN480" s="2"/>
      <c r="CO480" s="2"/>
      <c r="CP480" s="2"/>
      <c r="CQ480" s="2"/>
      <c r="CR480" s="2"/>
      <c r="CS480" s="2"/>
      <c r="CT480" s="2"/>
      <c r="CU480" s="2"/>
      <c r="CV480" s="2"/>
      <c r="CW480" s="2"/>
      <c r="CX480" s="2"/>
      <c r="CY480" s="2"/>
      <c r="CZ480" s="2"/>
      <c r="DA480" s="2"/>
      <c r="DB480" s="2"/>
      <c r="DC480" s="2"/>
      <c r="DD480" s="2"/>
      <c r="DE480" s="2"/>
      <c r="DF480" s="2"/>
      <c r="DG480" s="2"/>
      <c r="DH480" s="2"/>
      <c r="DI480" s="2"/>
      <c r="DJ480" s="2"/>
      <c r="DK480" s="2"/>
      <c r="DL480" s="2"/>
      <c r="DM480" s="2"/>
      <c r="DN480" s="2"/>
      <c r="DO480" s="2"/>
      <c r="DP480" s="2"/>
      <c r="DQ480" s="2"/>
      <c r="DR480" s="2"/>
      <c r="DS480" s="2"/>
      <c r="DT480" s="2"/>
      <c r="DU480" s="2"/>
      <c r="DV480" s="2"/>
      <c r="DW480" s="2"/>
      <c r="DX480" s="2"/>
      <c r="DY480" s="2"/>
      <c r="DZ480" s="2"/>
      <c r="EA480" s="2"/>
      <c r="EB480" s="2"/>
      <c r="EC480" s="2"/>
      <c r="ED480" s="2"/>
      <c r="EE480" s="2"/>
      <c r="EF480" s="2"/>
      <c r="EG480" s="2"/>
      <c r="EH480" s="2"/>
      <c r="EI480" s="2"/>
      <c r="EJ480" s="2"/>
      <c r="EK480" s="2"/>
      <c r="EL480" s="2"/>
      <c r="EM480" s="2"/>
      <c r="EN480" s="2"/>
      <c r="EO480" s="2"/>
      <c r="EP480" s="2"/>
      <c r="EQ480" s="2"/>
      <c r="ER480" s="2"/>
      <c r="ES480" s="2"/>
      <c r="ET480" s="2"/>
      <c r="EU480" s="2"/>
      <c r="EV480" s="2"/>
      <c r="EW480" s="2"/>
      <c r="EX480" s="2"/>
      <c r="EY480" s="2"/>
      <c r="EZ480" s="2"/>
      <c r="FA480" s="2"/>
      <c r="FB480" s="2"/>
      <c r="FC480" s="2"/>
      <c r="FD480" s="2"/>
      <c r="FE480" s="2"/>
      <c r="FF480" s="2"/>
      <c r="FG480" s="2"/>
      <c r="FH480" s="2"/>
      <c r="FI480" s="2"/>
      <c r="FJ480" s="2"/>
      <c r="FK480" s="2"/>
      <c r="FL480" s="2"/>
      <c r="FM480" s="2"/>
      <c r="FN480" s="2"/>
      <c r="FO480" s="2"/>
      <c r="FP480" s="2"/>
      <c r="FQ480" s="2"/>
      <c r="FR480" s="2"/>
      <c r="FS480" s="2"/>
      <c r="FT480" s="2"/>
      <c r="FU480" s="2"/>
      <c r="FV480" s="2"/>
      <c r="FW480" s="2"/>
      <c r="FX480" s="2"/>
      <c r="FY480" s="2"/>
      <c r="FZ480" s="2"/>
      <c r="GA480" s="2"/>
      <c r="GB480" s="2"/>
      <c r="GC480" s="2"/>
      <c r="GD480" s="2"/>
      <c r="GE480" s="2"/>
      <c r="GF480" s="2"/>
      <c r="GG480" s="2"/>
      <c r="GH480" s="2"/>
      <c r="GI480" s="2"/>
      <c r="GJ480" s="2"/>
      <c r="GK480" s="2"/>
      <c r="GL480" s="2"/>
      <c r="GM480" s="2"/>
      <c r="GN480" s="2"/>
      <c r="GO480" s="2"/>
      <c r="GP480" s="2"/>
      <c r="GQ480" s="2"/>
      <c r="GR480" s="2"/>
      <c r="GS480" s="2"/>
      <c r="GT480" s="2"/>
      <c r="GU480" s="2"/>
      <c r="GV480" s="2"/>
      <c r="GW480" s="2"/>
      <c r="GX480" s="2"/>
      <c r="GY480" s="2"/>
      <c r="GZ480" s="2"/>
      <c r="HA480" s="2"/>
      <c r="HB480" s="2"/>
      <c r="HC480" s="2"/>
      <c r="HD480" s="2"/>
      <c r="HE480" s="2"/>
      <c r="HF480" s="2"/>
      <c r="HG480" s="2"/>
      <c r="HH480" s="2"/>
      <c r="HI480" s="2"/>
      <c r="HJ480" s="2"/>
      <c r="HK480" s="2"/>
      <c r="HL480" s="2"/>
      <c r="HM480" s="2"/>
      <c r="HN480" s="2"/>
      <c r="HO480" s="2"/>
      <c r="HP480" s="2"/>
      <c r="HQ480" s="2"/>
      <c r="HR480" s="2"/>
      <c r="HS480" s="2"/>
      <c r="HT480" s="2"/>
      <c r="HU480" s="2"/>
      <c r="HV480" s="2"/>
      <c r="HW480" s="2"/>
      <c r="HX480" s="2"/>
      <c r="HY480" s="2"/>
      <c r="HZ480" s="2"/>
      <c r="IA480" s="2"/>
      <c r="IB480" s="2"/>
      <c r="IC480" s="2"/>
    </row>
    <row r="481" spans="1:237" x14ac:dyDescent="0.2">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c r="AA481" s="2"/>
      <c r="AB481" s="2"/>
      <c r="AC481" s="2"/>
      <c r="AD481" s="2"/>
      <c r="AE481" s="2"/>
      <c r="AF481" s="2"/>
      <c r="AG481" s="2"/>
      <c r="AH481" s="2"/>
      <c r="AI481" s="2"/>
      <c r="AJ481" s="2"/>
      <c r="AK481" s="2"/>
      <c r="AL481" s="2"/>
      <c r="AM481" s="2"/>
      <c r="AN481" s="2"/>
      <c r="AO481" s="2"/>
      <c r="AP481" s="2"/>
      <c r="AQ481" s="2"/>
      <c r="AR481" s="2"/>
      <c r="AS481" s="2"/>
      <c r="AT481" s="2"/>
      <c r="AU481" s="2"/>
      <c r="AV481" s="2"/>
      <c r="AW481" s="2"/>
      <c r="AX481" s="2"/>
      <c r="AY481" s="2"/>
      <c r="AZ481" s="2"/>
      <c r="BA481" s="2"/>
      <c r="BB481" s="2"/>
      <c r="BC481" s="2"/>
      <c r="BD481" s="2"/>
      <c r="BE481" s="2"/>
      <c r="BF481" s="2"/>
      <c r="BG481" s="2"/>
      <c r="BH481" s="2"/>
      <c r="BI481" s="2"/>
      <c r="BJ481" s="2"/>
      <c r="BK481" s="2"/>
      <c r="BL481" s="2"/>
      <c r="BM481" s="2"/>
      <c r="BN481" s="2"/>
      <c r="BO481" s="2"/>
      <c r="BP481" s="2"/>
      <c r="BQ481" s="2"/>
      <c r="BR481" s="2"/>
      <c r="BS481" s="2"/>
      <c r="BT481" s="2"/>
      <c r="BU481" s="2"/>
      <c r="BV481" s="2"/>
      <c r="BW481" s="2"/>
      <c r="BX481" s="2"/>
      <c r="BY481" s="2"/>
      <c r="BZ481" s="2"/>
      <c r="CA481" s="2"/>
      <c r="CB481" s="2"/>
      <c r="CC481" s="2"/>
      <c r="CD481" s="2"/>
      <c r="CE481" s="2"/>
      <c r="CF481" s="2"/>
      <c r="CG481" s="2"/>
      <c r="CH481" s="2"/>
      <c r="CI481" s="2"/>
      <c r="CJ481" s="2"/>
      <c r="CK481" s="2"/>
      <c r="CL481" s="2"/>
      <c r="CM481" s="2"/>
      <c r="CN481" s="2"/>
      <c r="CO481" s="2"/>
      <c r="CP481" s="2"/>
      <c r="CQ481" s="2"/>
      <c r="CR481" s="2"/>
      <c r="CS481" s="2"/>
      <c r="CT481" s="2"/>
      <c r="CU481" s="2"/>
      <c r="CV481" s="2"/>
      <c r="CW481" s="2"/>
      <c r="CX481" s="2"/>
      <c r="CY481" s="2"/>
      <c r="CZ481" s="2"/>
      <c r="DA481" s="2"/>
      <c r="DB481" s="2"/>
      <c r="DC481" s="2"/>
      <c r="DD481" s="2"/>
      <c r="DE481" s="2"/>
      <c r="DF481" s="2"/>
      <c r="DG481" s="2"/>
      <c r="DH481" s="2"/>
      <c r="DI481" s="2"/>
      <c r="DJ481" s="2"/>
      <c r="DK481" s="2"/>
      <c r="DL481" s="2"/>
      <c r="DM481" s="2"/>
      <c r="DN481" s="2"/>
      <c r="DO481" s="2"/>
      <c r="DP481" s="2"/>
      <c r="DQ481" s="2"/>
      <c r="DR481" s="2"/>
      <c r="DS481" s="2"/>
      <c r="DT481" s="2"/>
      <c r="DU481" s="2"/>
      <c r="DV481" s="2"/>
      <c r="DW481" s="2"/>
      <c r="DX481" s="2"/>
      <c r="DY481" s="2"/>
      <c r="DZ481" s="2"/>
      <c r="EA481" s="2"/>
      <c r="EB481" s="2"/>
      <c r="EC481" s="2"/>
      <c r="ED481" s="2"/>
      <c r="EE481" s="2"/>
      <c r="EF481" s="2"/>
      <c r="EG481" s="2"/>
      <c r="EH481" s="2"/>
      <c r="EI481" s="2"/>
      <c r="EJ481" s="2"/>
      <c r="EK481" s="2"/>
      <c r="EL481" s="2"/>
      <c r="EM481" s="2"/>
      <c r="EN481" s="2"/>
      <c r="EO481" s="2"/>
      <c r="EP481" s="2"/>
      <c r="EQ481" s="2"/>
      <c r="ER481" s="2"/>
      <c r="ES481" s="2"/>
      <c r="ET481" s="2"/>
      <c r="EU481" s="2"/>
      <c r="EV481" s="2"/>
      <c r="EW481" s="2"/>
      <c r="EX481" s="2"/>
      <c r="EY481" s="2"/>
      <c r="EZ481" s="2"/>
      <c r="FA481" s="2"/>
      <c r="FB481" s="2"/>
      <c r="FC481" s="2"/>
      <c r="FD481" s="2"/>
      <c r="FE481" s="2"/>
      <c r="FF481" s="2"/>
      <c r="FG481" s="2"/>
      <c r="FH481" s="2"/>
      <c r="FI481" s="2"/>
      <c r="FJ481" s="2"/>
      <c r="FK481" s="2"/>
      <c r="FL481" s="2"/>
      <c r="FM481" s="2"/>
      <c r="FN481" s="2"/>
      <c r="FO481" s="2"/>
      <c r="FP481" s="2"/>
      <c r="FQ481" s="2"/>
      <c r="FR481" s="2"/>
      <c r="FS481" s="2"/>
      <c r="FT481" s="2"/>
      <c r="FU481" s="2"/>
      <c r="FV481" s="2"/>
      <c r="FW481" s="2"/>
      <c r="FX481" s="2"/>
      <c r="FY481" s="2"/>
      <c r="FZ481" s="2"/>
      <c r="GA481" s="2"/>
      <c r="GB481" s="2"/>
      <c r="GC481" s="2"/>
      <c r="GD481" s="2"/>
      <c r="GE481" s="2"/>
      <c r="GF481" s="2"/>
      <c r="GG481" s="2"/>
      <c r="GH481" s="2"/>
      <c r="GI481" s="2"/>
      <c r="GJ481" s="2"/>
      <c r="GK481" s="2"/>
      <c r="GL481" s="2"/>
      <c r="GM481" s="2"/>
      <c r="GN481" s="2"/>
      <c r="GO481" s="2"/>
      <c r="GP481" s="2"/>
      <c r="GQ481" s="2"/>
      <c r="GR481" s="2"/>
      <c r="GS481" s="2"/>
      <c r="GT481" s="2"/>
      <c r="GU481" s="2"/>
      <c r="GV481" s="2"/>
      <c r="GW481" s="2"/>
      <c r="GX481" s="2"/>
      <c r="GY481" s="2"/>
      <c r="GZ481" s="2"/>
      <c r="HA481" s="2"/>
      <c r="HB481" s="2"/>
      <c r="HC481" s="2"/>
      <c r="HD481" s="2"/>
      <c r="HE481" s="2"/>
      <c r="HF481" s="2"/>
      <c r="HG481" s="2"/>
      <c r="HH481" s="2"/>
      <c r="HI481" s="2"/>
      <c r="HJ481" s="2"/>
      <c r="HK481" s="2"/>
      <c r="HL481" s="2"/>
      <c r="HM481" s="2"/>
      <c r="HN481" s="2"/>
      <c r="HO481" s="2"/>
      <c r="HP481" s="2"/>
      <c r="HQ481" s="2"/>
      <c r="HR481" s="2"/>
      <c r="HS481" s="2"/>
      <c r="HT481" s="2"/>
      <c r="HU481" s="2"/>
      <c r="HV481" s="2"/>
      <c r="HW481" s="2"/>
      <c r="HX481" s="2"/>
      <c r="HY481" s="2"/>
      <c r="HZ481" s="2"/>
      <c r="IA481" s="2"/>
      <c r="IB481" s="2"/>
      <c r="IC481" s="2"/>
    </row>
    <row r="482" spans="1:237" x14ac:dyDescent="0.2">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c r="AA482" s="2"/>
      <c r="AB482" s="2"/>
      <c r="AC482" s="2"/>
      <c r="AD482" s="2"/>
      <c r="AE482" s="2"/>
      <c r="AF482" s="2"/>
      <c r="AG482" s="2"/>
      <c r="AH482" s="2"/>
      <c r="AI482" s="2"/>
      <c r="AJ482" s="2"/>
      <c r="AK482" s="2"/>
      <c r="AL482" s="2"/>
      <c r="AM482" s="2"/>
      <c r="AN482" s="2"/>
      <c r="AO482" s="2"/>
      <c r="AP482" s="2"/>
      <c r="AQ482" s="2"/>
      <c r="AR482" s="2"/>
      <c r="AS482" s="2"/>
      <c r="AT482" s="2"/>
      <c r="AU482" s="2"/>
      <c r="AV482" s="2"/>
      <c r="AW482" s="2"/>
      <c r="AX482" s="2"/>
      <c r="AY482" s="2"/>
      <c r="AZ482" s="2"/>
      <c r="BA482" s="2"/>
      <c r="BB482" s="2"/>
      <c r="BC482" s="2"/>
      <c r="BD482" s="2"/>
      <c r="BE482" s="2"/>
      <c r="BF482" s="2"/>
      <c r="BG482" s="2"/>
      <c r="BH482" s="2"/>
      <c r="BI482" s="2"/>
      <c r="BJ482" s="2"/>
      <c r="BK482" s="2"/>
      <c r="BL482" s="2"/>
      <c r="BM482" s="2"/>
      <c r="BN482" s="2"/>
      <c r="BO482" s="2"/>
      <c r="BP482" s="2"/>
      <c r="BQ482" s="2"/>
      <c r="BR482" s="2"/>
      <c r="BS482" s="2"/>
      <c r="BT482" s="2"/>
      <c r="BU482" s="2"/>
      <c r="BV482" s="2"/>
      <c r="BW482" s="2"/>
      <c r="BX482" s="2"/>
      <c r="BY482" s="2"/>
      <c r="BZ482" s="2"/>
      <c r="CA482" s="2"/>
      <c r="CB482" s="2"/>
      <c r="CC482" s="2"/>
      <c r="CD482" s="2"/>
      <c r="CE482" s="2"/>
      <c r="CF482" s="2"/>
      <c r="CG482" s="2"/>
      <c r="CH482" s="2"/>
      <c r="CI482" s="2"/>
      <c r="CJ482" s="2"/>
      <c r="CK482" s="2"/>
      <c r="CL482" s="2"/>
      <c r="CM482" s="2"/>
      <c r="CN482" s="2"/>
      <c r="CO482" s="2"/>
      <c r="CP482" s="2"/>
      <c r="CQ482" s="2"/>
      <c r="CR482" s="2"/>
      <c r="CS482" s="2"/>
      <c r="CT482" s="2"/>
      <c r="CU482" s="2"/>
      <c r="CV482" s="2"/>
      <c r="CW482" s="2"/>
      <c r="CX482" s="2"/>
      <c r="CY482" s="2"/>
      <c r="CZ482" s="2"/>
      <c r="DA482" s="2"/>
      <c r="DB482" s="2"/>
      <c r="DC482" s="2"/>
      <c r="DD482" s="2"/>
      <c r="DE482" s="2"/>
      <c r="DF482" s="2"/>
      <c r="DG482" s="2"/>
      <c r="DH482" s="2"/>
      <c r="DI482" s="2"/>
      <c r="DJ482" s="2"/>
      <c r="DK482" s="2"/>
      <c r="DL482" s="2"/>
      <c r="DM482" s="2"/>
      <c r="DN482" s="2"/>
      <c r="DO482" s="2"/>
      <c r="DP482" s="2"/>
      <c r="DQ482" s="2"/>
      <c r="DR482" s="2"/>
      <c r="DS482" s="2"/>
      <c r="DT482" s="2"/>
      <c r="DU482" s="2"/>
      <c r="DV482" s="2"/>
      <c r="DW482" s="2"/>
      <c r="DX482" s="2"/>
      <c r="DY482" s="2"/>
      <c r="DZ482" s="2"/>
      <c r="EA482" s="2"/>
      <c r="EB482" s="2"/>
      <c r="EC482" s="2"/>
      <c r="ED482" s="2"/>
      <c r="EE482" s="2"/>
      <c r="EF482" s="2"/>
      <c r="EG482" s="2"/>
      <c r="EH482" s="2"/>
      <c r="EI482" s="2"/>
      <c r="EJ482" s="2"/>
      <c r="EK482" s="2"/>
      <c r="EL482" s="2"/>
      <c r="EM482" s="2"/>
      <c r="EN482" s="2"/>
      <c r="EO482" s="2"/>
      <c r="EP482" s="2"/>
      <c r="EQ482" s="2"/>
      <c r="ER482" s="2"/>
      <c r="ES482" s="2"/>
      <c r="ET482" s="2"/>
      <c r="EU482" s="2"/>
      <c r="EV482" s="2"/>
      <c r="EW482" s="2"/>
      <c r="EX482" s="2"/>
      <c r="EY482" s="2"/>
      <c r="EZ482" s="2"/>
      <c r="FA482" s="2"/>
      <c r="FB482" s="2"/>
      <c r="FC482" s="2"/>
      <c r="FD482" s="2"/>
      <c r="FE482" s="2"/>
      <c r="FF482" s="2"/>
      <c r="FG482" s="2"/>
      <c r="FH482" s="2"/>
      <c r="FI482" s="2"/>
      <c r="FJ482" s="2"/>
      <c r="FK482" s="2"/>
      <c r="FL482" s="2"/>
      <c r="FM482" s="2"/>
      <c r="FN482" s="2"/>
      <c r="FO482" s="2"/>
      <c r="FP482" s="2"/>
      <c r="FQ482" s="2"/>
      <c r="FR482" s="2"/>
      <c r="FS482" s="2"/>
      <c r="FT482" s="2"/>
      <c r="FU482" s="2"/>
      <c r="FV482" s="2"/>
      <c r="FW482" s="2"/>
      <c r="FX482" s="2"/>
      <c r="FY482" s="2"/>
      <c r="FZ482" s="2"/>
      <c r="GA482" s="2"/>
      <c r="GB482" s="2"/>
      <c r="GC482" s="2"/>
      <c r="GD482" s="2"/>
      <c r="GE482" s="2"/>
      <c r="GF482" s="2"/>
      <c r="GG482" s="2"/>
      <c r="GH482" s="2"/>
      <c r="GI482" s="2"/>
      <c r="GJ482" s="2"/>
      <c r="GK482" s="2"/>
      <c r="GL482" s="2"/>
      <c r="GM482" s="2"/>
      <c r="GN482" s="2"/>
      <c r="GO482" s="2"/>
      <c r="GP482" s="2"/>
      <c r="GQ482" s="2"/>
      <c r="GR482" s="2"/>
      <c r="GS482" s="2"/>
      <c r="GT482" s="2"/>
      <c r="GU482" s="2"/>
      <c r="GV482" s="2"/>
      <c r="GW482" s="2"/>
      <c r="GX482" s="2"/>
      <c r="GY482" s="2"/>
      <c r="GZ482" s="2"/>
      <c r="HA482" s="2"/>
      <c r="HB482" s="2"/>
      <c r="HC482" s="2"/>
      <c r="HD482" s="2"/>
      <c r="HE482" s="2"/>
      <c r="HF482" s="2"/>
      <c r="HG482" s="2"/>
      <c r="HH482" s="2"/>
      <c r="HI482" s="2"/>
      <c r="HJ482" s="2"/>
      <c r="HK482" s="2"/>
      <c r="HL482" s="2"/>
      <c r="HM482" s="2"/>
      <c r="HN482" s="2"/>
      <c r="HO482" s="2"/>
      <c r="HP482" s="2"/>
      <c r="HQ482" s="2"/>
      <c r="HR482" s="2"/>
      <c r="HS482" s="2"/>
      <c r="HT482" s="2"/>
      <c r="HU482" s="2"/>
      <c r="HV482" s="2"/>
      <c r="HW482" s="2"/>
      <c r="HX482" s="2"/>
      <c r="HY482" s="2"/>
      <c r="HZ482" s="2"/>
      <c r="IA482" s="2"/>
      <c r="IB482" s="2"/>
      <c r="IC482" s="2"/>
    </row>
    <row r="483" spans="1:237" x14ac:dyDescent="0.2">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c r="AA483" s="2"/>
      <c r="AB483" s="2"/>
      <c r="AC483" s="2"/>
      <c r="AD483" s="2"/>
      <c r="AE483" s="2"/>
      <c r="AF483" s="2"/>
      <c r="AG483" s="2"/>
      <c r="AH483" s="2"/>
      <c r="AI483" s="2"/>
      <c r="AJ483" s="2"/>
      <c r="AK483" s="2"/>
      <c r="AL483" s="2"/>
      <c r="AM483" s="2"/>
      <c r="AN483" s="2"/>
      <c r="AO483" s="2"/>
      <c r="AP483" s="2"/>
      <c r="AQ483" s="2"/>
      <c r="AR483" s="2"/>
      <c r="AS483" s="2"/>
      <c r="AT483" s="2"/>
      <c r="AU483" s="2"/>
      <c r="AV483" s="2"/>
      <c r="AW483" s="2"/>
      <c r="AX483" s="2"/>
      <c r="AY483" s="2"/>
      <c r="AZ483" s="2"/>
      <c r="BA483" s="2"/>
      <c r="BB483" s="2"/>
      <c r="BC483" s="2"/>
      <c r="BD483" s="2"/>
      <c r="BE483" s="2"/>
      <c r="BF483" s="2"/>
      <c r="BG483" s="2"/>
      <c r="BH483" s="2"/>
      <c r="BI483" s="2"/>
      <c r="BJ483" s="2"/>
      <c r="BK483" s="2"/>
      <c r="BL483" s="2"/>
      <c r="BM483" s="2"/>
      <c r="BN483" s="2"/>
      <c r="BO483" s="2"/>
      <c r="BP483" s="2"/>
      <c r="BQ483" s="2"/>
      <c r="BR483" s="2"/>
      <c r="BS483" s="2"/>
      <c r="BT483" s="2"/>
      <c r="BU483" s="2"/>
      <c r="BV483" s="2"/>
      <c r="BW483" s="2"/>
      <c r="BX483" s="2"/>
      <c r="BY483" s="2"/>
      <c r="BZ483" s="2"/>
      <c r="CA483" s="2"/>
      <c r="CB483" s="2"/>
      <c r="CC483" s="2"/>
      <c r="CD483" s="2"/>
      <c r="CE483" s="2"/>
      <c r="CF483" s="2"/>
      <c r="CG483" s="2"/>
      <c r="CH483" s="2"/>
      <c r="CI483" s="2"/>
      <c r="CJ483" s="2"/>
      <c r="CK483" s="2"/>
      <c r="CL483" s="2"/>
      <c r="CM483" s="2"/>
      <c r="CN483" s="2"/>
      <c r="CO483" s="2"/>
      <c r="CP483" s="2"/>
      <c r="CQ483" s="2"/>
      <c r="CR483" s="2"/>
      <c r="CS483" s="2"/>
      <c r="CT483" s="2"/>
      <c r="CU483" s="2"/>
      <c r="CV483" s="2"/>
      <c r="CW483" s="2"/>
      <c r="CX483" s="2"/>
      <c r="CY483" s="2"/>
      <c r="CZ483" s="2"/>
      <c r="DA483" s="2"/>
      <c r="DB483" s="2"/>
      <c r="DC483" s="2"/>
      <c r="DD483" s="2"/>
      <c r="DE483" s="2"/>
      <c r="DF483" s="2"/>
      <c r="DG483" s="2"/>
      <c r="DH483" s="2"/>
      <c r="DI483" s="2"/>
      <c r="DJ483" s="2"/>
      <c r="DK483" s="2"/>
      <c r="DL483" s="2"/>
      <c r="DM483" s="2"/>
      <c r="DN483" s="2"/>
      <c r="DO483" s="2"/>
      <c r="DP483" s="2"/>
      <c r="DQ483" s="2"/>
      <c r="DR483" s="2"/>
      <c r="DS483" s="2"/>
      <c r="DT483" s="2"/>
      <c r="DU483" s="2"/>
      <c r="DV483" s="2"/>
      <c r="DW483" s="2"/>
      <c r="DX483" s="2"/>
      <c r="DY483" s="2"/>
      <c r="DZ483" s="2"/>
      <c r="EA483" s="2"/>
      <c r="EB483" s="2"/>
      <c r="EC483" s="2"/>
      <c r="ED483" s="2"/>
      <c r="EE483" s="2"/>
      <c r="EF483" s="2"/>
      <c r="EG483" s="2"/>
      <c r="EH483" s="2"/>
      <c r="EI483" s="2"/>
      <c r="EJ483" s="2"/>
      <c r="EK483" s="2"/>
      <c r="EL483" s="2"/>
      <c r="EM483" s="2"/>
      <c r="EN483" s="2"/>
      <c r="EO483" s="2"/>
      <c r="EP483" s="2"/>
      <c r="EQ483" s="2"/>
      <c r="ER483" s="2"/>
      <c r="ES483" s="2"/>
      <c r="ET483" s="2"/>
      <c r="EU483" s="2"/>
      <c r="EV483" s="2"/>
      <c r="EW483" s="2"/>
      <c r="EX483" s="2"/>
      <c r="EY483" s="2"/>
      <c r="EZ483" s="2"/>
      <c r="FA483" s="2"/>
      <c r="FB483" s="2"/>
      <c r="FC483" s="2"/>
      <c r="FD483" s="2"/>
      <c r="FE483" s="2"/>
      <c r="FF483" s="2"/>
      <c r="FG483" s="2"/>
      <c r="FH483" s="2"/>
      <c r="FI483" s="2"/>
      <c r="FJ483" s="2"/>
      <c r="FK483" s="2"/>
      <c r="FL483" s="2"/>
      <c r="FM483" s="2"/>
      <c r="FN483" s="2"/>
      <c r="FO483" s="2"/>
      <c r="FP483" s="2"/>
      <c r="FQ483" s="2"/>
      <c r="FR483" s="2"/>
      <c r="FS483" s="2"/>
      <c r="FT483" s="2"/>
      <c r="FU483" s="2"/>
      <c r="FV483" s="2"/>
      <c r="FW483" s="2"/>
      <c r="FX483" s="2"/>
      <c r="FY483" s="2"/>
      <c r="FZ483" s="2"/>
      <c r="GA483" s="2"/>
      <c r="GB483" s="2"/>
      <c r="GC483" s="2"/>
      <c r="GD483" s="2"/>
      <c r="GE483" s="2"/>
      <c r="GF483" s="2"/>
      <c r="GG483" s="2"/>
      <c r="GH483" s="2"/>
      <c r="GI483" s="2"/>
      <c r="GJ483" s="2"/>
      <c r="GK483" s="2"/>
      <c r="GL483" s="2"/>
      <c r="GM483" s="2"/>
      <c r="GN483" s="2"/>
      <c r="GO483" s="2"/>
      <c r="GP483" s="2"/>
      <c r="GQ483" s="2"/>
      <c r="GR483" s="2"/>
      <c r="GS483" s="2"/>
      <c r="GT483" s="2"/>
      <c r="GU483" s="2"/>
      <c r="GV483" s="2"/>
      <c r="GW483" s="2"/>
      <c r="GX483" s="2"/>
      <c r="GY483" s="2"/>
      <c r="GZ483" s="2"/>
      <c r="HA483" s="2"/>
      <c r="HB483" s="2"/>
      <c r="HC483" s="2"/>
      <c r="HD483" s="2"/>
      <c r="HE483" s="2"/>
      <c r="HF483" s="2"/>
      <c r="HG483" s="2"/>
      <c r="HH483" s="2"/>
      <c r="HI483" s="2"/>
      <c r="HJ483" s="2"/>
      <c r="HK483" s="2"/>
      <c r="HL483" s="2"/>
      <c r="HM483" s="2"/>
      <c r="HN483" s="2"/>
      <c r="HO483" s="2"/>
      <c r="HP483" s="2"/>
      <c r="HQ483" s="2"/>
      <c r="HR483" s="2"/>
      <c r="HS483" s="2"/>
      <c r="HT483" s="2"/>
      <c r="HU483" s="2"/>
      <c r="HV483" s="2"/>
      <c r="HW483" s="2"/>
      <c r="HX483" s="2"/>
      <c r="HY483" s="2"/>
      <c r="HZ483" s="2"/>
      <c r="IA483" s="2"/>
      <c r="IB483" s="2"/>
      <c r="IC483" s="2"/>
    </row>
    <row r="484" spans="1:237" x14ac:dyDescent="0.2">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c r="AA484" s="2"/>
      <c r="AB484" s="2"/>
      <c r="AC484" s="2"/>
      <c r="AD484" s="2"/>
      <c r="AE484" s="2"/>
      <c r="AF484" s="2"/>
      <c r="AG484" s="2"/>
      <c r="AH484" s="2"/>
      <c r="AI484" s="2"/>
      <c r="AJ484" s="2"/>
      <c r="AK484" s="2"/>
      <c r="AL484" s="2"/>
      <c r="AM484" s="2"/>
      <c r="AN484" s="2"/>
      <c r="AO484" s="2"/>
      <c r="AP484" s="2"/>
      <c r="AQ484" s="2"/>
      <c r="AR484" s="2"/>
      <c r="AS484" s="2"/>
      <c r="AT484" s="2"/>
      <c r="AU484" s="2"/>
      <c r="AV484" s="2"/>
      <c r="AW484" s="2"/>
      <c r="AX484" s="2"/>
      <c r="AY484" s="2"/>
      <c r="AZ484" s="2"/>
      <c r="BA484" s="2"/>
      <c r="BB484" s="2"/>
      <c r="BC484" s="2"/>
      <c r="BD484" s="2"/>
      <c r="BE484" s="2"/>
      <c r="BF484" s="2"/>
      <c r="BG484" s="2"/>
      <c r="BH484" s="2"/>
      <c r="BI484" s="2"/>
      <c r="BJ484" s="2"/>
      <c r="BK484" s="2"/>
      <c r="BL484" s="2"/>
      <c r="BM484" s="2"/>
      <c r="BN484" s="2"/>
      <c r="BO484" s="2"/>
      <c r="BP484" s="2"/>
      <c r="BQ484" s="2"/>
      <c r="BR484" s="2"/>
      <c r="BS484" s="2"/>
      <c r="BT484" s="2"/>
      <c r="BU484" s="2"/>
      <c r="BV484" s="2"/>
      <c r="BW484" s="2"/>
      <c r="BX484" s="2"/>
      <c r="BY484" s="2"/>
      <c r="BZ484" s="2"/>
      <c r="CA484" s="2"/>
      <c r="CB484" s="2"/>
      <c r="CC484" s="2"/>
      <c r="CD484" s="2"/>
      <c r="CE484" s="2"/>
      <c r="CF484" s="2"/>
      <c r="CG484" s="2"/>
      <c r="CH484" s="2"/>
      <c r="CI484" s="2"/>
      <c r="CJ484" s="2"/>
      <c r="CK484" s="2"/>
      <c r="CL484" s="2"/>
      <c r="CM484" s="2"/>
      <c r="CN484" s="2"/>
      <c r="CO484" s="2"/>
      <c r="CP484" s="2"/>
      <c r="CQ484" s="2"/>
      <c r="CR484" s="2"/>
      <c r="CS484" s="2"/>
      <c r="CT484" s="2"/>
      <c r="CU484" s="2"/>
      <c r="CV484" s="2"/>
      <c r="CW484" s="2"/>
      <c r="CX484" s="2"/>
      <c r="CY484" s="2"/>
      <c r="CZ484" s="2"/>
      <c r="DA484" s="2"/>
      <c r="DB484" s="2"/>
      <c r="DC484" s="2"/>
      <c r="DD484" s="2"/>
      <c r="DE484" s="2"/>
      <c r="DF484" s="2"/>
      <c r="DG484" s="2"/>
      <c r="DH484" s="2"/>
      <c r="DI484" s="2"/>
      <c r="DJ484" s="2"/>
      <c r="DK484" s="2"/>
      <c r="DL484" s="2"/>
      <c r="DM484" s="2"/>
      <c r="DN484" s="2"/>
      <c r="DO484" s="2"/>
      <c r="DP484" s="2"/>
      <c r="DQ484" s="2"/>
      <c r="DR484" s="2"/>
      <c r="DS484" s="2"/>
      <c r="DT484" s="2"/>
      <c r="DU484" s="2"/>
      <c r="DV484" s="2"/>
      <c r="DW484" s="2"/>
      <c r="DX484" s="2"/>
      <c r="DY484" s="2"/>
      <c r="DZ484" s="2"/>
      <c r="EA484" s="2"/>
      <c r="EB484" s="2"/>
      <c r="EC484" s="2"/>
      <c r="ED484" s="2"/>
      <c r="EE484" s="2"/>
      <c r="EF484" s="2"/>
      <c r="EG484" s="2"/>
      <c r="EH484" s="2"/>
      <c r="EI484" s="2"/>
      <c r="EJ484" s="2"/>
      <c r="EK484" s="2"/>
      <c r="EL484" s="2"/>
      <c r="EM484" s="2"/>
      <c r="EN484" s="2"/>
      <c r="EO484" s="2"/>
      <c r="EP484" s="2"/>
      <c r="EQ484" s="2"/>
      <c r="ER484" s="2"/>
      <c r="ES484" s="2"/>
      <c r="ET484" s="2"/>
      <c r="EU484" s="2"/>
      <c r="EV484" s="2"/>
      <c r="EW484" s="2"/>
      <c r="EX484" s="2"/>
      <c r="EY484" s="2"/>
      <c r="EZ484" s="2"/>
      <c r="FA484" s="2"/>
      <c r="FB484" s="2"/>
      <c r="FC484" s="2"/>
      <c r="FD484" s="2"/>
      <c r="FE484" s="2"/>
      <c r="FF484" s="2"/>
      <c r="FG484" s="2"/>
      <c r="FH484" s="2"/>
      <c r="FI484" s="2"/>
      <c r="FJ484" s="2"/>
      <c r="FK484" s="2"/>
      <c r="FL484" s="2"/>
      <c r="FM484" s="2"/>
      <c r="FN484" s="2"/>
      <c r="FO484" s="2"/>
      <c r="FP484" s="2"/>
      <c r="FQ484" s="2"/>
      <c r="FR484" s="2"/>
      <c r="FS484" s="2"/>
      <c r="FT484" s="2"/>
      <c r="FU484" s="2"/>
      <c r="FV484" s="2"/>
      <c r="FW484" s="2"/>
      <c r="FX484" s="2"/>
      <c r="FY484" s="2"/>
      <c r="FZ484" s="2"/>
      <c r="GA484" s="2"/>
      <c r="GB484" s="2"/>
      <c r="GC484" s="2"/>
      <c r="GD484" s="2"/>
      <c r="GE484" s="2"/>
      <c r="GF484" s="2"/>
      <c r="GG484" s="2"/>
      <c r="GH484" s="2"/>
      <c r="GI484" s="2"/>
      <c r="GJ484" s="2"/>
      <c r="GK484" s="2"/>
      <c r="GL484" s="2"/>
      <c r="GM484" s="2"/>
      <c r="GN484" s="2"/>
      <c r="GO484" s="2"/>
      <c r="GP484" s="2"/>
      <c r="GQ484" s="2"/>
      <c r="GR484" s="2"/>
      <c r="GS484" s="2"/>
      <c r="GT484" s="2"/>
      <c r="GU484" s="2"/>
      <c r="GV484" s="2"/>
      <c r="GW484" s="2"/>
      <c r="GX484" s="2"/>
      <c r="GY484" s="2"/>
      <c r="GZ484" s="2"/>
      <c r="HA484" s="2"/>
      <c r="HB484" s="2"/>
      <c r="HC484" s="2"/>
      <c r="HD484" s="2"/>
      <c r="HE484" s="2"/>
      <c r="HF484" s="2"/>
      <c r="HG484" s="2"/>
      <c r="HH484" s="2"/>
      <c r="HI484" s="2"/>
      <c r="HJ484" s="2"/>
      <c r="HK484" s="2"/>
      <c r="HL484" s="2"/>
      <c r="HM484" s="2"/>
      <c r="HN484" s="2"/>
      <c r="HO484" s="2"/>
      <c r="HP484" s="2"/>
      <c r="HQ484" s="2"/>
      <c r="HR484" s="2"/>
      <c r="HS484" s="2"/>
      <c r="HT484" s="2"/>
      <c r="HU484" s="2"/>
      <c r="HV484" s="2"/>
      <c r="HW484" s="2"/>
      <c r="HX484" s="2"/>
      <c r="HY484" s="2"/>
      <c r="HZ484" s="2"/>
      <c r="IA484" s="2"/>
      <c r="IB484" s="2"/>
      <c r="IC484" s="2"/>
    </row>
    <row r="485" spans="1:237" x14ac:dyDescent="0.2">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c r="AA485" s="2"/>
      <c r="AB485" s="2"/>
      <c r="AC485" s="2"/>
      <c r="AD485" s="2"/>
      <c r="AE485" s="2"/>
      <c r="AF485" s="2"/>
      <c r="AG485" s="2"/>
      <c r="AH485" s="2"/>
      <c r="AI485" s="2"/>
      <c r="AJ485" s="2"/>
      <c r="AK485" s="2"/>
      <c r="AL485" s="2"/>
      <c r="AM485" s="2"/>
      <c r="AN485" s="2"/>
      <c r="AO485" s="2"/>
      <c r="AP485" s="2"/>
      <c r="AQ485" s="2"/>
      <c r="AR485" s="2"/>
      <c r="AS485" s="2"/>
      <c r="AT485" s="2"/>
      <c r="AU485" s="2"/>
      <c r="AV485" s="2"/>
      <c r="AW485" s="2"/>
      <c r="AX485" s="2"/>
      <c r="AY485" s="2"/>
      <c r="AZ485" s="2"/>
      <c r="BA485" s="2"/>
      <c r="BB485" s="2"/>
      <c r="BC485" s="2"/>
      <c r="BD485" s="2"/>
      <c r="BE485" s="2"/>
      <c r="BF485" s="2"/>
      <c r="BG485" s="2"/>
      <c r="BH485" s="2"/>
      <c r="BI485" s="2"/>
      <c r="BJ485" s="2"/>
      <c r="BK485" s="2"/>
      <c r="BL485" s="2"/>
      <c r="BM485" s="2"/>
      <c r="BN485" s="2"/>
      <c r="BO485" s="2"/>
      <c r="BP485" s="2"/>
      <c r="BQ485" s="2"/>
      <c r="BR485" s="2"/>
      <c r="BS485" s="2"/>
      <c r="BT485" s="2"/>
      <c r="BU485" s="2"/>
      <c r="BV485" s="2"/>
      <c r="BW485" s="2"/>
      <c r="BX485" s="2"/>
      <c r="BY485" s="2"/>
      <c r="BZ485" s="2"/>
      <c r="CA485" s="2"/>
      <c r="CB485" s="2"/>
      <c r="CC485" s="2"/>
      <c r="CD485" s="2"/>
      <c r="CE485" s="2"/>
      <c r="CF485" s="2"/>
      <c r="CG485" s="2"/>
      <c r="CH485" s="2"/>
      <c r="CI485" s="2"/>
      <c r="CJ485" s="2"/>
      <c r="CK485" s="2"/>
      <c r="CL485" s="2"/>
      <c r="CM485" s="2"/>
      <c r="CN485" s="2"/>
      <c r="CO485" s="2"/>
      <c r="CP485" s="2"/>
      <c r="CQ485" s="2"/>
      <c r="CR485" s="2"/>
      <c r="CS485" s="2"/>
      <c r="CT485" s="2"/>
      <c r="CU485" s="2"/>
      <c r="CV485" s="2"/>
      <c r="CW485" s="2"/>
      <c r="CX485" s="2"/>
      <c r="CY485" s="2"/>
      <c r="CZ485" s="2"/>
      <c r="DA485" s="2"/>
      <c r="DB485" s="2"/>
      <c r="DC485" s="2"/>
      <c r="DD485" s="2"/>
      <c r="DE485" s="2"/>
      <c r="DF485" s="2"/>
      <c r="DG485" s="2"/>
      <c r="DH485" s="2"/>
      <c r="DI485" s="2"/>
      <c r="DJ485" s="2"/>
      <c r="DK485" s="2"/>
      <c r="DL485" s="2"/>
      <c r="DM485" s="2"/>
      <c r="DN485" s="2"/>
      <c r="DO485" s="2"/>
      <c r="DP485" s="2"/>
      <c r="DQ485" s="2"/>
      <c r="DR485" s="2"/>
      <c r="DS485" s="2"/>
      <c r="DT485" s="2"/>
      <c r="DU485" s="2"/>
      <c r="DV485" s="2"/>
      <c r="DW485" s="2"/>
      <c r="DX485" s="2"/>
      <c r="DY485" s="2"/>
      <c r="DZ485" s="2"/>
      <c r="EA485" s="2"/>
      <c r="EB485" s="2"/>
      <c r="EC485" s="2"/>
      <c r="ED485" s="2"/>
      <c r="EE485" s="2"/>
      <c r="EF485" s="2"/>
      <c r="EG485" s="2"/>
      <c r="EH485" s="2"/>
      <c r="EI485" s="2"/>
      <c r="EJ485" s="2"/>
      <c r="EK485" s="2"/>
      <c r="EL485" s="2"/>
      <c r="EM485" s="2"/>
      <c r="EN485" s="2"/>
      <c r="EO485" s="2"/>
      <c r="EP485" s="2"/>
      <c r="EQ485" s="2"/>
      <c r="ER485" s="2"/>
      <c r="ES485" s="2"/>
      <c r="ET485" s="2"/>
      <c r="EU485" s="2"/>
      <c r="EV485" s="2"/>
      <c r="EW485" s="2"/>
      <c r="EX485" s="2"/>
      <c r="EY485" s="2"/>
      <c r="EZ485" s="2"/>
      <c r="FA485" s="2"/>
      <c r="FB485" s="2"/>
      <c r="FC485" s="2"/>
      <c r="FD485" s="2"/>
      <c r="FE485" s="2"/>
      <c r="FF485" s="2"/>
      <c r="FG485" s="2"/>
      <c r="FH485" s="2"/>
      <c r="FI485" s="2"/>
      <c r="FJ485" s="2"/>
      <c r="FK485" s="2"/>
      <c r="FL485" s="2"/>
      <c r="FM485" s="2"/>
      <c r="FN485" s="2"/>
      <c r="FO485" s="2"/>
      <c r="FP485" s="2"/>
      <c r="FQ485" s="2"/>
      <c r="FR485" s="2"/>
      <c r="FS485" s="2"/>
      <c r="FT485" s="2"/>
      <c r="FU485" s="2"/>
      <c r="FV485" s="2"/>
      <c r="FW485" s="2"/>
      <c r="FX485" s="2"/>
      <c r="FY485" s="2"/>
      <c r="FZ485" s="2"/>
      <c r="GA485" s="2"/>
      <c r="GB485" s="2"/>
      <c r="GC485" s="2"/>
      <c r="GD485" s="2"/>
      <c r="GE485" s="2"/>
      <c r="GF485" s="2"/>
      <c r="GG485" s="2"/>
      <c r="GH485" s="2"/>
      <c r="GI485" s="2"/>
      <c r="GJ485" s="2"/>
      <c r="GK485" s="2"/>
      <c r="GL485" s="2"/>
      <c r="GM485" s="2"/>
      <c r="GN485" s="2"/>
      <c r="GO485" s="2"/>
      <c r="GP485" s="2"/>
      <c r="GQ485" s="2"/>
      <c r="GR485" s="2"/>
      <c r="GS485" s="2"/>
      <c r="GT485" s="2"/>
      <c r="GU485" s="2"/>
      <c r="GV485" s="2"/>
      <c r="GW485" s="2"/>
      <c r="GX485" s="2"/>
      <c r="GY485" s="2"/>
      <c r="GZ485" s="2"/>
      <c r="HA485" s="2"/>
      <c r="HB485" s="2"/>
      <c r="HC485" s="2"/>
      <c r="HD485" s="2"/>
      <c r="HE485" s="2"/>
      <c r="HF485" s="2"/>
      <c r="HG485" s="2"/>
      <c r="HH485" s="2"/>
      <c r="HI485" s="2"/>
      <c r="HJ485" s="2"/>
      <c r="HK485" s="2"/>
      <c r="HL485" s="2"/>
      <c r="HM485" s="2"/>
      <c r="HN485" s="2"/>
      <c r="HO485" s="2"/>
      <c r="HP485" s="2"/>
      <c r="HQ485" s="2"/>
      <c r="HR485" s="2"/>
      <c r="HS485" s="2"/>
      <c r="HT485" s="2"/>
      <c r="HU485" s="2"/>
      <c r="HV485" s="2"/>
      <c r="HW485" s="2"/>
      <c r="HX485" s="2"/>
      <c r="HY485" s="2"/>
      <c r="HZ485" s="2"/>
      <c r="IA485" s="2"/>
      <c r="IB485" s="2"/>
      <c r="IC485" s="2"/>
    </row>
    <row r="486" spans="1:237" x14ac:dyDescent="0.2">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c r="AA486" s="2"/>
      <c r="AB486" s="2"/>
      <c r="AC486" s="2"/>
      <c r="AD486" s="2"/>
      <c r="AE486" s="2"/>
      <c r="AF486" s="2"/>
      <c r="AG486" s="2"/>
      <c r="AH486" s="2"/>
      <c r="AI486" s="2"/>
      <c r="AJ486" s="2"/>
      <c r="AK486" s="2"/>
      <c r="AL486" s="2"/>
      <c r="AM486" s="2"/>
      <c r="AN486" s="2"/>
      <c r="AO486" s="2"/>
      <c r="AP486" s="2"/>
      <c r="AQ486" s="2"/>
      <c r="AR486" s="2"/>
      <c r="AS486" s="2"/>
      <c r="AT486" s="2"/>
      <c r="AU486" s="2"/>
      <c r="AV486" s="2"/>
      <c r="AW486" s="2"/>
      <c r="AX486" s="2"/>
      <c r="AY486" s="2"/>
      <c r="AZ486" s="2"/>
      <c r="BA486" s="2"/>
      <c r="BB486" s="2"/>
      <c r="BC486" s="2"/>
      <c r="BD486" s="2"/>
      <c r="BE486" s="2"/>
      <c r="BF486" s="2"/>
      <c r="BG486" s="2"/>
      <c r="BH486" s="2"/>
      <c r="BI486" s="2"/>
      <c r="BJ486" s="2"/>
      <c r="BK486" s="2"/>
      <c r="BL486" s="2"/>
      <c r="BM486" s="2"/>
      <c r="BN486" s="2"/>
      <c r="BO486" s="2"/>
      <c r="BP486" s="2"/>
      <c r="BQ486" s="2"/>
      <c r="BR486" s="2"/>
      <c r="BS486" s="2"/>
      <c r="BT486" s="2"/>
      <c r="BU486" s="2"/>
      <c r="BV486" s="2"/>
      <c r="BW486" s="2"/>
      <c r="BX486" s="2"/>
      <c r="BY486" s="2"/>
      <c r="BZ486" s="2"/>
      <c r="CA486" s="2"/>
      <c r="CB486" s="2"/>
      <c r="CC486" s="2"/>
      <c r="CD486" s="2"/>
      <c r="CE486" s="2"/>
      <c r="CF486" s="2"/>
      <c r="CG486" s="2"/>
      <c r="CH486" s="2"/>
      <c r="CI486" s="2"/>
      <c r="CJ486" s="2"/>
      <c r="CK486" s="2"/>
      <c r="CL486" s="2"/>
      <c r="CM486" s="2"/>
      <c r="CN486" s="2"/>
      <c r="CO486" s="2"/>
      <c r="CP486" s="2"/>
      <c r="CQ486" s="2"/>
      <c r="CR486" s="2"/>
      <c r="CS486" s="2"/>
      <c r="CT486" s="2"/>
      <c r="CU486" s="2"/>
      <c r="CV486" s="2"/>
      <c r="CW486" s="2"/>
      <c r="CX486" s="2"/>
      <c r="CY486" s="2"/>
      <c r="CZ486" s="2"/>
      <c r="DA486" s="2"/>
      <c r="DB486" s="2"/>
      <c r="DC486" s="2"/>
      <c r="DD486" s="2"/>
      <c r="DE486" s="2"/>
      <c r="DF486" s="2"/>
      <c r="DG486" s="2"/>
      <c r="DH486" s="2"/>
      <c r="DI486" s="2"/>
      <c r="DJ486" s="2"/>
      <c r="DK486" s="2"/>
      <c r="DL486" s="2"/>
      <c r="DM486" s="2"/>
      <c r="DN486" s="2"/>
      <c r="DO486" s="2"/>
      <c r="DP486" s="2"/>
      <c r="DQ486" s="2"/>
      <c r="DR486" s="2"/>
      <c r="DS486" s="2"/>
      <c r="DT486" s="2"/>
      <c r="DU486" s="2"/>
      <c r="DV486" s="2"/>
      <c r="DW486" s="2"/>
      <c r="DX486" s="2"/>
      <c r="DY486" s="2"/>
      <c r="DZ486" s="2"/>
      <c r="EA486" s="2"/>
      <c r="EB486" s="2"/>
      <c r="EC486" s="2"/>
      <c r="ED486" s="2"/>
      <c r="EE486" s="2"/>
      <c r="EF486" s="2"/>
      <c r="EG486" s="2"/>
      <c r="EH486" s="2"/>
      <c r="EI486" s="2"/>
      <c r="EJ486" s="2"/>
      <c r="EK486" s="2"/>
      <c r="EL486" s="2"/>
      <c r="EM486" s="2"/>
      <c r="EN486" s="2"/>
      <c r="EO486" s="2"/>
      <c r="EP486" s="2"/>
      <c r="EQ486" s="2"/>
      <c r="ER486" s="2"/>
      <c r="ES486" s="2"/>
      <c r="ET486" s="2"/>
      <c r="EU486" s="2"/>
      <c r="EV486" s="2"/>
      <c r="EW486" s="2"/>
      <c r="EX486" s="2"/>
      <c r="EY486" s="2"/>
      <c r="EZ486" s="2"/>
      <c r="FA486" s="2"/>
      <c r="FB486" s="2"/>
      <c r="FC486" s="2"/>
      <c r="FD486" s="2"/>
      <c r="FE486" s="2"/>
      <c r="FF486" s="2"/>
      <c r="FG486" s="2"/>
      <c r="FH486" s="2"/>
      <c r="FI486" s="2"/>
      <c r="FJ486" s="2"/>
      <c r="FK486" s="2"/>
      <c r="FL486" s="2"/>
      <c r="FM486" s="2"/>
      <c r="FN486" s="2"/>
      <c r="FO486" s="2"/>
      <c r="FP486" s="2"/>
      <c r="FQ486" s="2"/>
      <c r="FR486" s="2"/>
      <c r="FS486" s="2"/>
      <c r="FT486" s="2"/>
      <c r="FU486" s="2"/>
      <c r="FV486" s="2"/>
      <c r="FW486" s="2"/>
      <c r="FX486" s="2"/>
      <c r="FY486" s="2"/>
      <c r="FZ486" s="2"/>
      <c r="GA486" s="2"/>
      <c r="GB486" s="2"/>
      <c r="GC486" s="2"/>
      <c r="GD486" s="2"/>
      <c r="GE486" s="2"/>
      <c r="GF486" s="2"/>
      <c r="GG486" s="2"/>
      <c r="GH486" s="2"/>
      <c r="GI486" s="2"/>
      <c r="GJ486" s="2"/>
      <c r="GK486" s="2"/>
      <c r="GL486" s="2"/>
      <c r="GM486" s="2"/>
      <c r="GN486" s="2"/>
      <c r="GO486" s="2"/>
      <c r="GP486" s="2"/>
      <c r="GQ486" s="2"/>
      <c r="GR486" s="2"/>
      <c r="GS486" s="2"/>
      <c r="GT486" s="2"/>
      <c r="GU486" s="2"/>
      <c r="GV486" s="2"/>
      <c r="GW486" s="2"/>
      <c r="GX486" s="2"/>
      <c r="GY486" s="2"/>
      <c r="GZ486" s="2"/>
      <c r="HA486" s="2"/>
      <c r="HB486" s="2"/>
      <c r="HC486" s="2"/>
      <c r="HD486" s="2"/>
      <c r="HE486" s="2"/>
      <c r="HF486" s="2"/>
      <c r="HG486" s="2"/>
      <c r="HH486" s="2"/>
      <c r="HI486" s="2"/>
      <c r="HJ486" s="2"/>
      <c r="HK486" s="2"/>
      <c r="HL486" s="2"/>
      <c r="HM486" s="2"/>
      <c r="HN486" s="2"/>
      <c r="HO486" s="2"/>
      <c r="HP486" s="2"/>
      <c r="HQ486" s="2"/>
      <c r="HR486" s="2"/>
      <c r="HS486" s="2"/>
      <c r="HT486" s="2"/>
      <c r="HU486" s="2"/>
      <c r="HV486" s="2"/>
      <c r="HW486" s="2"/>
      <c r="HX486" s="2"/>
      <c r="HY486" s="2"/>
      <c r="HZ486" s="2"/>
      <c r="IA486" s="2"/>
      <c r="IB486" s="2"/>
      <c r="IC486" s="2"/>
    </row>
    <row r="487" spans="1:237" x14ac:dyDescent="0.2">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c r="AA487" s="2"/>
      <c r="AB487" s="2"/>
      <c r="AC487" s="2"/>
      <c r="AD487" s="2"/>
      <c r="AE487" s="2"/>
      <c r="AF487" s="2"/>
      <c r="AG487" s="2"/>
      <c r="AH487" s="2"/>
      <c r="AI487" s="2"/>
      <c r="AJ487" s="2"/>
      <c r="AK487" s="2"/>
      <c r="AL487" s="2"/>
      <c r="AM487" s="2"/>
      <c r="AN487" s="2"/>
      <c r="AO487" s="2"/>
      <c r="AP487" s="2"/>
      <c r="AQ487" s="2"/>
      <c r="AR487" s="2"/>
      <c r="AS487" s="2"/>
      <c r="AT487" s="2"/>
      <c r="AU487" s="2"/>
      <c r="AV487" s="2"/>
      <c r="AW487" s="2"/>
      <c r="AX487" s="2"/>
      <c r="AY487" s="2"/>
      <c r="AZ487" s="2"/>
      <c r="BA487" s="2"/>
      <c r="BB487" s="2"/>
      <c r="BC487" s="2"/>
      <c r="BD487" s="2"/>
      <c r="BE487" s="2"/>
      <c r="BF487" s="2"/>
      <c r="BG487" s="2"/>
      <c r="BH487" s="2"/>
      <c r="BI487" s="2"/>
      <c r="BJ487" s="2"/>
      <c r="BK487" s="2"/>
      <c r="BL487" s="2"/>
      <c r="BM487" s="2"/>
      <c r="BN487" s="2"/>
      <c r="BO487" s="2"/>
      <c r="BP487" s="2"/>
      <c r="BQ487" s="2"/>
      <c r="BR487" s="2"/>
      <c r="BS487" s="2"/>
      <c r="BT487" s="2"/>
      <c r="BU487" s="2"/>
      <c r="BV487" s="2"/>
      <c r="BW487" s="2"/>
      <c r="BX487" s="2"/>
      <c r="BY487" s="2"/>
      <c r="BZ487" s="2"/>
      <c r="CA487" s="2"/>
      <c r="CB487" s="2"/>
      <c r="CC487" s="2"/>
      <c r="CD487" s="2"/>
      <c r="CE487" s="2"/>
      <c r="CF487" s="2"/>
      <c r="CG487" s="2"/>
      <c r="CH487" s="2"/>
      <c r="CI487" s="2"/>
      <c r="CJ487" s="2"/>
      <c r="CK487" s="2"/>
      <c r="CL487" s="2"/>
      <c r="CM487" s="2"/>
      <c r="CN487" s="2"/>
      <c r="CO487" s="2"/>
      <c r="CP487" s="2"/>
      <c r="CQ487" s="2"/>
      <c r="CR487" s="2"/>
      <c r="CS487" s="2"/>
      <c r="CT487" s="2"/>
      <c r="CU487" s="2"/>
      <c r="CV487" s="2"/>
      <c r="CW487" s="2"/>
      <c r="CX487" s="2"/>
      <c r="CY487" s="2"/>
      <c r="CZ487" s="2"/>
      <c r="DA487" s="2"/>
      <c r="DB487" s="2"/>
      <c r="DC487" s="2"/>
      <c r="DD487" s="2"/>
      <c r="DE487" s="2"/>
      <c r="DF487" s="2"/>
      <c r="DG487" s="2"/>
      <c r="DH487" s="2"/>
      <c r="DI487" s="2"/>
      <c r="DJ487" s="2"/>
      <c r="DK487" s="2"/>
      <c r="DL487" s="2"/>
      <c r="DM487" s="2"/>
      <c r="DN487" s="2"/>
      <c r="DO487" s="2"/>
      <c r="DP487" s="2"/>
      <c r="DQ487" s="2"/>
      <c r="DR487" s="2"/>
      <c r="DS487" s="2"/>
      <c r="DT487" s="2"/>
      <c r="DU487" s="2"/>
      <c r="DV487" s="2"/>
      <c r="DW487" s="2"/>
      <c r="DX487" s="2"/>
      <c r="DY487" s="2"/>
      <c r="DZ487" s="2"/>
      <c r="EA487" s="2"/>
      <c r="EB487" s="2"/>
      <c r="EC487" s="2"/>
      <c r="ED487" s="2"/>
      <c r="EE487" s="2"/>
      <c r="EF487" s="2"/>
      <c r="EG487" s="2"/>
      <c r="EH487" s="2"/>
      <c r="EI487" s="2"/>
      <c r="EJ487" s="2"/>
      <c r="EK487" s="2"/>
      <c r="EL487" s="2"/>
      <c r="EM487" s="2"/>
      <c r="EN487" s="2"/>
      <c r="EO487" s="2"/>
      <c r="EP487" s="2"/>
      <c r="EQ487" s="2"/>
      <c r="ER487" s="2"/>
      <c r="ES487" s="2"/>
      <c r="ET487" s="2"/>
      <c r="EU487" s="2"/>
      <c r="EV487" s="2"/>
      <c r="EW487" s="2"/>
      <c r="EX487" s="2"/>
      <c r="EY487" s="2"/>
      <c r="EZ487" s="2"/>
      <c r="FA487" s="2"/>
      <c r="FB487" s="2"/>
      <c r="FC487" s="2"/>
      <c r="FD487" s="2"/>
      <c r="FE487" s="2"/>
      <c r="FF487" s="2"/>
      <c r="FG487" s="2"/>
      <c r="FH487" s="2"/>
      <c r="FI487" s="2"/>
      <c r="FJ487" s="2"/>
      <c r="FK487" s="2"/>
      <c r="FL487" s="2"/>
      <c r="FM487" s="2"/>
      <c r="FN487" s="2"/>
      <c r="FO487" s="2"/>
      <c r="FP487" s="2"/>
      <c r="FQ487" s="2"/>
      <c r="FR487" s="2"/>
      <c r="FS487" s="2"/>
      <c r="FT487" s="2"/>
      <c r="FU487" s="2"/>
      <c r="FV487" s="2"/>
      <c r="FW487" s="2"/>
      <c r="FX487" s="2"/>
      <c r="FY487" s="2"/>
      <c r="FZ487" s="2"/>
      <c r="GA487" s="2"/>
      <c r="GB487" s="2"/>
      <c r="GC487" s="2"/>
      <c r="GD487" s="2"/>
      <c r="GE487" s="2"/>
      <c r="GF487" s="2"/>
      <c r="GG487" s="2"/>
      <c r="GH487" s="2"/>
      <c r="GI487" s="2"/>
      <c r="GJ487" s="2"/>
      <c r="GK487" s="2"/>
      <c r="GL487" s="2"/>
      <c r="GM487" s="2"/>
      <c r="GN487" s="2"/>
      <c r="GO487" s="2"/>
      <c r="GP487" s="2"/>
      <c r="GQ487" s="2"/>
      <c r="GR487" s="2"/>
      <c r="GS487" s="2"/>
      <c r="GT487" s="2"/>
      <c r="GU487" s="2"/>
      <c r="GV487" s="2"/>
      <c r="GW487" s="2"/>
      <c r="GX487" s="2"/>
      <c r="GY487" s="2"/>
      <c r="GZ487" s="2"/>
      <c r="HA487" s="2"/>
      <c r="HB487" s="2"/>
      <c r="HC487" s="2"/>
      <c r="HD487" s="2"/>
      <c r="HE487" s="2"/>
      <c r="HF487" s="2"/>
      <c r="HG487" s="2"/>
      <c r="HH487" s="2"/>
      <c r="HI487" s="2"/>
      <c r="HJ487" s="2"/>
      <c r="HK487" s="2"/>
      <c r="HL487" s="2"/>
      <c r="HM487" s="2"/>
      <c r="HN487" s="2"/>
      <c r="HO487" s="2"/>
      <c r="HP487" s="2"/>
      <c r="HQ487" s="2"/>
      <c r="HR487" s="2"/>
      <c r="HS487" s="2"/>
      <c r="HT487" s="2"/>
      <c r="HU487" s="2"/>
      <c r="HV487" s="2"/>
      <c r="HW487" s="2"/>
      <c r="HX487" s="2"/>
      <c r="HY487" s="2"/>
      <c r="HZ487" s="2"/>
      <c r="IA487" s="2"/>
      <c r="IB487" s="2"/>
      <c r="IC487" s="2"/>
    </row>
    <row r="488" spans="1:237" x14ac:dyDescent="0.2">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c r="AA488" s="2"/>
      <c r="AB488" s="2"/>
      <c r="AC488" s="2"/>
      <c r="AD488" s="2"/>
      <c r="AE488" s="2"/>
      <c r="AF488" s="2"/>
      <c r="AG488" s="2"/>
      <c r="AH488" s="2"/>
      <c r="AI488" s="2"/>
      <c r="AJ488" s="2"/>
      <c r="AK488" s="2"/>
      <c r="AL488" s="2"/>
      <c r="AM488" s="2"/>
      <c r="AN488" s="2"/>
      <c r="AO488" s="2"/>
      <c r="AP488" s="2"/>
      <c r="AQ488" s="2"/>
      <c r="AR488" s="2"/>
      <c r="AS488" s="2"/>
      <c r="AT488" s="2"/>
      <c r="AU488" s="2"/>
      <c r="AV488" s="2"/>
      <c r="AW488" s="2"/>
      <c r="AX488" s="2"/>
      <c r="AY488" s="2"/>
      <c r="AZ488" s="2"/>
      <c r="BA488" s="2"/>
      <c r="BB488" s="2"/>
      <c r="BC488" s="2"/>
      <c r="BD488" s="2"/>
      <c r="BE488" s="2"/>
      <c r="BF488" s="2"/>
      <c r="BG488" s="2"/>
      <c r="BH488" s="2"/>
      <c r="BI488" s="2"/>
      <c r="BJ488" s="2"/>
      <c r="BK488" s="2"/>
      <c r="BL488" s="2"/>
      <c r="BM488" s="2"/>
      <c r="BN488" s="2"/>
      <c r="BO488" s="2"/>
      <c r="BP488" s="2"/>
      <c r="BQ488" s="2"/>
      <c r="BR488" s="2"/>
      <c r="BS488" s="2"/>
      <c r="BT488" s="2"/>
      <c r="BU488" s="2"/>
      <c r="BV488" s="2"/>
      <c r="BW488" s="2"/>
      <c r="BX488" s="2"/>
      <c r="BY488" s="2"/>
      <c r="BZ488" s="2"/>
      <c r="CA488" s="2"/>
      <c r="CB488" s="2"/>
      <c r="CC488" s="2"/>
      <c r="CD488" s="2"/>
      <c r="CE488" s="2"/>
      <c r="CF488" s="2"/>
      <c r="CG488" s="2"/>
      <c r="CH488" s="2"/>
      <c r="CI488" s="2"/>
      <c r="CJ488" s="2"/>
      <c r="CK488" s="2"/>
      <c r="CL488" s="2"/>
      <c r="CM488" s="2"/>
      <c r="CN488" s="2"/>
      <c r="CO488" s="2"/>
      <c r="CP488" s="2"/>
      <c r="CQ488" s="2"/>
      <c r="CR488" s="2"/>
      <c r="CS488" s="2"/>
      <c r="CT488" s="2"/>
      <c r="CU488" s="2"/>
      <c r="CV488" s="2"/>
      <c r="CW488" s="2"/>
      <c r="CX488" s="2"/>
      <c r="CY488" s="2"/>
      <c r="CZ488" s="2"/>
      <c r="DA488" s="2"/>
      <c r="DB488" s="2"/>
      <c r="DC488" s="2"/>
      <c r="DD488" s="2"/>
      <c r="DE488" s="2"/>
      <c r="DF488" s="2"/>
      <c r="DG488" s="2"/>
      <c r="DH488" s="2"/>
      <c r="DI488" s="2"/>
      <c r="DJ488" s="2"/>
      <c r="DK488" s="2"/>
      <c r="DL488" s="2"/>
      <c r="DM488" s="2"/>
      <c r="DN488" s="2"/>
      <c r="DO488" s="2"/>
      <c r="DP488" s="2"/>
      <c r="DQ488" s="2"/>
      <c r="DR488" s="2"/>
      <c r="DS488" s="2"/>
      <c r="DT488" s="2"/>
      <c r="DU488" s="2"/>
      <c r="DV488" s="2"/>
      <c r="DW488" s="2"/>
      <c r="DX488" s="2"/>
      <c r="DY488" s="2"/>
      <c r="DZ488" s="2"/>
      <c r="EA488" s="2"/>
      <c r="EB488" s="2"/>
      <c r="EC488" s="2"/>
      <c r="ED488" s="2"/>
      <c r="EE488" s="2"/>
      <c r="EF488" s="2"/>
      <c r="EG488" s="2"/>
      <c r="EH488" s="2"/>
      <c r="EI488" s="2"/>
      <c r="EJ488" s="2"/>
      <c r="EK488" s="2"/>
      <c r="EL488" s="2"/>
      <c r="EM488" s="2"/>
      <c r="EN488" s="2"/>
      <c r="EO488" s="2"/>
      <c r="EP488" s="2"/>
      <c r="EQ488" s="2"/>
      <c r="ER488" s="2"/>
      <c r="ES488" s="2"/>
      <c r="ET488" s="2"/>
      <c r="EU488" s="2"/>
      <c r="EV488" s="2"/>
      <c r="EW488" s="2"/>
      <c r="EX488" s="2"/>
      <c r="EY488" s="2"/>
      <c r="EZ488" s="2"/>
      <c r="FA488" s="2"/>
      <c r="FB488" s="2"/>
      <c r="FC488" s="2"/>
      <c r="FD488" s="2"/>
      <c r="FE488" s="2"/>
      <c r="FF488" s="2"/>
      <c r="FG488" s="2"/>
      <c r="FH488" s="2"/>
      <c r="FI488" s="2"/>
      <c r="FJ488" s="2"/>
      <c r="FK488" s="2"/>
      <c r="FL488" s="2"/>
      <c r="FM488" s="2"/>
      <c r="FN488" s="2"/>
      <c r="FO488" s="2"/>
      <c r="FP488" s="2"/>
      <c r="FQ488" s="2"/>
      <c r="FR488" s="2"/>
      <c r="FS488" s="2"/>
      <c r="FT488" s="2"/>
      <c r="FU488" s="2"/>
      <c r="FV488" s="2"/>
      <c r="FW488" s="2"/>
      <c r="FX488" s="2"/>
      <c r="FY488" s="2"/>
      <c r="FZ488" s="2"/>
      <c r="GA488" s="2"/>
      <c r="GB488" s="2"/>
      <c r="GC488" s="2"/>
      <c r="GD488" s="2"/>
      <c r="GE488" s="2"/>
      <c r="GF488" s="2"/>
      <c r="GG488" s="2"/>
      <c r="GH488" s="2"/>
      <c r="GI488" s="2"/>
      <c r="GJ488" s="2"/>
      <c r="GK488" s="2"/>
      <c r="GL488" s="2"/>
      <c r="GM488" s="2"/>
      <c r="GN488" s="2"/>
      <c r="GO488" s="2"/>
      <c r="GP488" s="2"/>
      <c r="GQ488" s="2"/>
      <c r="GR488" s="2"/>
      <c r="GS488" s="2"/>
      <c r="GT488" s="2"/>
      <c r="GU488" s="2"/>
      <c r="GV488" s="2"/>
      <c r="GW488" s="2"/>
      <c r="GX488" s="2"/>
      <c r="GY488" s="2"/>
      <c r="GZ488" s="2"/>
      <c r="HA488" s="2"/>
      <c r="HB488" s="2"/>
      <c r="HC488" s="2"/>
      <c r="HD488" s="2"/>
      <c r="HE488" s="2"/>
      <c r="HF488" s="2"/>
      <c r="HG488" s="2"/>
      <c r="HH488" s="2"/>
      <c r="HI488" s="2"/>
      <c r="HJ488" s="2"/>
      <c r="HK488" s="2"/>
      <c r="HL488" s="2"/>
      <c r="HM488" s="2"/>
      <c r="HN488" s="2"/>
      <c r="HO488" s="2"/>
      <c r="HP488" s="2"/>
      <c r="HQ488" s="2"/>
      <c r="HR488" s="2"/>
      <c r="HS488" s="2"/>
      <c r="HT488" s="2"/>
      <c r="HU488" s="2"/>
      <c r="HV488" s="2"/>
      <c r="HW488" s="2"/>
      <c r="HX488" s="2"/>
      <c r="HY488" s="2"/>
      <c r="HZ488" s="2"/>
      <c r="IA488" s="2"/>
      <c r="IB488" s="2"/>
      <c r="IC488" s="2"/>
    </row>
    <row r="489" spans="1:237" x14ac:dyDescent="0.2">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c r="AA489" s="2"/>
      <c r="AB489" s="2"/>
      <c r="AC489" s="2"/>
      <c r="AD489" s="2"/>
      <c r="AE489" s="2"/>
      <c r="AF489" s="2"/>
      <c r="AG489" s="2"/>
      <c r="AH489" s="2"/>
      <c r="AI489" s="2"/>
      <c r="AJ489" s="2"/>
      <c r="AK489" s="2"/>
      <c r="AL489" s="2"/>
      <c r="AM489" s="2"/>
      <c r="AN489" s="2"/>
      <c r="AO489" s="2"/>
      <c r="AP489" s="2"/>
      <c r="AQ489" s="2"/>
      <c r="AR489" s="2"/>
      <c r="AS489" s="2"/>
      <c r="AT489" s="2"/>
      <c r="AU489" s="2"/>
      <c r="AV489" s="2"/>
      <c r="AW489" s="2"/>
      <c r="AX489" s="2"/>
      <c r="AY489" s="2"/>
      <c r="AZ489" s="2"/>
      <c r="BA489" s="2"/>
      <c r="BB489" s="2"/>
      <c r="BC489" s="2"/>
      <c r="BD489" s="2"/>
      <c r="BE489" s="2"/>
      <c r="BF489" s="2"/>
      <c r="BG489" s="2"/>
      <c r="BH489" s="2"/>
      <c r="BI489" s="2"/>
      <c r="BJ489" s="2"/>
      <c r="BK489" s="2"/>
      <c r="BL489" s="2"/>
      <c r="BM489" s="2"/>
      <c r="BN489" s="2"/>
      <c r="BO489" s="2"/>
      <c r="BP489" s="2"/>
      <c r="BQ489" s="2"/>
      <c r="BR489" s="2"/>
      <c r="BS489" s="2"/>
      <c r="BT489" s="2"/>
      <c r="BU489" s="2"/>
      <c r="BV489" s="2"/>
      <c r="BW489" s="2"/>
      <c r="BX489" s="2"/>
      <c r="BY489" s="2"/>
      <c r="BZ489" s="2"/>
      <c r="CA489" s="2"/>
      <c r="CB489" s="2"/>
      <c r="CC489" s="2"/>
      <c r="CD489" s="2"/>
      <c r="CE489" s="2"/>
      <c r="CF489" s="2"/>
      <c r="CG489" s="2"/>
      <c r="CH489" s="2"/>
      <c r="CI489" s="2"/>
      <c r="CJ489" s="2"/>
      <c r="CK489" s="2"/>
      <c r="CL489" s="2"/>
      <c r="CM489" s="2"/>
      <c r="CN489" s="2"/>
      <c r="CO489" s="2"/>
      <c r="CP489" s="2"/>
      <c r="CQ489" s="2"/>
      <c r="CR489" s="2"/>
      <c r="CS489" s="2"/>
      <c r="CT489" s="2"/>
      <c r="CU489" s="2"/>
      <c r="CV489" s="2"/>
      <c r="CW489" s="2"/>
      <c r="CX489" s="2"/>
      <c r="CY489" s="2"/>
      <c r="CZ489" s="2"/>
      <c r="DA489" s="2"/>
      <c r="DB489" s="2"/>
      <c r="DC489" s="2"/>
      <c r="DD489" s="2"/>
      <c r="DE489" s="2"/>
      <c r="DF489" s="2"/>
      <c r="DG489" s="2"/>
      <c r="DH489" s="2"/>
      <c r="DI489" s="2"/>
      <c r="DJ489" s="2"/>
      <c r="DK489" s="2"/>
      <c r="DL489" s="2"/>
      <c r="DM489" s="2"/>
      <c r="DN489" s="2"/>
      <c r="DO489" s="2"/>
      <c r="DP489" s="2"/>
      <c r="DQ489" s="2"/>
      <c r="DR489" s="2"/>
      <c r="DS489" s="2"/>
      <c r="DT489" s="2"/>
      <c r="DU489" s="2"/>
      <c r="DV489" s="2"/>
      <c r="DW489" s="2"/>
      <c r="DX489" s="2"/>
      <c r="DY489" s="2"/>
      <c r="DZ489" s="2"/>
      <c r="EA489" s="2"/>
      <c r="EB489" s="2"/>
      <c r="EC489" s="2"/>
      <c r="ED489" s="2"/>
      <c r="EE489" s="2"/>
      <c r="EF489" s="2"/>
      <c r="EG489" s="2"/>
      <c r="EH489" s="2"/>
      <c r="EI489" s="2"/>
      <c r="EJ489" s="2"/>
      <c r="EK489" s="2"/>
      <c r="EL489" s="2"/>
      <c r="EM489" s="2"/>
      <c r="EN489" s="2"/>
      <c r="EO489" s="2"/>
      <c r="EP489" s="2"/>
      <c r="EQ489" s="2"/>
      <c r="ER489" s="2"/>
      <c r="ES489" s="2"/>
      <c r="ET489" s="2"/>
      <c r="EU489" s="2"/>
      <c r="EV489" s="2"/>
      <c r="EW489" s="2"/>
      <c r="EX489" s="2"/>
      <c r="EY489" s="2"/>
      <c r="EZ489" s="2"/>
      <c r="FA489" s="2"/>
      <c r="FB489" s="2"/>
      <c r="FC489" s="2"/>
      <c r="FD489" s="2"/>
      <c r="FE489" s="2"/>
      <c r="FF489" s="2"/>
      <c r="FG489" s="2"/>
      <c r="FH489" s="2"/>
      <c r="FI489" s="2"/>
      <c r="FJ489" s="2"/>
      <c r="FK489" s="2"/>
      <c r="FL489" s="2"/>
      <c r="FM489" s="2"/>
      <c r="FN489" s="2"/>
      <c r="FO489" s="2"/>
      <c r="FP489" s="2"/>
      <c r="FQ489" s="2"/>
      <c r="FR489" s="2"/>
      <c r="FS489" s="2"/>
      <c r="FT489" s="2"/>
      <c r="FU489" s="2"/>
      <c r="FV489" s="2"/>
      <c r="FW489" s="2"/>
      <c r="FX489" s="2"/>
      <c r="FY489" s="2"/>
      <c r="FZ489" s="2"/>
      <c r="GA489" s="2"/>
      <c r="GB489" s="2"/>
      <c r="GC489" s="2"/>
      <c r="GD489" s="2"/>
      <c r="GE489" s="2"/>
      <c r="GF489" s="2"/>
      <c r="GG489" s="2"/>
      <c r="GH489" s="2"/>
      <c r="GI489" s="2"/>
      <c r="GJ489" s="2"/>
      <c r="GK489" s="2"/>
      <c r="GL489" s="2"/>
      <c r="GM489" s="2"/>
      <c r="GN489" s="2"/>
      <c r="GO489" s="2"/>
      <c r="GP489" s="2"/>
      <c r="GQ489" s="2"/>
      <c r="GR489" s="2"/>
      <c r="GS489" s="2"/>
      <c r="GT489" s="2"/>
      <c r="GU489" s="2"/>
      <c r="GV489" s="2"/>
      <c r="GW489" s="2"/>
      <c r="GX489" s="2"/>
      <c r="GY489" s="2"/>
      <c r="GZ489" s="2"/>
      <c r="HA489" s="2"/>
      <c r="HB489" s="2"/>
      <c r="HC489" s="2"/>
      <c r="HD489" s="2"/>
      <c r="HE489" s="2"/>
      <c r="HF489" s="2"/>
      <c r="HG489" s="2"/>
      <c r="HH489" s="2"/>
      <c r="HI489" s="2"/>
      <c r="HJ489" s="2"/>
      <c r="HK489" s="2"/>
      <c r="HL489" s="2"/>
      <c r="HM489" s="2"/>
      <c r="HN489" s="2"/>
      <c r="HO489" s="2"/>
      <c r="HP489" s="2"/>
      <c r="HQ489" s="2"/>
      <c r="HR489" s="2"/>
      <c r="HS489" s="2"/>
      <c r="HT489" s="2"/>
      <c r="HU489" s="2"/>
      <c r="HV489" s="2"/>
      <c r="HW489" s="2"/>
      <c r="HX489" s="2"/>
      <c r="HY489" s="2"/>
      <c r="HZ489" s="2"/>
      <c r="IA489" s="2"/>
      <c r="IB489" s="2"/>
      <c r="IC489" s="2"/>
    </row>
    <row r="490" spans="1:237" x14ac:dyDescent="0.2">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c r="AA490" s="2"/>
      <c r="AB490" s="2"/>
      <c r="AC490" s="2"/>
      <c r="AD490" s="2"/>
      <c r="AE490" s="2"/>
      <c r="AF490" s="2"/>
      <c r="AG490" s="2"/>
      <c r="AH490" s="2"/>
      <c r="AI490" s="2"/>
      <c r="AJ490" s="2"/>
      <c r="AK490" s="2"/>
      <c r="AL490" s="2"/>
      <c r="AM490" s="2"/>
      <c r="AN490" s="2"/>
      <c r="AO490" s="2"/>
      <c r="AP490" s="2"/>
      <c r="AQ490" s="2"/>
      <c r="AR490" s="2"/>
      <c r="AS490" s="2"/>
      <c r="AT490" s="2"/>
      <c r="AU490" s="2"/>
      <c r="AV490" s="2"/>
      <c r="AW490" s="2"/>
      <c r="AX490" s="2"/>
      <c r="AY490" s="2"/>
      <c r="AZ490" s="2"/>
      <c r="BA490" s="2"/>
      <c r="BB490" s="2"/>
      <c r="BC490" s="2"/>
      <c r="BD490" s="2"/>
      <c r="BE490" s="2"/>
      <c r="BF490" s="2"/>
      <c r="BG490" s="2"/>
      <c r="BH490" s="2"/>
      <c r="BI490" s="2"/>
      <c r="BJ490" s="2"/>
      <c r="BK490" s="2"/>
      <c r="BL490" s="2"/>
      <c r="BM490" s="2"/>
      <c r="BN490" s="2"/>
      <c r="BO490" s="2"/>
      <c r="BP490" s="2"/>
      <c r="BQ490" s="2"/>
      <c r="BR490" s="2"/>
      <c r="BS490" s="2"/>
      <c r="BT490" s="2"/>
      <c r="BU490" s="2"/>
      <c r="BV490" s="2"/>
      <c r="BW490" s="2"/>
      <c r="BX490" s="2"/>
      <c r="BY490" s="2"/>
      <c r="BZ490" s="2"/>
      <c r="CA490" s="2"/>
      <c r="CB490" s="2"/>
      <c r="CC490" s="2"/>
      <c r="CD490" s="2"/>
      <c r="CE490" s="2"/>
      <c r="CF490" s="2"/>
      <c r="CG490" s="2"/>
      <c r="CH490" s="2"/>
      <c r="CI490" s="2"/>
      <c r="CJ490" s="2"/>
      <c r="CK490" s="2"/>
      <c r="CL490" s="2"/>
      <c r="CM490" s="2"/>
      <c r="CN490" s="2"/>
      <c r="CO490" s="2"/>
      <c r="CP490" s="2"/>
      <c r="CQ490" s="2"/>
      <c r="CR490" s="2"/>
      <c r="CS490" s="2"/>
      <c r="CT490" s="2"/>
      <c r="CU490" s="2"/>
      <c r="CV490" s="2"/>
      <c r="CW490" s="2"/>
      <c r="CX490" s="2"/>
      <c r="CY490" s="2"/>
      <c r="CZ490" s="2"/>
      <c r="DA490" s="2"/>
      <c r="DB490" s="2"/>
      <c r="DC490" s="2"/>
      <c r="DD490" s="2"/>
      <c r="DE490" s="2"/>
      <c r="DF490" s="2"/>
      <c r="DG490" s="2"/>
      <c r="DH490" s="2"/>
      <c r="DI490" s="2"/>
      <c r="DJ490" s="2"/>
      <c r="DK490" s="2"/>
      <c r="DL490" s="2"/>
      <c r="DM490" s="2"/>
      <c r="DN490" s="2"/>
      <c r="DO490" s="2"/>
      <c r="DP490" s="2"/>
      <c r="DQ490" s="2"/>
      <c r="DR490" s="2"/>
      <c r="DS490" s="2"/>
      <c r="DT490" s="2"/>
      <c r="DU490" s="2"/>
      <c r="DV490" s="2"/>
      <c r="DW490" s="2"/>
      <c r="DX490" s="2"/>
      <c r="DY490" s="2"/>
      <c r="DZ490" s="2"/>
      <c r="EA490" s="2"/>
      <c r="EB490" s="2"/>
      <c r="EC490" s="2"/>
      <c r="ED490" s="2"/>
      <c r="EE490" s="2"/>
      <c r="EF490" s="2"/>
      <c r="EG490" s="2"/>
      <c r="EH490" s="2"/>
      <c r="EI490" s="2"/>
      <c r="EJ490" s="2"/>
      <c r="EK490" s="2"/>
      <c r="EL490" s="2"/>
      <c r="EM490" s="2"/>
      <c r="EN490" s="2"/>
      <c r="EO490" s="2"/>
      <c r="EP490" s="2"/>
      <c r="EQ490" s="2"/>
      <c r="ER490" s="2"/>
      <c r="ES490" s="2"/>
      <c r="ET490" s="2"/>
      <c r="EU490" s="2"/>
      <c r="EV490" s="2"/>
      <c r="EW490" s="2"/>
      <c r="EX490" s="2"/>
      <c r="EY490" s="2"/>
      <c r="EZ490" s="2"/>
      <c r="FA490" s="2"/>
      <c r="FB490" s="2"/>
      <c r="FC490" s="2"/>
      <c r="FD490" s="2"/>
      <c r="FE490" s="2"/>
      <c r="FF490" s="2"/>
      <c r="FG490" s="2"/>
      <c r="FH490" s="2"/>
      <c r="FI490" s="2"/>
      <c r="FJ490" s="2"/>
      <c r="FK490" s="2"/>
      <c r="FL490" s="2"/>
      <c r="FM490" s="2"/>
      <c r="FN490" s="2"/>
      <c r="FO490" s="2"/>
      <c r="FP490" s="2"/>
      <c r="FQ490" s="2"/>
      <c r="FR490" s="2"/>
      <c r="FS490" s="2"/>
      <c r="FT490" s="2"/>
      <c r="FU490" s="2"/>
      <c r="FV490" s="2"/>
      <c r="FW490" s="2"/>
      <c r="FX490" s="2"/>
      <c r="FY490" s="2"/>
      <c r="FZ490" s="2"/>
      <c r="GA490" s="2"/>
      <c r="GB490" s="2"/>
      <c r="GC490" s="2"/>
      <c r="GD490" s="2"/>
      <c r="GE490" s="2"/>
      <c r="GF490" s="2"/>
      <c r="GG490" s="2"/>
      <c r="GH490" s="2"/>
      <c r="GI490" s="2"/>
      <c r="GJ490" s="2"/>
      <c r="GK490" s="2"/>
      <c r="GL490" s="2"/>
      <c r="GM490" s="2"/>
      <c r="GN490" s="2"/>
      <c r="GO490" s="2"/>
      <c r="GP490" s="2"/>
      <c r="GQ490" s="2"/>
      <c r="GR490" s="2"/>
      <c r="GS490" s="2"/>
      <c r="GT490" s="2"/>
      <c r="GU490" s="2"/>
      <c r="GV490" s="2"/>
      <c r="GW490" s="2"/>
      <c r="GX490" s="2"/>
      <c r="GY490" s="2"/>
      <c r="GZ490" s="2"/>
      <c r="HA490" s="2"/>
      <c r="HB490" s="2"/>
      <c r="HC490" s="2"/>
      <c r="HD490" s="2"/>
      <c r="HE490" s="2"/>
      <c r="HF490" s="2"/>
      <c r="HG490" s="2"/>
      <c r="HH490" s="2"/>
      <c r="HI490" s="2"/>
      <c r="HJ490" s="2"/>
      <c r="HK490" s="2"/>
      <c r="HL490" s="2"/>
      <c r="HM490" s="2"/>
      <c r="HN490" s="2"/>
      <c r="HO490" s="2"/>
      <c r="HP490" s="2"/>
      <c r="HQ490" s="2"/>
      <c r="HR490" s="2"/>
      <c r="HS490" s="2"/>
      <c r="HT490" s="2"/>
      <c r="HU490" s="2"/>
      <c r="HV490" s="2"/>
      <c r="HW490" s="2"/>
      <c r="HX490" s="2"/>
      <c r="HY490" s="2"/>
      <c r="HZ490" s="2"/>
      <c r="IA490" s="2"/>
      <c r="IB490" s="2"/>
      <c r="IC490" s="2"/>
    </row>
    <row r="491" spans="1:237" x14ac:dyDescent="0.2">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c r="AA491" s="2"/>
      <c r="AB491" s="2"/>
      <c r="AC491" s="2"/>
      <c r="AD491" s="2"/>
      <c r="AE491" s="2"/>
      <c r="AF491" s="2"/>
      <c r="AG491" s="2"/>
      <c r="AH491" s="2"/>
      <c r="AI491" s="2"/>
      <c r="AJ491" s="2"/>
      <c r="AK491" s="2"/>
      <c r="AL491" s="2"/>
      <c r="AM491" s="2"/>
      <c r="AN491" s="2"/>
      <c r="AO491" s="2"/>
      <c r="AP491" s="2"/>
      <c r="AQ491" s="2"/>
      <c r="AR491" s="2"/>
      <c r="AS491" s="2"/>
      <c r="AT491" s="2"/>
      <c r="AU491" s="2"/>
      <c r="AV491" s="2"/>
      <c r="AW491" s="2"/>
      <c r="AX491" s="2"/>
      <c r="AY491" s="2"/>
      <c r="AZ491" s="2"/>
      <c r="BA491" s="2"/>
      <c r="BB491" s="2"/>
      <c r="BC491" s="2"/>
      <c r="BD491" s="2"/>
      <c r="BE491" s="2"/>
      <c r="BF491" s="2"/>
      <c r="BG491" s="2"/>
      <c r="BH491" s="2"/>
      <c r="BI491" s="2"/>
      <c r="BJ491" s="2"/>
      <c r="BK491" s="2"/>
      <c r="BL491" s="2"/>
      <c r="BM491" s="2"/>
      <c r="BN491" s="2"/>
      <c r="BO491" s="2"/>
      <c r="BP491" s="2"/>
      <c r="BQ491" s="2"/>
      <c r="BR491" s="2"/>
      <c r="BS491" s="2"/>
      <c r="BT491" s="2"/>
      <c r="BU491" s="2"/>
      <c r="BV491" s="2"/>
      <c r="BW491" s="2"/>
      <c r="BX491" s="2"/>
      <c r="BY491" s="2"/>
      <c r="BZ491" s="2"/>
      <c r="CA491" s="2"/>
      <c r="CB491" s="2"/>
      <c r="CC491" s="2"/>
      <c r="CD491" s="2"/>
      <c r="CE491" s="2"/>
      <c r="CF491" s="2"/>
      <c r="CG491" s="2"/>
      <c r="CH491" s="2"/>
      <c r="CI491" s="2"/>
      <c r="CJ491" s="2"/>
      <c r="CK491" s="2"/>
      <c r="CL491" s="2"/>
      <c r="CM491" s="2"/>
      <c r="CN491" s="2"/>
      <c r="CO491" s="2"/>
      <c r="CP491" s="2"/>
      <c r="CQ491" s="2"/>
      <c r="CR491" s="2"/>
      <c r="CS491" s="2"/>
      <c r="CT491" s="2"/>
      <c r="CU491" s="2"/>
      <c r="CV491" s="2"/>
      <c r="CW491" s="2"/>
      <c r="CX491" s="2"/>
      <c r="CY491" s="2"/>
      <c r="CZ491" s="2"/>
      <c r="DA491" s="2"/>
      <c r="DB491" s="2"/>
      <c r="DC491" s="2"/>
      <c r="DD491" s="2"/>
      <c r="DE491" s="2"/>
      <c r="DF491" s="2"/>
      <c r="DG491" s="2"/>
      <c r="DH491" s="2"/>
      <c r="DI491" s="2"/>
      <c r="DJ491" s="2"/>
      <c r="DK491" s="2"/>
      <c r="DL491" s="2"/>
      <c r="DM491" s="2"/>
      <c r="DN491" s="2"/>
      <c r="DO491" s="2"/>
      <c r="DP491" s="2"/>
      <c r="DQ491" s="2"/>
      <c r="DR491" s="2"/>
      <c r="DS491" s="2"/>
      <c r="DT491" s="2"/>
      <c r="DU491" s="2"/>
      <c r="DV491" s="2"/>
      <c r="DW491" s="2"/>
      <c r="DX491" s="2"/>
      <c r="DY491" s="2"/>
      <c r="DZ491" s="2"/>
      <c r="EA491" s="2"/>
      <c r="EB491" s="2"/>
      <c r="EC491" s="2"/>
      <c r="ED491" s="2"/>
      <c r="EE491" s="2"/>
      <c r="EF491" s="2"/>
      <c r="EG491" s="2"/>
      <c r="EH491" s="2"/>
      <c r="EI491" s="2"/>
      <c r="EJ491" s="2"/>
      <c r="EK491" s="2"/>
      <c r="EL491" s="2"/>
      <c r="EM491" s="2"/>
      <c r="EN491" s="2"/>
      <c r="EO491" s="2"/>
      <c r="EP491" s="2"/>
      <c r="EQ491" s="2"/>
      <c r="ER491" s="2"/>
      <c r="ES491" s="2"/>
      <c r="ET491" s="2"/>
      <c r="EU491" s="2"/>
      <c r="EV491" s="2"/>
      <c r="EW491" s="2"/>
      <c r="EX491" s="2"/>
      <c r="EY491" s="2"/>
      <c r="EZ491" s="2"/>
      <c r="FA491" s="2"/>
      <c r="FB491" s="2"/>
      <c r="FC491" s="2"/>
      <c r="FD491" s="2"/>
      <c r="FE491" s="2"/>
      <c r="FF491" s="2"/>
      <c r="FG491" s="2"/>
      <c r="FH491" s="2"/>
      <c r="FI491" s="2"/>
      <c r="FJ491" s="2"/>
      <c r="FK491" s="2"/>
      <c r="FL491" s="2"/>
      <c r="FM491" s="2"/>
      <c r="FN491" s="2"/>
      <c r="FO491" s="2"/>
      <c r="FP491" s="2"/>
      <c r="FQ491" s="2"/>
      <c r="FR491" s="2"/>
      <c r="FS491" s="2"/>
      <c r="FT491" s="2"/>
      <c r="FU491" s="2"/>
      <c r="FV491" s="2"/>
      <c r="FW491" s="2"/>
      <c r="FX491" s="2"/>
      <c r="FY491" s="2"/>
      <c r="FZ491" s="2"/>
      <c r="GA491" s="2"/>
      <c r="GB491" s="2"/>
      <c r="GC491" s="2"/>
      <c r="GD491" s="2"/>
      <c r="GE491" s="2"/>
      <c r="GF491" s="2"/>
      <c r="GG491" s="2"/>
      <c r="GH491" s="2"/>
      <c r="GI491" s="2"/>
      <c r="GJ491" s="2"/>
      <c r="GK491" s="2"/>
      <c r="GL491" s="2"/>
      <c r="GM491" s="2"/>
      <c r="GN491" s="2"/>
      <c r="GO491" s="2"/>
      <c r="GP491" s="2"/>
      <c r="GQ491" s="2"/>
      <c r="GR491" s="2"/>
      <c r="GS491" s="2"/>
      <c r="GT491" s="2"/>
      <c r="GU491" s="2"/>
      <c r="GV491" s="2"/>
      <c r="GW491" s="2"/>
      <c r="GX491" s="2"/>
      <c r="GY491" s="2"/>
      <c r="GZ491" s="2"/>
      <c r="HA491" s="2"/>
      <c r="HB491" s="2"/>
      <c r="HC491" s="2"/>
      <c r="HD491" s="2"/>
      <c r="HE491" s="2"/>
      <c r="HF491" s="2"/>
      <c r="HG491" s="2"/>
      <c r="HH491" s="2"/>
      <c r="HI491" s="2"/>
      <c r="HJ491" s="2"/>
      <c r="HK491" s="2"/>
      <c r="HL491" s="2"/>
      <c r="HM491" s="2"/>
      <c r="HN491" s="2"/>
      <c r="HO491" s="2"/>
      <c r="HP491" s="2"/>
      <c r="HQ491" s="2"/>
      <c r="HR491" s="2"/>
      <c r="HS491" s="2"/>
      <c r="HT491" s="2"/>
      <c r="HU491" s="2"/>
      <c r="HV491" s="2"/>
      <c r="HW491" s="2"/>
      <c r="HX491" s="2"/>
      <c r="HY491" s="2"/>
      <c r="HZ491" s="2"/>
      <c r="IA491" s="2"/>
      <c r="IB491" s="2"/>
      <c r="IC491" s="2"/>
    </row>
    <row r="492" spans="1:237" x14ac:dyDescent="0.2">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c r="AA492" s="2"/>
      <c r="AB492" s="2"/>
      <c r="AC492" s="2"/>
      <c r="AD492" s="2"/>
      <c r="AE492" s="2"/>
      <c r="AF492" s="2"/>
      <c r="AG492" s="2"/>
      <c r="AH492" s="2"/>
      <c r="AI492" s="2"/>
      <c r="AJ492" s="2"/>
      <c r="AK492" s="2"/>
      <c r="AL492" s="2"/>
      <c r="AM492" s="2"/>
      <c r="AN492" s="2"/>
      <c r="AO492" s="2"/>
      <c r="AP492" s="2"/>
      <c r="AQ492" s="2"/>
      <c r="AR492" s="2"/>
      <c r="AS492" s="2"/>
      <c r="AT492" s="2"/>
      <c r="AU492" s="2"/>
      <c r="AV492" s="2"/>
      <c r="AW492" s="2"/>
      <c r="AX492" s="2"/>
      <c r="AY492" s="2"/>
      <c r="AZ492" s="2"/>
      <c r="BA492" s="2"/>
      <c r="BB492" s="2"/>
      <c r="BC492" s="2"/>
      <c r="BD492" s="2"/>
      <c r="BE492" s="2"/>
      <c r="BF492" s="2"/>
      <c r="BG492" s="2"/>
      <c r="BH492" s="2"/>
      <c r="BI492" s="2"/>
      <c r="BJ492" s="2"/>
      <c r="BK492" s="2"/>
      <c r="BL492" s="2"/>
      <c r="BM492" s="2"/>
      <c r="BN492" s="2"/>
      <c r="BO492" s="2"/>
      <c r="BP492" s="2"/>
      <c r="BQ492" s="2"/>
      <c r="BR492" s="2"/>
      <c r="BS492" s="2"/>
      <c r="BT492" s="2"/>
      <c r="BU492" s="2"/>
      <c r="BV492" s="2"/>
      <c r="BW492" s="2"/>
      <c r="BX492" s="2"/>
      <c r="BY492" s="2"/>
      <c r="BZ492" s="2"/>
      <c r="CA492" s="2"/>
      <c r="CB492" s="2"/>
      <c r="CC492" s="2"/>
      <c r="CD492" s="2"/>
      <c r="CE492" s="2"/>
      <c r="CF492" s="2"/>
      <c r="CG492" s="2"/>
      <c r="CH492" s="2"/>
      <c r="CI492" s="2"/>
      <c r="CJ492" s="2"/>
      <c r="CK492" s="2"/>
      <c r="CL492" s="2"/>
      <c r="CM492" s="2"/>
      <c r="CN492" s="2"/>
      <c r="CO492" s="2"/>
      <c r="CP492" s="2"/>
      <c r="CQ492" s="2"/>
      <c r="CR492" s="2"/>
      <c r="CS492" s="2"/>
      <c r="CT492" s="2"/>
      <c r="CU492" s="2"/>
      <c r="CV492" s="2"/>
      <c r="CW492" s="2"/>
      <c r="CX492" s="2"/>
      <c r="CY492" s="2"/>
      <c r="CZ492" s="2"/>
      <c r="DA492" s="2"/>
      <c r="DB492" s="2"/>
      <c r="DC492" s="2"/>
      <c r="DD492" s="2"/>
      <c r="DE492" s="2"/>
      <c r="DF492" s="2"/>
      <c r="DG492" s="2"/>
      <c r="DH492" s="2"/>
      <c r="DI492" s="2"/>
      <c r="DJ492" s="2"/>
      <c r="DK492" s="2"/>
      <c r="DL492" s="2"/>
      <c r="DM492" s="2"/>
      <c r="DN492" s="2"/>
      <c r="DO492" s="2"/>
      <c r="DP492" s="2"/>
      <c r="DQ492" s="2"/>
      <c r="DR492" s="2"/>
      <c r="DS492" s="2"/>
      <c r="DT492" s="2"/>
      <c r="DU492" s="2"/>
      <c r="DV492" s="2"/>
      <c r="DW492" s="2"/>
      <c r="DX492" s="2"/>
      <c r="DY492" s="2"/>
      <c r="DZ492" s="2"/>
      <c r="EA492" s="2"/>
      <c r="EB492" s="2"/>
      <c r="EC492" s="2"/>
      <c r="ED492" s="2"/>
      <c r="EE492" s="2"/>
      <c r="EF492" s="2"/>
      <c r="EG492" s="2"/>
      <c r="EH492" s="2"/>
      <c r="EI492" s="2"/>
      <c r="EJ492" s="2"/>
      <c r="EK492" s="2"/>
      <c r="EL492" s="2"/>
      <c r="EM492" s="2"/>
      <c r="EN492" s="2"/>
      <c r="EO492" s="2"/>
      <c r="EP492" s="2"/>
      <c r="EQ492" s="2"/>
      <c r="ER492" s="2"/>
      <c r="ES492" s="2"/>
      <c r="ET492" s="2"/>
      <c r="EU492" s="2"/>
      <c r="EV492" s="2"/>
      <c r="EW492" s="2"/>
      <c r="EX492" s="2"/>
      <c r="EY492" s="2"/>
      <c r="EZ492" s="2"/>
      <c r="FA492" s="2"/>
      <c r="FB492" s="2"/>
      <c r="FC492" s="2"/>
      <c r="FD492" s="2"/>
      <c r="FE492" s="2"/>
      <c r="FF492" s="2"/>
      <c r="FG492" s="2"/>
      <c r="FH492" s="2"/>
      <c r="FI492" s="2"/>
      <c r="FJ492" s="2"/>
      <c r="FK492" s="2"/>
      <c r="FL492" s="2"/>
      <c r="FM492" s="2"/>
      <c r="FN492" s="2"/>
      <c r="FO492" s="2"/>
      <c r="FP492" s="2"/>
      <c r="FQ492" s="2"/>
      <c r="FR492" s="2"/>
      <c r="FS492" s="2"/>
      <c r="FT492" s="2"/>
      <c r="FU492" s="2"/>
      <c r="FV492" s="2"/>
      <c r="FW492" s="2"/>
      <c r="FX492" s="2"/>
      <c r="FY492" s="2"/>
      <c r="FZ492" s="2"/>
      <c r="GA492" s="2"/>
      <c r="GB492" s="2"/>
      <c r="GC492" s="2"/>
      <c r="GD492" s="2"/>
      <c r="GE492" s="2"/>
      <c r="GF492" s="2"/>
      <c r="GG492" s="2"/>
      <c r="GH492" s="2"/>
      <c r="GI492" s="2"/>
      <c r="GJ492" s="2"/>
      <c r="GK492" s="2"/>
      <c r="GL492" s="2"/>
      <c r="GM492" s="2"/>
      <c r="GN492" s="2"/>
      <c r="GO492" s="2"/>
      <c r="GP492" s="2"/>
      <c r="GQ492" s="2"/>
      <c r="GR492" s="2"/>
      <c r="GS492" s="2"/>
      <c r="GT492" s="2"/>
      <c r="GU492" s="2"/>
      <c r="GV492" s="2"/>
      <c r="GW492" s="2"/>
      <c r="GX492" s="2"/>
      <c r="GY492" s="2"/>
      <c r="GZ492" s="2"/>
      <c r="HA492" s="2"/>
      <c r="HB492" s="2"/>
      <c r="HC492" s="2"/>
      <c r="HD492" s="2"/>
      <c r="HE492" s="2"/>
      <c r="HF492" s="2"/>
      <c r="HG492" s="2"/>
      <c r="HH492" s="2"/>
      <c r="HI492" s="2"/>
      <c r="HJ492" s="2"/>
      <c r="HK492" s="2"/>
      <c r="HL492" s="2"/>
      <c r="HM492" s="2"/>
      <c r="HN492" s="2"/>
      <c r="HO492" s="2"/>
      <c r="HP492" s="2"/>
      <c r="HQ492" s="2"/>
      <c r="HR492" s="2"/>
      <c r="HS492" s="2"/>
      <c r="HT492" s="2"/>
      <c r="HU492" s="2"/>
      <c r="HV492" s="2"/>
      <c r="HW492" s="2"/>
      <c r="HX492" s="2"/>
      <c r="HY492" s="2"/>
      <c r="HZ492" s="2"/>
      <c r="IA492" s="2"/>
      <c r="IB492" s="2"/>
      <c r="IC492" s="2"/>
    </row>
    <row r="493" spans="1:237" x14ac:dyDescent="0.2">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c r="AA493" s="2"/>
      <c r="AB493" s="2"/>
      <c r="AC493" s="2"/>
      <c r="AD493" s="2"/>
      <c r="AE493" s="2"/>
      <c r="AF493" s="2"/>
      <c r="AG493" s="2"/>
      <c r="AH493" s="2"/>
      <c r="AI493" s="2"/>
      <c r="AJ493" s="2"/>
      <c r="AK493" s="2"/>
      <c r="AL493" s="2"/>
      <c r="AM493" s="2"/>
      <c r="AN493" s="2"/>
      <c r="AO493" s="2"/>
      <c r="AP493" s="2"/>
      <c r="AQ493" s="2"/>
      <c r="AR493" s="2"/>
      <c r="AS493" s="2"/>
      <c r="AT493" s="2"/>
      <c r="AU493" s="2"/>
      <c r="AV493" s="2"/>
      <c r="AW493" s="2"/>
      <c r="AX493" s="2"/>
      <c r="AY493" s="2"/>
      <c r="AZ493" s="2"/>
      <c r="BA493" s="2"/>
      <c r="BB493" s="2"/>
      <c r="BC493" s="2"/>
      <c r="BD493" s="2"/>
      <c r="BE493" s="2"/>
      <c r="BF493" s="2"/>
      <c r="BG493" s="2"/>
      <c r="BH493" s="2"/>
      <c r="BI493" s="2"/>
      <c r="BJ493" s="2"/>
      <c r="BK493" s="2"/>
      <c r="BL493" s="2"/>
      <c r="BM493" s="2"/>
      <c r="BN493" s="2"/>
      <c r="BO493" s="2"/>
      <c r="BP493" s="2"/>
      <c r="BQ493" s="2"/>
      <c r="BR493" s="2"/>
      <c r="BS493" s="2"/>
      <c r="BT493" s="2"/>
      <c r="BU493" s="2"/>
      <c r="BV493" s="2"/>
      <c r="BW493" s="2"/>
      <c r="BX493" s="2"/>
      <c r="BY493" s="2"/>
      <c r="BZ493" s="2"/>
      <c r="CA493" s="2"/>
      <c r="CB493" s="2"/>
      <c r="CC493" s="2"/>
      <c r="CD493" s="2"/>
      <c r="CE493" s="2"/>
      <c r="CF493" s="2"/>
      <c r="CG493" s="2"/>
      <c r="CH493" s="2"/>
      <c r="CI493" s="2"/>
      <c r="CJ493" s="2"/>
      <c r="CK493" s="2"/>
      <c r="CL493" s="2"/>
      <c r="CM493" s="2"/>
      <c r="CN493" s="2"/>
      <c r="CO493" s="2"/>
      <c r="CP493" s="2"/>
      <c r="CQ493" s="2"/>
      <c r="CR493" s="2"/>
      <c r="CS493" s="2"/>
      <c r="CT493" s="2"/>
      <c r="CU493" s="2"/>
      <c r="CV493" s="2"/>
      <c r="CW493" s="2"/>
      <c r="CX493" s="2"/>
      <c r="CY493" s="2"/>
      <c r="CZ493" s="2"/>
      <c r="DA493" s="2"/>
      <c r="DB493" s="2"/>
      <c r="DC493" s="2"/>
      <c r="DD493" s="2"/>
      <c r="DE493" s="2"/>
      <c r="DF493" s="2"/>
      <c r="DG493" s="2"/>
      <c r="DH493" s="2"/>
      <c r="DI493" s="2"/>
      <c r="DJ493" s="2"/>
      <c r="DK493" s="2"/>
      <c r="DL493" s="2"/>
      <c r="DM493" s="2"/>
      <c r="DN493" s="2"/>
      <c r="DO493" s="2"/>
      <c r="DP493" s="2"/>
      <c r="DQ493" s="2"/>
      <c r="DR493" s="2"/>
      <c r="DS493" s="2"/>
      <c r="DT493" s="2"/>
      <c r="DU493" s="2"/>
      <c r="DV493" s="2"/>
      <c r="DW493" s="2"/>
      <c r="DX493" s="2"/>
      <c r="DY493" s="2"/>
      <c r="DZ493" s="2"/>
      <c r="EA493" s="2"/>
      <c r="EB493" s="2"/>
      <c r="EC493" s="2"/>
      <c r="ED493" s="2"/>
      <c r="EE493" s="2"/>
      <c r="EF493" s="2"/>
      <c r="EG493" s="2"/>
      <c r="EH493" s="2"/>
      <c r="EI493" s="2"/>
      <c r="EJ493" s="2"/>
      <c r="EK493" s="2"/>
      <c r="EL493" s="2"/>
      <c r="EM493" s="2"/>
      <c r="EN493" s="2"/>
      <c r="EO493" s="2"/>
      <c r="EP493" s="2"/>
      <c r="EQ493" s="2"/>
      <c r="ER493" s="2"/>
      <c r="ES493" s="2"/>
      <c r="ET493" s="2"/>
      <c r="EU493" s="2"/>
      <c r="EV493" s="2"/>
      <c r="EW493" s="2"/>
      <c r="EX493" s="2"/>
      <c r="EY493" s="2"/>
      <c r="EZ493" s="2"/>
      <c r="FA493" s="2"/>
      <c r="FB493" s="2"/>
      <c r="FC493" s="2"/>
      <c r="FD493" s="2"/>
      <c r="FE493" s="2"/>
      <c r="FF493" s="2"/>
      <c r="FG493" s="2"/>
      <c r="FH493" s="2"/>
      <c r="FI493" s="2"/>
      <c r="FJ493" s="2"/>
      <c r="FK493" s="2"/>
      <c r="FL493" s="2"/>
      <c r="FM493" s="2"/>
      <c r="FN493" s="2"/>
      <c r="FO493" s="2"/>
      <c r="FP493" s="2"/>
      <c r="FQ493" s="2"/>
      <c r="FR493" s="2"/>
      <c r="FS493" s="2"/>
      <c r="FT493" s="2"/>
      <c r="FU493" s="2"/>
      <c r="FV493" s="2"/>
      <c r="FW493" s="2"/>
      <c r="FX493" s="2"/>
      <c r="FY493" s="2"/>
      <c r="FZ493" s="2"/>
      <c r="GA493" s="2"/>
      <c r="GB493" s="2"/>
      <c r="GC493" s="2"/>
      <c r="GD493" s="2"/>
      <c r="GE493" s="2"/>
      <c r="GF493" s="2"/>
      <c r="GG493" s="2"/>
      <c r="GH493" s="2"/>
      <c r="GI493" s="2"/>
      <c r="GJ493" s="2"/>
      <c r="GK493" s="2"/>
      <c r="GL493" s="2"/>
      <c r="GM493" s="2"/>
      <c r="GN493" s="2"/>
      <c r="GO493" s="2"/>
      <c r="GP493" s="2"/>
      <c r="GQ493" s="2"/>
      <c r="GR493" s="2"/>
      <c r="GS493" s="2"/>
      <c r="GT493" s="2"/>
      <c r="GU493" s="2"/>
      <c r="GV493" s="2"/>
      <c r="GW493" s="2"/>
      <c r="GX493" s="2"/>
      <c r="GY493" s="2"/>
      <c r="GZ493" s="2"/>
      <c r="HA493" s="2"/>
      <c r="HB493" s="2"/>
      <c r="HC493" s="2"/>
      <c r="HD493" s="2"/>
      <c r="HE493" s="2"/>
      <c r="HF493" s="2"/>
      <c r="HG493" s="2"/>
      <c r="HH493" s="2"/>
      <c r="HI493" s="2"/>
      <c r="HJ493" s="2"/>
      <c r="HK493" s="2"/>
      <c r="HL493" s="2"/>
      <c r="HM493" s="2"/>
      <c r="HN493" s="2"/>
      <c r="HO493" s="2"/>
      <c r="HP493" s="2"/>
      <c r="HQ493" s="2"/>
      <c r="HR493" s="2"/>
      <c r="HS493" s="2"/>
      <c r="HT493" s="2"/>
      <c r="HU493" s="2"/>
      <c r="HV493" s="2"/>
      <c r="HW493" s="2"/>
      <c r="HX493" s="2"/>
      <c r="HY493" s="2"/>
      <c r="HZ493" s="2"/>
      <c r="IA493" s="2"/>
      <c r="IB493" s="2"/>
      <c r="IC493" s="2"/>
    </row>
    <row r="494" spans="1:237" x14ac:dyDescent="0.2">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c r="AA494" s="2"/>
      <c r="AB494" s="2"/>
      <c r="AC494" s="2"/>
      <c r="AD494" s="2"/>
      <c r="AE494" s="2"/>
      <c r="AF494" s="2"/>
      <c r="AG494" s="2"/>
      <c r="AH494" s="2"/>
      <c r="AI494" s="2"/>
      <c r="AJ494" s="2"/>
      <c r="AK494" s="2"/>
      <c r="AL494" s="2"/>
      <c r="AM494" s="2"/>
      <c r="AN494" s="2"/>
      <c r="AO494" s="2"/>
      <c r="AP494" s="2"/>
      <c r="AQ494" s="2"/>
      <c r="AR494" s="2"/>
      <c r="AS494" s="2"/>
      <c r="AT494" s="2"/>
      <c r="AU494" s="2"/>
      <c r="AV494" s="2"/>
      <c r="AW494" s="2"/>
      <c r="AX494" s="2"/>
      <c r="AY494" s="2"/>
      <c r="AZ494" s="2"/>
      <c r="BA494" s="2"/>
      <c r="BB494" s="2"/>
      <c r="BC494" s="2"/>
      <c r="BD494" s="2"/>
      <c r="BE494" s="2"/>
      <c r="BF494" s="2"/>
      <c r="BG494" s="2"/>
      <c r="BH494" s="2"/>
      <c r="BI494" s="2"/>
      <c r="BJ494" s="2"/>
      <c r="BK494" s="2"/>
      <c r="BL494" s="2"/>
      <c r="BM494" s="2"/>
      <c r="BN494" s="2"/>
      <c r="BO494" s="2"/>
      <c r="BP494" s="2"/>
      <c r="BQ494" s="2"/>
      <c r="BR494" s="2"/>
      <c r="BS494" s="2"/>
      <c r="BT494" s="2"/>
      <c r="BU494" s="2"/>
      <c r="BV494" s="2"/>
      <c r="BW494" s="2"/>
      <c r="BX494" s="2"/>
      <c r="BY494" s="2"/>
      <c r="BZ494" s="2"/>
      <c r="CA494" s="2"/>
      <c r="CB494" s="2"/>
      <c r="CC494" s="2"/>
      <c r="CD494" s="2"/>
      <c r="CE494" s="2"/>
      <c r="CF494" s="2"/>
      <c r="CG494" s="2"/>
      <c r="CH494" s="2"/>
      <c r="CI494" s="2"/>
      <c r="CJ494" s="2"/>
      <c r="CK494" s="2"/>
      <c r="CL494" s="2"/>
      <c r="CM494" s="2"/>
      <c r="CN494" s="2"/>
      <c r="CO494" s="2"/>
      <c r="CP494" s="2"/>
      <c r="CQ494" s="2"/>
      <c r="CR494" s="2"/>
      <c r="CS494" s="2"/>
      <c r="CT494" s="2"/>
      <c r="CU494" s="2"/>
      <c r="CV494" s="2"/>
      <c r="CW494" s="2"/>
      <c r="CX494" s="2"/>
      <c r="CY494" s="2"/>
      <c r="CZ494" s="2"/>
      <c r="DA494" s="2"/>
      <c r="DB494" s="2"/>
      <c r="DC494" s="2"/>
      <c r="DD494" s="2"/>
      <c r="DE494" s="2"/>
      <c r="DF494" s="2"/>
      <c r="DG494" s="2"/>
      <c r="DH494" s="2"/>
      <c r="DI494" s="2"/>
      <c r="DJ494" s="2"/>
      <c r="DK494" s="2"/>
      <c r="DL494" s="2"/>
      <c r="DM494" s="2"/>
      <c r="DN494" s="2"/>
      <c r="DO494" s="2"/>
      <c r="DP494" s="2"/>
      <c r="DQ494" s="2"/>
      <c r="DR494" s="2"/>
      <c r="DS494" s="2"/>
      <c r="DT494" s="2"/>
      <c r="DU494" s="2"/>
      <c r="DV494" s="2"/>
      <c r="DW494" s="2"/>
      <c r="DX494" s="2"/>
      <c r="DY494" s="2"/>
      <c r="DZ494" s="2"/>
      <c r="EA494" s="2"/>
      <c r="EB494" s="2"/>
      <c r="EC494" s="2"/>
      <c r="ED494" s="2"/>
      <c r="EE494" s="2"/>
      <c r="EF494" s="2"/>
      <c r="EG494" s="2"/>
      <c r="EH494" s="2"/>
      <c r="EI494" s="2"/>
      <c r="EJ494" s="2"/>
      <c r="EK494" s="2"/>
      <c r="EL494" s="2"/>
      <c r="EM494" s="2"/>
      <c r="EN494" s="2"/>
      <c r="EO494" s="2"/>
      <c r="EP494" s="2"/>
      <c r="EQ494" s="2"/>
      <c r="ER494" s="2"/>
      <c r="ES494" s="2"/>
      <c r="ET494" s="2"/>
      <c r="EU494" s="2"/>
      <c r="EV494" s="2"/>
      <c r="EW494" s="2"/>
      <c r="EX494" s="2"/>
      <c r="EY494" s="2"/>
      <c r="EZ494" s="2"/>
      <c r="FA494" s="2"/>
      <c r="FB494" s="2"/>
      <c r="FC494" s="2"/>
      <c r="FD494" s="2"/>
      <c r="FE494" s="2"/>
      <c r="FF494" s="2"/>
      <c r="FG494" s="2"/>
      <c r="FH494" s="2"/>
      <c r="FI494" s="2"/>
      <c r="FJ494" s="2"/>
      <c r="FK494" s="2"/>
      <c r="FL494" s="2"/>
      <c r="FM494" s="2"/>
      <c r="FN494" s="2"/>
      <c r="FO494" s="2"/>
      <c r="FP494" s="2"/>
      <c r="FQ494" s="2"/>
      <c r="FR494" s="2"/>
      <c r="FS494" s="2"/>
      <c r="FT494" s="2"/>
      <c r="FU494" s="2"/>
      <c r="FV494" s="2"/>
      <c r="FW494" s="2"/>
      <c r="FX494" s="2"/>
      <c r="FY494" s="2"/>
      <c r="FZ494" s="2"/>
      <c r="GA494" s="2"/>
      <c r="GB494" s="2"/>
      <c r="GC494" s="2"/>
      <c r="GD494" s="2"/>
      <c r="GE494" s="2"/>
      <c r="GF494" s="2"/>
      <c r="GG494" s="2"/>
      <c r="GH494" s="2"/>
      <c r="GI494" s="2"/>
      <c r="GJ494" s="2"/>
      <c r="GK494" s="2"/>
      <c r="GL494" s="2"/>
      <c r="GM494" s="2"/>
      <c r="GN494" s="2"/>
      <c r="GO494" s="2"/>
      <c r="GP494" s="2"/>
      <c r="GQ494" s="2"/>
      <c r="GR494" s="2"/>
      <c r="GS494" s="2"/>
      <c r="GT494" s="2"/>
      <c r="GU494" s="2"/>
      <c r="GV494" s="2"/>
      <c r="GW494" s="2"/>
      <c r="GX494" s="2"/>
      <c r="GY494" s="2"/>
      <c r="GZ494" s="2"/>
      <c r="HA494" s="2"/>
      <c r="HB494" s="2"/>
      <c r="HC494" s="2"/>
      <c r="HD494" s="2"/>
      <c r="HE494" s="2"/>
      <c r="HF494" s="2"/>
      <c r="HG494" s="2"/>
      <c r="HH494" s="2"/>
      <c r="HI494" s="2"/>
      <c r="HJ494" s="2"/>
      <c r="HK494" s="2"/>
      <c r="HL494" s="2"/>
      <c r="HM494" s="2"/>
      <c r="HN494" s="2"/>
      <c r="HO494" s="2"/>
      <c r="HP494" s="2"/>
      <c r="HQ494" s="2"/>
      <c r="HR494" s="2"/>
      <c r="HS494" s="2"/>
      <c r="HT494" s="2"/>
      <c r="HU494" s="2"/>
      <c r="HV494" s="2"/>
      <c r="HW494" s="2"/>
      <c r="HX494" s="2"/>
      <c r="HY494" s="2"/>
      <c r="HZ494" s="2"/>
      <c r="IA494" s="2"/>
      <c r="IB494" s="2"/>
      <c r="IC494" s="2"/>
    </row>
    <row r="495" spans="1:237" x14ac:dyDescent="0.2">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c r="AA495" s="2"/>
      <c r="AB495" s="2"/>
      <c r="AC495" s="2"/>
      <c r="AD495" s="2"/>
      <c r="AE495" s="2"/>
      <c r="AF495" s="2"/>
      <c r="AG495" s="2"/>
      <c r="AH495" s="2"/>
      <c r="AI495" s="2"/>
      <c r="AJ495" s="2"/>
      <c r="AK495" s="2"/>
      <c r="AL495" s="2"/>
      <c r="AM495" s="2"/>
      <c r="AN495" s="2"/>
      <c r="AO495" s="2"/>
      <c r="AP495" s="2"/>
      <c r="AQ495" s="2"/>
      <c r="AR495" s="2"/>
      <c r="AS495" s="2"/>
      <c r="AT495" s="2"/>
      <c r="AU495" s="2"/>
      <c r="AV495" s="2"/>
      <c r="AW495" s="2"/>
      <c r="AX495" s="2"/>
      <c r="AY495" s="2"/>
      <c r="AZ495" s="2"/>
      <c r="BA495" s="2"/>
      <c r="BB495" s="2"/>
      <c r="BC495" s="2"/>
      <c r="BD495" s="2"/>
      <c r="BE495" s="2"/>
      <c r="BF495" s="2"/>
      <c r="BG495" s="2"/>
      <c r="BH495" s="2"/>
      <c r="BI495" s="2"/>
      <c r="BJ495" s="2"/>
      <c r="BK495" s="2"/>
      <c r="BL495" s="2"/>
      <c r="BM495" s="2"/>
      <c r="BN495" s="2"/>
      <c r="BO495" s="2"/>
      <c r="BP495" s="2"/>
      <c r="BQ495" s="2"/>
      <c r="BR495" s="2"/>
      <c r="BS495" s="2"/>
      <c r="BT495" s="2"/>
      <c r="BU495" s="2"/>
      <c r="BV495" s="2"/>
      <c r="BW495" s="2"/>
      <c r="BX495" s="2"/>
      <c r="BY495" s="2"/>
      <c r="BZ495" s="2"/>
      <c r="CA495" s="2"/>
      <c r="CB495" s="2"/>
      <c r="CC495" s="2"/>
      <c r="CD495" s="2"/>
      <c r="CE495" s="2"/>
      <c r="CF495" s="2"/>
      <c r="CG495" s="2"/>
      <c r="CH495" s="2"/>
      <c r="CI495" s="2"/>
      <c r="CJ495" s="2"/>
      <c r="CK495" s="2"/>
      <c r="CL495" s="2"/>
      <c r="CM495" s="2"/>
      <c r="CN495" s="2"/>
      <c r="CO495" s="2"/>
      <c r="CP495" s="2"/>
      <c r="CQ495" s="2"/>
      <c r="CR495" s="2"/>
      <c r="CS495" s="2"/>
      <c r="CT495" s="2"/>
      <c r="CU495" s="2"/>
      <c r="CV495" s="2"/>
      <c r="CW495" s="2"/>
      <c r="CX495" s="2"/>
      <c r="CY495" s="2"/>
      <c r="CZ495" s="2"/>
      <c r="DA495" s="2"/>
      <c r="DB495" s="2"/>
      <c r="DC495" s="2"/>
      <c r="DD495" s="2"/>
      <c r="DE495" s="2"/>
      <c r="DF495" s="2"/>
      <c r="DG495" s="2"/>
      <c r="DH495" s="2"/>
      <c r="DI495" s="2"/>
      <c r="DJ495" s="2"/>
      <c r="DK495" s="2"/>
      <c r="DL495" s="2"/>
      <c r="DM495" s="2"/>
      <c r="DN495" s="2"/>
      <c r="DO495" s="2"/>
      <c r="DP495" s="2"/>
      <c r="DQ495" s="2"/>
      <c r="DR495" s="2"/>
      <c r="DS495" s="2"/>
      <c r="DT495" s="2"/>
      <c r="DU495" s="2"/>
      <c r="DV495" s="2"/>
      <c r="DW495" s="2"/>
      <c r="DX495" s="2"/>
      <c r="DY495" s="2"/>
      <c r="DZ495" s="2"/>
      <c r="EA495" s="2"/>
      <c r="EB495" s="2"/>
      <c r="EC495" s="2"/>
      <c r="ED495" s="2"/>
      <c r="EE495" s="2"/>
      <c r="EF495" s="2"/>
      <c r="EG495" s="2"/>
      <c r="EH495" s="2"/>
      <c r="EI495" s="2"/>
      <c r="EJ495" s="2"/>
      <c r="EK495" s="2"/>
      <c r="EL495" s="2"/>
      <c r="EM495" s="2"/>
      <c r="EN495" s="2"/>
      <c r="EO495" s="2"/>
      <c r="EP495" s="2"/>
      <c r="EQ495" s="2"/>
      <c r="ER495" s="2"/>
      <c r="ES495" s="2"/>
      <c r="ET495" s="2"/>
      <c r="EU495" s="2"/>
      <c r="EV495" s="2"/>
      <c r="EW495" s="2"/>
      <c r="EX495" s="2"/>
      <c r="EY495" s="2"/>
      <c r="EZ495" s="2"/>
      <c r="FA495" s="2"/>
      <c r="FB495" s="2"/>
      <c r="FC495" s="2"/>
      <c r="FD495" s="2"/>
      <c r="FE495" s="2"/>
      <c r="FF495" s="2"/>
      <c r="FG495" s="2"/>
      <c r="FH495" s="2"/>
      <c r="FI495" s="2"/>
      <c r="FJ495" s="2"/>
      <c r="FK495" s="2"/>
      <c r="FL495" s="2"/>
      <c r="FM495" s="2"/>
      <c r="FN495" s="2"/>
      <c r="FO495" s="2"/>
      <c r="FP495" s="2"/>
      <c r="FQ495" s="2"/>
      <c r="FR495" s="2"/>
      <c r="FS495" s="2"/>
      <c r="FT495" s="2"/>
      <c r="FU495" s="2"/>
      <c r="FV495" s="2"/>
      <c r="FW495" s="2"/>
      <c r="FX495" s="2"/>
      <c r="FY495" s="2"/>
      <c r="FZ495" s="2"/>
      <c r="GA495" s="2"/>
      <c r="GB495" s="2"/>
      <c r="GC495" s="2"/>
      <c r="GD495" s="2"/>
      <c r="GE495" s="2"/>
      <c r="GF495" s="2"/>
      <c r="GG495" s="2"/>
      <c r="GH495" s="2"/>
      <c r="GI495" s="2"/>
      <c r="GJ495" s="2"/>
      <c r="GK495" s="2"/>
      <c r="GL495" s="2"/>
      <c r="GM495" s="2"/>
      <c r="GN495" s="2"/>
      <c r="GO495" s="2"/>
      <c r="GP495" s="2"/>
      <c r="GQ495" s="2"/>
      <c r="GR495" s="2"/>
      <c r="GS495" s="2"/>
      <c r="GT495" s="2"/>
      <c r="GU495" s="2"/>
      <c r="GV495" s="2"/>
      <c r="GW495" s="2"/>
      <c r="GX495" s="2"/>
      <c r="GY495" s="2"/>
      <c r="GZ495" s="2"/>
      <c r="HA495" s="2"/>
      <c r="HB495" s="2"/>
      <c r="HC495" s="2"/>
      <c r="HD495" s="2"/>
      <c r="HE495" s="2"/>
      <c r="HF495" s="2"/>
      <c r="HG495" s="2"/>
      <c r="HH495" s="2"/>
      <c r="HI495" s="2"/>
      <c r="HJ495" s="2"/>
      <c r="HK495" s="2"/>
      <c r="HL495" s="2"/>
      <c r="HM495" s="2"/>
      <c r="HN495" s="2"/>
      <c r="HO495" s="2"/>
      <c r="HP495" s="2"/>
      <c r="HQ495" s="2"/>
      <c r="HR495" s="2"/>
      <c r="HS495" s="2"/>
      <c r="HT495" s="2"/>
      <c r="HU495" s="2"/>
      <c r="HV495" s="2"/>
      <c r="HW495" s="2"/>
      <c r="HX495" s="2"/>
      <c r="HY495" s="2"/>
      <c r="HZ495" s="2"/>
      <c r="IA495" s="2"/>
      <c r="IB495" s="2"/>
      <c r="IC495" s="2"/>
    </row>
    <row r="496" spans="1:237" x14ac:dyDescent="0.2">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c r="AA496" s="2"/>
      <c r="AB496" s="2"/>
      <c r="AC496" s="2"/>
      <c r="AD496" s="2"/>
      <c r="AE496" s="2"/>
      <c r="AF496" s="2"/>
      <c r="AG496" s="2"/>
      <c r="AH496" s="2"/>
      <c r="AI496" s="2"/>
      <c r="AJ496" s="2"/>
      <c r="AK496" s="2"/>
      <c r="AL496" s="2"/>
      <c r="AM496" s="2"/>
      <c r="AN496" s="2"/>
      <c r="AO496" s="2"/>
      <c r="AP496" s="2"/>
      <c r="AQ496" s="2"/>
      <c r="AR496" s="2"/>
      <c r="AS496" s="2"/>
      <c r="AT496" s="2"/>
      <c r="AU496" s="2"/>
      <c r="AV496" s="2"/>
      <c r="AW496" s="2"/>
      <c r="AX496" s="2"/>
      <c r="AY496" s="2"/>
      <c r="AZ496" s="2"/>
      <c r="BA496" s="2"/>
      <c r="BB496" s="2"/>
      <c r="BC496" s="2"/>
      <c r="BD496" s="2"/>
      <c r="BE496" s="2"/>
      <c r="BF496" s="2"/>
      <c r="BG496" s="2"/>
      <c r="BH496" s="2"/>
      <c r="BI496" s="2"/>
      <c r="BJ496" s="2"/>
      <c r="BK496" s="2"/>
      <c r="BL496" s="2"/>
      <c r="BM496" s="2"/>
      <c r="BN496" s="2"/>
      <c r="BO496" s="2"/>
      <c r="BP496" s="2"/>
      <c r="BQ496" s="2"/>
      <c r="BR496" s="2"/>
      <c r="BS496" s="2"/>
      <c r="BT496" s="2"/>
      <c r="BU496" s="2"/>
      <c r="BV496" s="2"/>
      <c r="BW496" s="2"/>
      <c r="BX496" s="2"/>
      <c r="BY496" s="2"/>
      <c r="BZ496" s="2"/>
      <c r="CA496" s="2"/>
      <c r="CB496" s="2"/>
      <c r="CC496" s="2"/>
      <c r="CD496" s="2"/>
      <c r="CE496" s="2"/>
      <c r="CF496" s="2"/>
      <c r="CG496" s="2"/>
      <c r="CH496" s="2"/>
      <c r="CI496" s="2"/>
      <c r="CJ496" s="2"/>
      <c r="CK496" s="2"/>
      <c r="CL496" s="2"/>
      <c r="CM496" s="2"/>
      <c r="CN496" s="2"/>
      <c r="CO496" s="2"/>
      <c r="CP496" s="2"/>
      <c r="CQ496" s="2"/>
      <c r="CR496" s="2"/>
      <c r="CS496" s="2"/>
      <c r="CT496" s="2"/>
      <c r="CU496" s="2"/>
      <c r="CV496" s="2"/>
      <c r="CW496" s="2"/>
      <c r="CX496" s="2"/>
      <c r="CY496" s="2"/>
      <c r="CZ496" s="2"/>
      <c r="DA496" s="2"/>
      <c r="DB496" s="2"/>
      <c r="DC496" s="2"/>
      <c r="DD496" s="2"/>
      <c r="DE496" s="2"/>
      <c r="DF496" s="2"/>
      <c r="DG496" s="2"/>
      <c r="DH496" s="2"/>
      <c r="DI496" s="2"/>
      <c r="DJ496" s="2"/>
      <c r="DK496" s="2"/>
      <c r="DL496" s="2"/>
      <c r="DM496" s="2"/>
      <c r="DN496" s="2"/>
      <c r="DO496" s="2"/>
      <c r="DP496" s="2"/>
      <c r="DQ496" s="2"/>
      <c r="DR496" s="2"/>
      <c r="DS496" s="2"/>
      <c r="DT496" s="2"/>
      <c r="DU496" s="2"/>
      <c r="DV496" s="2"/>
      <c r="DW496" s="2"/>
      <c r="DX496" s="2"/>
      <c r="DY496" s="2"/>
      <c r="DZ496" s="2"/>
      <c r="EA496" s="2"/>
      <c r="EB496" s="2"/>
      <c r="EC496" s="2"/>
      <c r="ED496" s="2"/>
      <c r="EE496" s="2"/>
      <c r="EF496" s="2"/>
      <c r="EG496" s="2"/>
      <c r="EH496" s="2"/>
      <c r="EI496" s="2"/>
      <c r="EJ496" s="2"/>
      <c r="EK496" s="2"/>
      <c r="EL496" s="2"/>
      <c r="EM496" s="2"/>
      <c r="EN496" s="2"/>
      <c r="EO496" s="2"/>
      <c r="EP496" s="2"/>
      <c r="EQ496" s="2"/>
      <c r="ER496" s="2"/>
      <c r="ES496" s="2"/>
      <c r="ET496" s="2"/>
      <c r="EU496" s="2"/>
      <c r="EV496" s="2"/>
      <c r="EW496" s="2"/>
      <c r="EX496" s="2"/>
      <c r="EY496" s="2"/>
      <c r="EZ496" s="2"/>
      <c r="FA496" s="2"/>
      <c r="FB496" s="2"/>
      <c r="FC496" s="2"/>
      <c r="FD496" s="2"/>
      <c r="FE496" s="2"/>
      <c r="FF496" s="2"/>
      <c r="FG496" s="2"/>
      <c r="FH496" s="2"/>
      <c r="FI496" s="2"/>
      <c r="FJ496" s="2"/>
      <c r="FK496" s="2"/>
      <c r="FL496" s="2"/>
      <c r="FM496" s="2"/>
      <c r="FN496" s="2"/>
      <c r="FO496" s="2"/>
      <c r="FP496" s="2"/>
      <c r="FQ496" s="2"/>
      <c r="FR496" s="2"/>
      <c r="FS496" s="2"/>
      <c r="FT496" s="2"/>
      <c r="FU496" s="2"/>
      <c r="FV496" s="2"/>
      <c r="FW496" s="2"/>
      <c r="FX496" s="2"/>
      <c r="FY496" s="2"/>
      <c r="FZ496" s="2"/>
      <c r="GA496" s="2"/>
      <c r="GB496" s="2"/>
      <c r="GC496" s="2"/>
      <c r="GD496" s="2"/>
      <c r="GE496" s="2"/>
      <c r="GF496" s="2"/>
      <c r="GG496" s="2"/>
      <c r="GH496" s="2"/>
      <c r="GI496" s="2"/>
      <c r="GJ496" s="2"/>
      <c r="GK496" s="2"/>
      <c r="GL496" s="2"/>
      <c r="GM496" s="2"/>
      <c r="GN496" s="2"/>
      <c r="GO496" s="2"/>
      <c r="GP496" s="2"/>
      <c r="GQ496" s="2"/>
      <c r="GR496" s="2"/>
      <c r="GS496" s="2"/>
      <c r="GT496" s="2"/>
      <c r="GU496" s="2"/>
      <c r="GV496" s="2"/>
      <c r="GW496" s="2"/>
      <c r="GX496" s="2"/>
      <c r="GY496" s="2"/>
      <c r="GZ496" s="2"/>
      <c r="HA496" s="2"/>
      <c r="HB496" s="2"/>
      <c r="HC496" s="2"/>
      <c r="HD496" s="2"/>
      <c r="HE496" s="2"/>
      <c r="HF496" s="2"/>
      <c r="HG496" s="2"/>
      <c r="HH496" s="2"/>
      <c r="HI496" s="2"/>
      <c r="HJ496" s="2"/>
      <c r="HK496" s="2"/>
      <c r="HL496" s="2"/>
      <c r="HM496" s="2"/>
      <c r="HN496" s="2"/>
      <c r="HO496" s="2"/>
      <c r="HP496" s="2"/>
      <c r="HQ496" s="2"/>
      <c r="HR496" s="2"/>
      <c r="HS496" s="2"/>
      <c r="HT496" s="2"/>
      <c r="HU496" s="2"/>
      <c r="HV496" s="2"/>
      <c r="HW496" s="2"/>
      <c r="HX496" s="2"/>
      <c r="HY496" s="2"/>
      <c r="HZ496" s="2"/>
      <c r="IA496" s="2"/>
      <c r="IB496" s="2"/>
      <c r="IC496" s="2"/>
    </row>
    <row r="497" spans="1:237" x14ac:dyDescent="0.2">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c r="AA497" s="2"/>
      <c r="AB497" s="2"/>
      <c r="AC497" s="2"/>
      <c r="AD497" s="2"/>
      <c r="AE497" s="2"/>
      <c r="AF497" s="2"/>
      <c r="AG497" s="2"/>
      <c r="AH497" s="2"/>
      <c r="AI497" s="2"/>
      <c r="AJ497" s="2"/>
      <c r="AK497" s="2"/>
      <c r="AL497" s="2"/>
      <c r="AM497" s="2"/>
      <c r="AN497" s="2"/>
      <c r="AO497" s="2"/>
      <c r="AP497" s="2"/>
      <c r="AQ497" s="2"/>
      <c r="AR497" s="2"/>
      <c r="AS497" s="2"/>
      <c r="AT497" s="2"/>
      <c r="AU497" s="2"/>
      <c r="AV497" s="2"/>
      <c r="AW497" s="2"/>
      <c r="AX497" s="2"/>
      <c r="AY497" s="2"/>
      <c r="AZ497" s="2"/>
      <c r="BA497" s="2"/>
      <c r="BB497" s="2"/>
      <c r="BC497" s="2"/>
      <c r="BD497" s="2"/>
      <c r="BE497" s="2"/>
      <c r="BF497" s="2"/>
      <c r="BG497" s="2"/>
      <c r="BH497" s="2"/>
      <c r="BI497" s="2"/>
      <c r="BJ497" s="2"/>
      <c r="BK497" s="2"/>
      <c r="BL497" s="2"/>
      <c r="BM497" s="2"/>
      <c r="BN497" s="2"/>
      <c r="BO497" s="2"/>
      <c r="BP497" s="2"/>
      <c r="BQ497" s="2"/>
      <c r="BR497" s="2"/>
      <c r="BS497" s="2"/>
      <c r="BT497" s="2"/>
      <c r="BU497" s="2"/>
      <c r="BV497" s="2"/>
      <c r="BW497" s="2"/>
      <c r="BX497" s="2"/>
      <c r="BY497" s="2"/>
      <c r="BZ497" s="2"/>
      <c r="CA497" s="2"/>
      <c r="CB497" s="2"/>
      <c r="CC497" s="2"/>
      <c r="CD497" s="2"/>
      <c r="CE497" s="2"/>
      <c r="CF497" s="2"/>
      <c r="CG497" s="2"/>
      <c r="CH497" s="2"/>
      <c r="CI497" s="2"/>
      <c r="CJ497" s="2"/>
      <c r="CK497" s="2"/>
      <c r="CL497" s="2"/>
      <c r="CM497" s="2"/>
      <c r="CN497" s="2"/>
      <c r="CO497" s="2"/>
      <c r="CP497" s="2"/>
      <c r="CQ497" s="2"/>
      <c r="CR497" s="2"/>
      <c r="CS497" s="2"/>
      <c r="CT497" s="2"/>
      <c r="CU497" s="2"/>
      <c r="CV497" s="2"/>
      <c r="CW497" s="2"/>
      <c r="CX497" s="2"/>
      <c r="CY497" s="2"/>
      <c r="CZ497" s="2"/>
      <c r="DA497" s="2"/>
      <c r="DB497" s="2"/>
      <c r="DC497" s="2"/>
      <c r="DD497" s="2"/>
      <c r="DE497" s="2"/>
      <c r="DF497" s="2"/>
      <c r="DG497" s="2"/>
      <c r="DH497" s="2"/>
      <c r="DI497" s="2"/>
      <c r="DJ497" s="2"/>
      <c r="DK497" s="2"/>
      <c r="DL497" s="2"/>
      <c r="DM497" s="2"/>
      <c r="DN497" s="2"/>
      <c r="DO497" s="2"/>
      <c r="DP497" s="2"/>
      <c r="DQ497" s="2"/>
      <c r="DR497" s="2"/>
      <c r="DS497" s="2"/>
      <c r="DT497" s="2"/>
      <c r="DU497" s="2"/>
      <c r="DV497" s="2"/>
      <c r="DW497" s="2"/>
      <c r="DX497" s="2"/>
      <c r="DY497" s="2"/>
      <c r="DZ497" s="2"/>
      <c r="EA497" s="2"/>
      <c r="EB497" s="2"/>
      <c r="EC497" s="2"/>
      <c r="ED497" s="2"/>
      <c r="EE497" s="2"/>
      <c r="EF497" s="2"/>
      <c r="EG497" s="2"/>
      <c r="EH497" s="2"/>
      <c r="EI497" s="2"/>
      <c r="EJ497" s="2"/>
      <c r="EK497" s="2"/>
      <c r="EL497" s="2"/>
      <c r="EM497" s="2"/>
      <c r="EN497" s="2"/>
      <c r="EO497" s="2"/>
      <c r="EP497" s="2"/>
      <c r="EQ497" s="2"/>
      <c r="ER497" s="2"/>
      <c r="ES497" s="2"/>
      <c r="ET497" s="2"/>
      <c r="EU497" s="2"/>
      <c r="EV497" s="2"/>
      <c r="EW497" s="2"/>
      <c r="EX497" s="2"/>
      <c r="EY497" s="2"/>
      <c r="EZ497" s="2"/>
      <c r="FA497" s="2"/>
      <c r="FB497" s="2"/>
      <c r="FC497" s="2"/>
      <c r="FD497" s="2"/>
      <c r="FE497" s="2"/>
      <c r="FF497" s="2"/>
      <c r="FG497" s="2"/>
      <c r="FH497" s="2"/>
      <c r="FI497" s="2"/>
      <c r="FJ497" s="2"/>
      <c r="FK497" s="2"/>
      <c r="FL497" s="2"/>
      <c r="FM497" s="2"/>
      <c r="FN497" s="2"/>
      <c r="FO497" s="2"/>
      <c r="FP497" s="2"/>
      <c r="FQ497" s="2"/>
      <c r="FR497" s="2"/>
      <c r="FS497" s="2"/>
      <c r="FT497" s="2"/>
      <c r="FU497" s="2"/>
      <c r="FV497" s="2"/>
      <c r="FW497" s="2"/>
      <c r="FX497" s="2"/>
      <c r="FY497" s="2"/>
      <c r="FZ497" s="2"/>
      <c r="GA497" s="2"/>
      <c r="GB497" s="2"/>
      <c r="GC497" s="2"/>
      <c r="GD497" s="2"/>
      <c r="GE497" s="2"/>
      <c r="GF497" s="2"/>
      <c r="GG497" s="2"/>
      <c r="GH497" s="2"/>
      <c r="GI497" s="2"/>
      <c r="GJ497" s="2"/>
      <c r="GK497" s="2"/>
      <c r="GL497" s="2"/>
      <c r="GM497" s="2"/>
      <c r="GN497" s="2"/>
      <c r="GO497" s="2"/>
      <c r="GP497" s="2"/>
      <c r="GQ497" s="2"/>
      <c r="GR497" s="2"/>
      <c r="GS497" s="2"/>
      <c r="GT497" s="2"/>
      <c r="GU497" s="2"/>
      <c r="GV497" s="2"/>
      <c r="GW497" s="2"/>
      <c r="GX497" s="2"/>
      <c r="GY497" s="2"/>
      <c r="GZ497" s="2"/>
      <c r="HA497" s="2"/>
      <c r="HB497" s="2"/>
      <c r="HC497" s="2"/>
      <c r="HD497" s="2"/>
      <c r="HE497" s="2"/>
      <c r="HF497" s="2"/>
      <c r="HG497" s="2"/>
      <c r="HH497" s="2"/>
      <c r="HI497" s="2"/>
      <c r="HJ497" s="2"/>
      <c r="HK497" s="2"/>
      <c r="HL497" s="2"/>
      <c r="HM497" s="2"/>
      <c r="HN497" s="2"/>
      <c r="HO497" s="2"/>
      <c r="HP497" s="2"/>
      <c r="HQ497" s="2"/>
      <c r="HR497" s="2"/>
      <c r="HS497" s="2"/>
      <c r="HT497" s="2"/>
      <c r="HU497" s="2"/>
      <c r="HV497" s="2"/>
      <c r="HW497" s="2"/>
      <c r="HX497" s="2"/>
      <c r="HY497" s="2"/>
      <c r="HZ497" s="2"/>
      <c r="IA497" s="2"/>
      <c r="IB497" s="2"/>
      <c r="IC497" s="2"/>
    </row>
    <row r="498" spans="1:237" x14ac:dyDescent="0.2">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c r="AA498" s="2"/>
      <c r="AB498" s="2"/>
      <c r="AC498" s="2"/>
      <c r="AD498" s="2"/>
      <c r="AE498" s="2"/>
      <c r="AF498" s="2"/>
      <c r="AG498" s="2"/>
      <c r="AH498" s="2"/>
      <c r="AI498" s="2"/>
      <c r="AJ498" s="2"/>
      <c r="AK498" s="2"/>
      <c r="AL498" s="2"/>
      <c r="AM498" s="2"/>
      <c r="AN498" s="2"/>
      <c r="AO498" s="2"/>
      <c r="AP498" s="2"/>
      <c r="AQ498" s="2"/>
      <c r="AR498" s="2"/>
      <c r="AS498" s="2"/>
      <c r="AT498" s="2"/>
      <c r="AU498" s="2"/>
      <c r="AV498" s="2"/>
      <c r="AW498" s="2"/>
      <c r="AX498" s="2"/>
      <c r="AY498" s="2"/>
      <c r="AZ498" s="2"/>
      <c r="BA498" s="2"/>
      <c r="BB498" s="2"/>
      <c r="BC498" s="2"/>
      <c r="BD498" s="2"/>
      <c r="BE498" s="2"/>
      <c r="BF498" s="2"/>
      <c r="BG498" s="2"/>
      <c r="BH498" s="2"/>
      <c r="BI498" s="2"/>
      <c r="BJ498" s="2"/>
      <c r="BK498" s="2"/>
      <c r="BL498" s="2"/>
      <c r="BM498" s="2"/>
      <c r="BN498" s="2"/>
      <c r="BO498" s="2"/>
      <c r="BP498" s="2"/>
      <c r="BQ498" s="2"/>
      <c r="BR498" s="2"/>
      <c r="BS498" s="2"/>
      <c r="BT498" s="2"/>
      <c r="BU498" s="2"/>
      <c r="BV498" s="2"/>
      <c r="BW498" s="2"/>
      <c r="BX498" s="2"/>
      <c r="BY498" s="2"/>
      <c r="BZ498" s="2"/>
      <c r="CA498" s="2"/>
      <c r="CB498" s="2"/>
      <c r="CC498" s="2"/>
      <c r="CD498" s="2"/>
      <c r="CE498" s="2"/>
      <c r="CF498" s="2"/>
      <c r="CG498" s="2"/>
      <c r="CH498" s="2"/>
      <c r="CI498" s="2"/>
      <c r="CJ498" s="2"/>
      <c r="CK498" s="2"/>
      <c r="CL498" s="2"/>
      <c r="CM498" s="2"/>
      <c r="CN498" s="2"/>
      <c r="CO498" s="2"/>
      <c r="CP498" s="2"/>
      <c r="CQ498" s="2"/>
      <c r="CR498" s="2"/>
      <c r="CS498" s="2"/>
      <c r="CT498" s="2"/>
      <c r="CU498" s="2"/>
      <c r="CV498" s="2"/>
      <c r="CW498" s="2"/>
      <c r="CX498" s="2"/>
      <c r="CY498" s="2"/>
      <c r="CZ498" s="2"/>
      <c r="DA498" s="2"/>
      <c r="DB498" s="2"/>
      <c r="DC498" s="2"/>
      <c r="DD498" s="2"/>
      <c r="DE498" s="2"/>
      <c r="DF498" s="2"/>
      <c r="DG498" s="2"/>
      <c r="DH498" s="2"/>
      <c r="DI498" s="2"/>
      <c r="DJ498" s="2"/>
      <c r="DK498" s="2"/>
      <c r="DL498" s="2"/>
      <c r="DM498" s="2"/>
      <c r="DN498" s="2"/>
      <c r="DO498" s="2"/>
      <c r="DP498" s="2"/>
      <c r="DQ498" s="2"/>
      <c r="DR498" s="2"/>
      <c r="DS498" s="2"/>
      <c r="DT498" s="2"/>
      <c r="DU498" s="2"/>
      <c r="DV498" s="2"/>
      <c r="DW498" s="2"/>
      <c r="DX498" s="2"/>
      <c r="DY498" s="2"/>
      <c r="DZ498" s="2"/>
      <c r="EA498" s="2"/>
      <c r="EB498" s="2"/>
      <c r="EC498" s="2"/>
      <c r="ED498" s="2"/>
      <c r="EE498" s="2"/>
      <c r="EF498" s="2"/>
      <c r="EG498" s="2"/>
      <c r="EH498" s="2"/>
      <c r="EI498" s="2"/>
      <c r="EJ498" s="2"/>
      <c r="EK498" s="2"/>
      <c r="EL498" s="2"/>
      <c r="EM498" s="2"/>
      <c r="EN498" s="2"/>
      <c r="EO498" s="2"/>
      <c r="EP498" s="2"/>
      <c r="EQ498" s="2"/>
      <c r="ER498" s="2"/>
      <c r="ES498" s="2"/>
      <c r="ET498" s="2"/>
      <c r="EU498" s="2"/>
      <c r="EV498" s="2"/>
      <c r="EW498" s="2"/>
      <c r="EX498" s="2"/>
      <c r="EY498" s="2"/>
      <c r="EZ498" s="2"/>
      <c r="FA498" s="2"/>
      <c r="FB498" s="2"/>
      <c r="FC498" s="2"/>
      <c r="FD498" s="2"/>
      <c r="FE498" s="2"/>
      <c r="FF498" s="2"/>
      <c r="FG498" s="2"/>
      <c r="FH498" s="2"/>
      <c r="FI498" s="2"/>
      <c r="FJ498" s="2"/>
      <c r="FK498" s="2"/>
      <c r="FL498" s="2"/>
      <c r="FM498" s="2"/>
      <c r="FN498" s="2"/>
      <c r="FO498" s="2"/>
      <c r="FP498" s="2"/>
      <c r="FQ498" s="2"/>
      <c r="FR498" s="2"/>
      <c r="FS498" s="2"/>
      <c r="FT498" s="2"/>
      <c r="FU498" s="2"/>
      <c r="FV498" s="2"/>
      <c r="FW498" s="2"/>
      <c r="FX498" s="2"/>
      <c r="FY498" s="2"/>
      <c r="FZ498" s="2"/>
      <c r="GA498" s="2"/>
      <c r="GB498" s="2"/>
      <c r="GC498" s="2"/>
      <c r="GD498" s="2"/>
      <c r="GE498" s="2"/>
      <c r="GF498" s="2"/>
      <c r="GG498" s="2"/>
      <c r="GH498" s="2"/>
      <c r="GI498" s="2"/>
      <c r="GJ498" s="2"/>
      <c r="GK498" s="2"/>
      <c r="GL498" s="2"/>
      <c r="GM498" s="2"/>
      <c r="GN498" s="2"/>
      <c r="GO498" s="2"/>
      <c r="GP498" s="2"/>
      <c r="GQ498" s="2"/>
      <c r="GR498" s="2"/>
      <c r="GS498" s="2"/>
      <c r="GT498" s="2"/>
      <c r="GU498" s="2"/>
      <c r="GV498" s="2"/>
      <c r="GW498" s="2"/>
      <c r="GX498" s="2"/>
      <c r="GY498" s="2"/>
      <c r="GZ498" s="2"/>
      <c r="HA498" s="2"/>
      <c r="HB498" s="2"/>
      <c r="HC498" s="2"/>
      <c r="HD498" s="2"/>
      <c r="HE498" s="2"/>
      <c r="HF498" s="2"/>
      <c r="HG498" s="2"/>
      <c r="HH498" s="2"/>
      <c r="HI498" s="2"/>
      <c r="HJ498" s="2"/>
      <c r="HK498" s="2"/>
      <c r="HL498" s="2"/>
      <c r="HM498" s="2"/>
      <c r="HN498" s="2"/>
      <c r="HO498" s="2"/>
      <c r="HP498" s="2"/>
      <c r="HQ498" s="2"/>
      <c r="HR498" s="2"/>
      <c r="HS498" s="2"/>
      <c r="HT498" s="2"/>
      <c r="HU498" s="2"/>
      <c r="HV498" s="2"/>
      <c r="HW498" s="2"/>
      <c r="HX498" s="2"/>
      <c r="HY498" s="2"/>
      <c r="HZ498" s="2"/>
      <c r="IA498" s="2"/>
      <c r="IB498" s="2"/>
      <c r="IC498" s="2"/>
    </row>
    <row r="499" spans="1:237" x14ac:dyDescent="0.2">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c r="AA499" s="2"/>
      <c r="AB499" s="2"/>
      <c r="AC499" s="2"/>
      <c r="AD499" s="2"/>
      <c r="AE499" s="2"/>
      <c r="AF499" s="2"/>
      <c r="AG499" s="2"/>
      <c r="AH499" s="2"/>
      <c r="AI499" s="2"/>
      <c r="AJ499" s="2"/>
      <c r="AK499" s="2"/>
      <c r="AL499" s="2"/>
      <c r="AM499" s="2"/>
      <c r="AN499" s="2"/>
      <c r="AO499" s="2"/>
      <c r="AP499" s="2"/>
      <c r="AQ499" s="2"/>
      <c r="AR499" s="2"/>
      <c r="AS499" s="2"/>
      <c r="AT499" s="2"/>
      <c r="AU499" s="2"/>
      <c r="AV499" s="2"/>
      <c r="AW499" s="2"/>
      <c r="AX499" s="2"/>
      <c r="AY499" s="2"/>
      <c r="AZ499" s="2"/>
      <c r="BA499" s="2"/>
      <c r="BB499" s="2"/>
      <c r="BC499" s="2"/>
      <c r="BD499" s="2"/>
      <c r="BE499" s="2"/>
      <c r="BF499" s="2"/>
      <c r="BG499" s="2"/>
      <c r="BH499" s="2"/>
      <c r="BI499" s="2"/>
      <c r="BJ499" s="2"/>
      <c r="BK499" s="2"/>
      <c r="BL499" s="2"/>
      <c r="BM499" s="2"/>
      <c r="BN499" s="2"/>
      <c r="BO499" s="2"/>
      <c r="BP499" s="2"/>
      <c r="BQ499" s="2"/>
      <c r="BR499" s="2"/>
      <c r="BS499" s="2"/>
      <c r="BT499" s="2"/>
      <c r="BU499" s="2"/>
      <c r="BV499" s="2"/>
      <c r="BW499" s="2"/>
      <c r="BX499" s="2"/>
      <c r="BY499" s="2"/>
      <c r="BZ499" s="2"/>
      <c r="CA499" s="2"/>
      <c r="CB499" s="2"/>
      <c r="CC499" s="2"/>
      <c r="CD499" s="2"/>
      <c r="CE499" s="2"/>
      <c r="CF499" s="2"/>
      <c r="CG499" s="2"/>
      <c r="CH499" s="2"/>
      <c r="CI499" s="2"/>
      <c r="CJ499" s="2"/>
      <c r="CK499" s="2"/>
      <c r="CL499" s="2"/>
      <c r="CM499" s="2"/>
      <c r="CN499" s="2"/>
      <c r="CO499" s="2"/>
      <c r="CP499" s="2"/>
      <c r="CQ499" s="2"/>
      <c r="CR499" s="2"/>
      <c r="CS499" s="2"/>
      <c r="CT499" s="2"/>
      <c r="CU499" s="2"/>
      <c r="CV499" s="2"/>
      <c r="CW499" s="2"/>
      <c r="CX499" s="2"/>
      <c r="CY499" s="2"/>
      <c r="CZ499" s="2"/>
      <c r="DA499" s="2"/>
      <c r="DB499" s="2"/>
      <c r="DC499" s="2"/>
      <c r="DD499" s="2"/>
      <c r="DE499" s="2"/>
      <c r="DF499" s="2"/>
      <c r="DG499" s="2"/>
      <c r="DH499" s="2"/>
      <c r="DI499" s="2"/>
      <c r="DJ499" s="2"/>
      <c r="DK499" s="2"/>
      <c r="DL499" s="2"/>
      <c r="DM499" s="2"/>
      <c r="DN499" s="2"/>
      <c r="DO499" s="2"/>
      <c r="DP499" s="2"/>
      <c r="DQ499" s="2"/>
      <c r="DR499" s="2"/>
      <c r="DS499" s="2"/>
      <c r="DT499" s="2"/>
      <c r="DU499" s="2"/>
      <c r="DV499" s="2"/>
      <c r="DW499" s="2"/>
      <c r="DX499" s="2"/>
      <c r="DY499" s="2"/>
      <c r="DZ499" s="2"/>
      <c r="EA499" s="2"/>
      <c r="EB499" s="2"/>
      <c r="EC499" s="2"/>
      <c r="ED499" s="2"/>
      <c r="EE499" s="2"/>
      <c r="EF499" s="2"/>
      <c r="EG499" s="2"/>
      <c r="EH499" s="2"/>
      <c r="EI499" s="2"/>
      <c r="EJ499" s="2"/>
      <c r="EK499" s="2"/>
      <c r="EL499" s="2"/>
      <c r="EM499" s="2"/>
      <c r="EN499" s="2"/>
      <c r="EO499" s="2"/>
      <c r="EP499" s="2"/>
      <c r="EQ499" s="2"/>
      <c r="ER499" s="2"/>
      <c r="ES499" s="2"/>
      <c r="ET499" s="2"/>
      <c r="EU499" s="2"/>
      <c r="EV499" s="2"/>
      <c r="EW499" s="2"/>
      <c r="EX499" s="2"/>
      <c r="EY499" s="2"/>
      <c r="EZ499" s="2"/>
      <c r="FA499" s="2"/>
      <c r="FB499" s="2"/>
      <c r="FC499" s="2"/>
      <c r="FD499" s="2"/>
      <c r="FE499" s="2"/>
      <c r="FF499" s="2"/>
      <c r="FG499" s="2"/>
      <c r="FH499" s="2"/>
      <c r="FI499" s="2"/>
      <c r="FJ499" s="2"/>
      <c r="FK499" s="2"/>
      <c r="FL499" s="2"/>
      <c r="FM499" s="2"/>
      <c r="FN499" s="2"/>
      <c r="FO499" s="2"/>
      <c r="FP499" s="2"/>
      <c r="FQ499" s="2"/>
      <c r="FR499" s="2"/>
      <c r="FS499" s="2"/>
      <c r="FT499" s="2"/>
      <c r="FU499" s="2"/>
      <c r="FV499" s="2"/>
      <c r="FW499" s="2"/>
      <c r="FX499" s="2"/>
      <c r="FY499" s="2"/>
      <c r="FZ499" s="2"/>
      <c r="GA499" s="2"/>
      <c r="GB499" s="2"/>
      <c r="GC499" s="2"/>
      <c r="GD499" s="2"/>
      <c r="GE499" s="2"/>
      <c r="GF499" s="2"/>
      <c r="GG499" s="2"/>
      <c r="GH499" s="2"/>
      <c r="GI499" s="2"/>
      <c r="GJ499" s="2"/>
      <c r="GK499" s="2"/>
      <c r="GL499" s="2"/>
      <c r="GM499" s="2"/>
      <c r="GN499" s="2"/>
      <c r="GO499" s="2"/>
      <c r="GP499" s="2"/>
      <c r="GQ499" s="2"/>
      <c r="GR499" s="2"/>
      <c r="GS499" s="2"/>
      <c r="GT499" s="2"/>
      <c r="GU499" s="2"/>
      <c r="GV499" s="2"/>
      <c r="GW499" s="2"/>
      <c r="GX499" s="2"/>
      <c r="GY499" s="2"/>
      <c r="GZ499" s="2"/>
      <c r="HA499" s="2"/>
      <c r="HB499" s="2"/>
      <c r="HC499" s="2"/>
      <c r="HD499" s="2"/>
      <c r="HE499" s="2"/>
      <c r="HF499" s="2"/>
      <c r="HG499" s="2"/>
      <c r="HH499" s="2"/>
      <c r="HI499" s="2"/>
      <c r="HJ499" s="2"/>
      <c r="HK499" s="2"/>
      <c r="HL499" s="2"/>
      <c r="HM499" s="2"/>
      <c r="HN499" s="2"/>
      <c r="HO499" s="2"/>
      <c r="HP499" s="2"/>
      <c r="HQ499" s="2"/>
      <c r="HR499" s="2"/>
      <c r="HS499" s="2"/>
      <c r="HT499" s="2"/>
      <c r="HU499" s="2"/>
      <c r="HV499" s="2"/>
      <c r="HW499" s="2"/>
      <c r="HX499" s="2"/>
      <c r="HY499" s="2"/>
      <c r="HZ499" s="2"/>
      <c r="IA499" s="2"/>
      <c r="IB499" s="2"/>
      <c r="IC499" s="2"/>
    </row>
    <row r="500" spans="1:237" x14ac:dyDescent="0.2">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c r="AA500" s="2"/>
      <c r="AB500" s="2"/>
      <c r="AC500" s="2"/>
      <c r="AD500" s="2"/>
      <c r="AE500" s="2"/>
      <c r="AF500" s="2"/>
      <c r="AG500" s="2"/>
      <c r="AH500" s="2"/>
      <c r="AI500" s="2"/>
      <c r="AJ500" s="2"/>
      <c r="AK500" s="2"/>
      <c r="AL500" s="2"/>
      <c r="AM500" s="2"/>
      <c r="AN500" s="2"/>
      <c r="AO500" s="2"/>
      <c r="AP500" s="2"/>
      <c r="AQ500" s="2"/>
      <c r="AR500" s="2"/>
      <c r="AS500" s="2"/>
      <c r="AT500" s="2"/>
      <c r="AU500" s="2"/>
      <c r="AV500" s="2"/>
      <c r="AW500" s="2"/>
      <c r="AX500" s="2"/>
      <c r="AY500" s="2"/>
      <c r="AZ500" s="2"/>
      <c r="BA500" s="2"/>
      <c r="BB500" s="2"/>
      <c r="BC500" s="2"/>
      <c r="BD500" s="2"/>
      <c r="BE500" s="2"/>
      <c r="BF500" s="2"/>
      <c r="BG500" s="2"/>
      <c r="BH500" s="2"/>
      <c r="BI500" s="2"/>
      <c r="BJ500" s="2"/>
      <c r="BK500" s="2"/>
      <c r="BL500" s="2"/>
      <c r="BM500" s="2"/>
      <c r="BN500" s="2"/>
      <c r="BO500" s="2"/>
      <c r="BP500" s="2"/>
      <c r="BQ500" s="2"/>
      <c r="BR500" s="2"/>
      <c r="BS500" s="2"/>
      <c r="BT500" s="2"/>
      <c r="BU500" s="2"/>
      <c r="BV500" s="2"/>
      <c r="BW500" s="2"/>
      <c r="BX500" s="2"/>
      <c r="BY500" s="2"/>
      <c r="BZ500" s="2"/>
      <c r="CA500" s="2"/>
      <c r="CB500" s="2"/>
      <c r="CC500" s="2"/>
      <c r="CD500" s="2"/>
      <c r="CE500" s="2"/>
      <c r="CF500" s="2"/>
      <c r="CG500" s="2"/>
      <c r="CH500" s="2"/>
      <c r="CI500" s="2"/>
      <c r="CJ500" s="2"/>
      <c r="CK500" s="2"/>
      <c r="CL500" s="2"/>
      <c r="CM500" s="2"/>
      <c r="CN500" s="2"/>
      <c r="CO500" s="2"/>
      <c r="CP500" s="2"/>
      <c r="CQ500" s="2"/>
      <c r="CR500" s="2"/>
      <c r="CS500" s="2"/>
      <c r="CT500" s="2"/>
      <c r="CU500" s="2"/>
      <c r="CV500" s="2"/>
      <c r="CW500" s="2"/>
      <c r="CX500" s="2"/>
      <c r="CY500" s="2"/>
      <c r="CZ500" s="2"/>
      <c r="DA500" s="2"/>
      <c r="DB500" s="2"/>
      <c r="DC500" s="2"/>
      <c r="DD500" s="2"/>
      <c r="DE500" s="2"/>
      <c r="DF500" s="2"/>
      <c r="DG500" s="2"/>
      <c r="DH500" s="2"/>
      <c r="DI500" s="2"/>
      <c r="DJ500" s="2"/>
      <c r="DK500" s="2"/>
      <c r="DL500" s="2"/>
      <c r="DM500" s="2"/>
      <c r="DN500" s="2"/>
      <c r="DO500" s="2"/>
      <c r="DP500" s="2"/>
      <c r="DQ500" s="2"/>
      <c r="DR500" s="2"/>
      <c r="DS500" s="2"/>
      <c r="DT500" s="2"/>
      <c r="DU500" s="2"/>
      <c r="DV500" s="2"/>
      <c r="DW500" s="2"/>
      <c r="DX500" s="2"/>
      <c r="DY500" s="2"/>
      <c r="DZ500" s="2"/>
      <c r="EA500" s="2"/>
      <c r="EB500" s="2"/>
      <c r="EC500" s="2"/>
      <c r="ED500" s="2"/>
      <c r="EE500" s="2"/>
      <c r="EF500" s="2"/>
      <c r="EG500" s="2"/>
      <c r="EH500" s="2"/>
      <c r="EI500" s="2"/>
      <c r="EJ500" s="2"/>
      <c r="EK500" s="2"/>
      <c r="EL500" s="2"/>
      <c r="EM500" s="2"/>
      <c r="EN500" s="2"/>
      <c r="EO500" s="2"/>
      <c r="EP500" s="2"/>
      <c r="EQ500" s="2"/>
      <c r="ER500" s="2"/>
      <c r="ES500" s="2"/>
      <c r="ET500" s="2"/>
      <c r="EU500" s="2"/>
      <c r="EV500" s="2"/>
      <c r="EW500" s="2"/>
      <c r="EX500" s="2"/>
      <c r="EY500" s="2"/>
      <c r="EZ500" s="2"/>
      <c r="FA500" s="2"/>
      <c r="FB500" s="2"/>
      <c r="FC500" s="2"/>
      <c r="FD500" s="2"/>
      <c r="FE500" s="2"/>
      <c r="FF500" s="2"/>
      <c r="FG500" s="2"/>
      <c r="FH500" s="2"/>
      <c r="FI500" s="2"/>
      <c r="FJ500" s="2"/>
      <c r="FK500" s="2"/>
      <c r="FL500" s="2"/>
      <c r="FM500" s="2"/>
      <c r="FN500" s="2"/>
      <c r="FO500" s="2"/>
      <c r="FP500" s="2"/>
      <c r="FQ500" s="2"/>
      <c r="FR500" s="2"/>
      <c r="FS500" s="2"/>
      <c r="FT500" s="2"/>
      <c r="FU500" s="2"/>
      <c r="FV500" s="2"/>
      <c r="FW500" s="2"/>
      <c r="FX500" s="2"/>
      <c r="FY500" s="2"/>
      <c r="FZ500" s="2"/>
      <c r="GA500" s="2"/>
      <c r="GB500" s="2"/>
      <c r="GC500" s="2"/>
      <c r="GD500" s="2"/>
      <c r="GE500" s="2"/>
      <c r="GF500" s="2"/>
      <c r="GG500" s="2"/>
      <c r="GH500" s="2"/>
      <c r="GI500" s="2"/>
      <c r="GJ500" s="2"/>
      <c r="GK500" s="2"/>
      <c r="GL500" s="2"/>
      <c r="GM500" s="2"/>
      <c r="GN500" s="2"/>
      <c r="GO500" s="2"/>
      <c r="GP500" s="2"/>
      <c r="GQ500" s="2"/>
      <c r="GR500" s="2"/>
      <c r="GS500" s="2"/>
      <c r="GT500" s="2"/>
      <c r="GU500" s="2"/>
      <c r="GV500" s="2"/>
      <c r="GW500" s="2"/>
      <c r="GX500" s="2"/>
      <c r="GY500" s="2"/>
      <c r="GZ500" s="2"/>
      <c r="HA500" s="2"/>
      <c r="HB500" s="2"/>
      <c r="HC500" s="2"/>
      <c r="HD500" s="2"/>
      <c r="HE500" s="2"/>
      <c r="HF500" s="2"/>
      <c r="HG500" s="2"/>
      <c r="HH500" s="2"/>
      <c r="HI500" s="2"/>
      <c r="HJ500" s="2"/>
      <c r="HK500" s="2"/>
      <c r="HL500" s="2"/>
      <c r="HM500" s="2"/>
      <c r="HN500" s="2"/>
      <c r="HO500" s="2"/>
      <c r="HP500" s="2"/>
      <c r="HQ500" s="2"/>
      <c r="HR500" s="2"/>
      <c r="HS500" s="2"/>
      <c r="HT500" s="2"/>
      <c r="HU500" s="2"/>
      <c r="HV500" s="2"/>
      <c r="HW500" s="2"/>
      <c r="HX500" s="2"/>
      <c r="HY500" s="2"/>
      <c r="HZ500" s="2"/>
      <c r="IA500" s="2"/>
      <c r="IB500" s="2"/>
      <c r="IC500" s="2"/>
    </row>
    <row r="501" spans="1:237" x14ac:dyDescent="0.2">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c r="AA501" s="2"/>
      <c r="AB501" s="2"/>
      <c r="AC501" s="2"/>
      <c r="AD501" s="2"/>
      <c r="AE501" s="2"/>
      <c r="AF501" s="2"/>
      <c r="AG501" s="2"/>
      <c r="AH501" s="2"/>
      <c r="AI501" s="2"/>
      <c r="AJ501" s="2"/>
      <c r="AK501" s="2"/>
      <c r="AL501" s="2"/>
      <c r="AM501" s="2"/>
      <c r="AN501" s="2"/>
      <c r="AO501" s="2"/>
      <c r="AP501" s="2"/>
      <c r="AQ501" s="2"/>
      <c r="AR501" s="2"/>
      <c r="AS501" s="2"/>
      <c r="AT501" s="2"/>
      <c r="AU501" s="2"/>
      <c r="AV501" s="2"/>
      <c r="AW501" s="2"/>
      <c r="AX501" s="2"/>
      <c r="AY501" s="2"/>
      <c r="AZ501" s="2"/>
      <c r="BA501" s="2"/>
      <c r="BB501" s="2"/>
      <c r="BC501" s="2"/>
      <c r="BD501" s="2"/>
      <c r="BE501" s="2"/>
      <c r="BF501" s="2"/>
      <c r="BG501" s="2"/>
      <c r="BH501" s="2"/>
      <c r="BI501" s="2"/>
      <c r="BJ501" s="2"/>
      <c r="BK501" s="2"/>
      <c r="BL501" s="2"/>
      <c r="BM501" s="2"/>
      <c r="BN501" s="2"/>
      <c r="BO501" s="2"/>
      <c r="BP501" s="2"/>
      <c r="BQ501" s="2"/>
      <c r="BR501" s="2"/>
      <c r="BS501" s="2"/>
      <c r="BT501" s="2"/>
      <c r="BU501" s="2"/>
      <c r="BV501" s="2"/>
      <c r="BW501" s="2"/>
      <c r="BX501" s="2"/>
      <c r="BY501" s="2"/>
      <c r="BZ501" s="2"/>
      <c r="CA501" s="2"/>
      <c r="CB501" s="2"/>
      <c r="CC501" s="2"/>
      <c r="CD501" s="2"/>
      <c r="CE501" s="2"/>
      <c r="CF501" s="2"/>
      <c r="CG501" s="2"/>
      <c r="CH501" s="2"/>
      <c r="CI501" s="2"/>
      <c r="CJ501" s="2"/>
      <c r="CK501" s="2"/>
      <c r="CL501" s="2"/>
      <c r="CM501" s="2"/>
      <c r="CN501" s="2"/>
      <c r="CO501" s="2"/>
      <c r="CP501" s="2"/>
      <c r="CQ501" s="2"/>
      <c r="CR501" s="2"/>
      <c r="CS501" s="2"/>
      <c r="CT501" s="2"/>
      <c r="CU501" s="2"/>
      <c r="CV501" s="2"/>
      <c r="CW501" s="2"/>
      <c r="CX501" s="2"/>
      <c r="CY501" s="2"/>
      <c r="CZ501" s="2"/>
      <c r="DA501" s="2"/>
      <c r="DB501" s="2"/>
      <c r="DC501" s="2"/>
      <c r="DD501" s="2"/>
      <c r="DE501" s="2"/>
      <c r="DF501" s="2"/>
      <c r="DG501" s="2"/>
      <c r="DH501" s="2"/>
      <c r="DI501" s="2"/>
      <c r="DJ501" s="2"/>
      <c r="DK501" s="2"/>
      <c r="DL501" s="2"/>
      <c r="DM501" s="2"/>
      <c r="DN501" s="2"/>
      <c r="DO501" s="2"/>
      <c r="DP501" s="2"/>
      <c r="DQ501" s="2"/>
      <c r="DR501" s="2"/>
      <c r="DS501" s="2"/>
      <c r="DT501" s="2"/>
      <c r="DU501" s="2"/>
      <c r="DV501" s="2"/>
      <c r="DW501" s="2"/>
      <c r="DX501" s="2"/>
      <c r="DY501" s="2"/>
      <c r="DZ501" s="2"/>
      <c r="EA501" s="2"/>
      <c r="EB501" s="2"/>
      <c r="EC501" s="2"/>
      <c r="ED501" s="2"/>
      <c r="EE501" s="2"/>
      <c r="EF501" s="2"/>
      <c r="EG501" s="2"/>
      <c r="EH501" s="2"/>
      <c r="EI501" s="2"/>
      <c r="EJ501" s="2"/>
      <c r="EK501" s="2"/>
      <c r="EL501" s="2"/>
      <c r="EM501" s="2"/>
      <c r="EN501" s="2"/>
      <c r="EO501" s="2"/>
      <c r="EP501" s="2"/>
      <c r="EQ501" s="2"/>
      <c r="ER501" s="2"/>
      <c r="ES501" s="2"/>
      <c r="ET501" s="2"/>
      <c r="EU501" s="2"/>
      <c r="EV501" s="2"/>
      <c r="EW501" s="2"/>
      <c r="EX501" s="2"/>
      <c r="EY501" s="2"/>
      <c r="EZ501" s="2"/>
      <c r="FA501" s="2"/>
      <c r="FB501" s="2"/>
      <c r="FC501" s="2"/>
      <c r="FD501" s="2"/>
      <c r="FE501" s="2"/>
      <c r="FF501" s="2"/>
      <c r="FG501" s="2"/>
      <c r="FH501" s="2"/>
      <c r="FI501" s="2"/>
      <c r="FJ501" s="2"/>
      <c r="FK501" s="2"/>
      <c r="FL501" s="2"/>
      <c r="FM501" s="2"/>
      <c r="FN501" s="2"/>
      <c r="FO501" s="2"/>
      <c r="FP501" s="2"/>
      <c r="FQ501" s="2"/>
      <c r="FR501" s="2"/>
      <c r="FS501" s="2"/>
      <c r="FT501" s="2"/>
      <c r="FU501" s="2"/>
      <c r="FV501" s="2"/>
      <c r="FW501" s="2"/>
      <c r="FX501" s="2"/>
      <c r="FY501" s="2"/>
      <c r="FZ501" s="2"/>
      <c r="GA501" s="2"/>
      <c r="GB501" s="2"/>
      <c r="GC501" s="2"/>
      <c r="GD501" s="2"/>
      <c r="GE501" s="2"/>
      <c r="GF501" s="2"/>
      <c r="GG501" s="2"/>
      <c r="GH501" s="2"/>
      <c r="GI501" s="2"/>
      <c r="GJ501" s="2"/>
      <c r="GK501" s="2"/>
      <c r="GL501" s="2"/>
      <c r="GM501" s="2"/>
      <c r="GN501" s="2"/>
      <c r="GO501" s="2"/>
      <c r="GP501" s="2"/>
      <c r="GQ501" s="2"/>
      <c r="GR501" s="2"/>
      <c r="GS501" s="2"/>
      <c r="GT501" s="2"/>
      <c r="GU501" s="2"/>
      <c r="GV501" s="2"/>
      <c r="GW501" s="2"/>
      <c r="GX501" s="2"/>
      <c r="GY501" s="2"/>
      <c r="GZ501" s="2"/>
      <c r="HA501" s="2"/>
      <c r="HB501" s="2"/>
      <c r="HC501" s="2"/>
      <c r="HD501" s="2"/>
      <c r="HE501" s="2"/>
      <c r="HF501" s="2"/>
      <c r="HG501" s="2"/>
      <c r="HH501" s="2"/>
      <c r="HI501" s="2"/>
      <c r="HJ501" s="2"/>
      <c r="HK501" s="2"/>
      <c r="HL501" s="2"/>
      <c r="HM501" s="2"/>
      <c r="HN501" s="2"/>
      <c r="HO501" s="2"/>
      <c r="HP501" s="2"/>
      <c r="HQ501" s="2"/>
      <c r="HR501" s="2"/>
      <c r="HS501" s="2"/>
      <c r="HT501" s="2"/>
      <c r="HU501" s="2"/>
      <c r="HV501" s="2"/>
      <c r="HW501" s="2"/>
      <c r="HX501" s="2"/>
      <c r="HY501" s="2"/>
      <c r="HZ501" s="2"/>
      <c r="IA501" s="2"/>
      <c r="IB501" s="2"/>
      <c r="IC501" s="2"/>
    </row>
    <row r="502" spans="1:237" x14ac:dyDescent="0.2">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c r="AA502" s="2"/>
      <c r="AB502" s="2"/>
      <c r="AC502" s="2"/>
      <c r="AD502" s="2"/>
      <c r="AE502" s="2"/>
      <c r="AF502" s="2"/>
      <c r="AG502" s="2"/>
      <c r="AH502" s="2"/>
      <c r="AI502" s="2"/>
      <c r="AJ502" s="2"/>
      <c r="AK502" s="2"/>
      <c r="AL502" s="2"/>
      <c r="AM502" s="2"/>
      <c r="AN502" s="2"/>
      <c r="AO502" s="2"/>
      <c r="AP502" s="2"/>
      <c r="AQ502" s="2"/>
      <c r="AR502" s="2"/>
      <c r="AS502" s="2"/>
      <c r="AT502" s="2"/>
      <c r="AU502" s="2"/>
      <c r="AV502" s="2"/>
      <c r="AW502" s="2"/>
      <c r="AX502" s="2"/>
      <c r="AY502" s="2"/>
      <c r="AZ502" s="2"/>
      <c r="BA502" s="2"/>
      <c r="BB502" s="2"/>
      <c r="BC502" s="2"/>
      <c r="BD502" s="2"/>
      <c r="BE502" s="2"/>
      <c r="BF502" s="2"/>
      <c r="BG502" s="2"/>
      <c r="BH502" s="2"/>
      <c r="BI502" s="2"/>
      <c r="BJ502" s="2"/>
      <c r="BK502" s="2"/>
      <c r="BL502" s="2"/>
      <c r="BM502" s="2"/>
      <c r="BN502" s="2"/>
      <c r="BO502" s="2"/>
      <c r="BP502" s="2"/>
      <c r="BQ502" s="2"/>
      <c r="BR502" s="2"/>
      <c r="BS502" s="2"/>
      <c r="BT502" s="2"/>
      <c r="BU502" s="2"/>
      <c r="BV502" s="2"/>
      <c r="BW502" s="2"/>
      <c r="BX502" s="2"/>
      <c r="BY502" s="2"/>
      <c r="BZ502" s="2"/>
      <c r="CA502" s="2"/>
      <c r="CB502" s="2"/>
      <c r="CC502" s="2"/>
      <c r="CD502" s="2"/>
      <c r="CE502" s="2"/>
      <c r="CF502" s="2"/>
      <c r="CG502" s="2"/>
      <c r="CH502" s="2"/>
      <c r="CI502" s="2"/>
      <c r="CJ502" s="2"/>
      <c r="CK502" s="2"/>
      <c r="CL502" s="2"/>
      <c r="CM502" s="2"/>
      <c r="CN502" s="2"/>
      <c r="CO502" s="2"/>
      <c r="CP502" s="2"/>
      <c r="CQ502" s="2"/>
      <c r="CR502" s="2"/>
      <c r="CS502" s="2"/>
      <c r="CT502" s="2"/>
      <c r="CU502" s="2"/>
      <c r="CV502" s="2"/>
      <c r="CW502" s="2"/>
      <c r="CX502" s="2"/>
      <c r="CY502" s="2"/>
      <c r="CZ502" s="2"/>
      <c r="DA502" s="2"/>
      <c r="DB502" s="2"/>
      <c r="DC502" s="2"/>
      <c r="DD502" s="2"/>
      <c r="DE502" s="2"/>
      <c r="DF502" s="2"/>
      <c r="DG502" s="2"/>
      <c r="DH502" s="2"/>
      <c r="DI502" s="2"/>
      <c r="DJ502" s="2"/>
      <c r="DK502" s="2"/>
      <c r="DL502" s="2"/>
      <c r="DM502" s="2"/>
      <c r="DN502" s="2"/>
      <c r="DO502" s="2"/>
      <c r="DP502" s="2"/>
      <c r="DQ502" s="2"/>
      <c r="DR502" s="2"/>
      <c r="DS502" s="2"/>
      <c r="DT502" s="2"/>
      <c r="DU502" s="2"/>
      <c r="DV502" s="2"/>
      <c r="DW502" s="2"/>
      <c r="DX502" s="2"/>
      <c r="DY502" s="2"/>
      <c r="DZ502" s="2"/>
      <c r="EA502" s="2"/>
      <c r="EB502" s="2"/>
      <c r="EC502" s="2"/>
      <c r="ED502" s="2"/>
      <c r="EE502" s="2"/>
      <c r="EF502" s="2"/>
      <c r="EG502" s="2"/>
      <c r="EH502" s="2"/>
      <c r="EI502" s="2"/>
      <c r="EJ502" s="2"/>
      <c r="EK502" s="2"/>
      <c r="EL502" s="2"/>
      <c r="EM502" s="2"/>
      <c r="EN502" s="2"/>
      <c r="EO502" s="2"/>
      <c r="EP502" s="2"/>
      <c r="EQ502" s="2"/>
      <c r="ER502" s="2"/>
      <c r="ES502" s="2"/>
      <c r="ET502" s="2"/>
      <c r="EU502" s="2"/>
      <c r="EV502" s="2"/>
      <c r="EW502" s="2"/>
      <c r="EX502" s="2"/>
      <c r="EY502" s="2"/>
      <c r="EZ502" s="2"/>
      <c r="FA502" s="2"/>
      <c r="FB502" s="2"/>
      <c r="FC502" s="2"/>
      <c r="FD502" s="2"/>
      <c r="FE502" s="2"/>
      <c r="FF502" s="2"/>
      <c r="FG502" s="2"/>
      <c r="FH502" s="2"/>
      <c r="FI502" s="2"/>
      <c r="FJ502" s="2"/>
      <c r="FK502" s="2"/>
      <c r="FL502" s="2"/>
      <c r="FM502" s="2"/>
      <c r="FN502" s="2"/>
      <c r="FO502" s="2"/>
      <c r="FP502" s="2"/>
      <c r="FQ502" s="2"/>
      <c r="FR502" s="2"/>
      <c r="FS502" s="2"/>
      <c r="FT502" s="2"/>
      <c r="FU502" s="2"/>
      <c r="FV502" s="2"/>
      <c r="FW502" s="2"/>
      <c r="FX502" s="2"/>
      <c r="FY502" s="2"/>
      <c r="FZ502" s="2"/>
      <c r="GA502" s="2"/>
      <c r="GB502" s="2"/>
      <c r="GC502" s="2"/>
      <c r="GD502" s="2"/>
      <c r="GE502" s="2"/>
      <c r="GF502" s="2"/>
      <c r="GG502" s="2"/>
      <c r="GH502" s="2"/>
      <c r="GI502" s="2"/>
      <c r="GJ502" s="2"/>
      <c r="GK502" s="2"/>
      <c r="GL502" s="2"/>
      <c r="GM502" s="2"/>
      <c r="GN502" s="2"/>
      <c r="GO502" s="2"/>
      <c r="GP502" s="2"/>
      <c r="GQ502" s="2"/>
      <c r="GR502" s="2"/>
      <c r="GS502" s="2"/>
      <c r="GT502" s="2"/>
      <c r="GU502" s="2"/>
      <c r="GV502" s="2"/>
      <c r="GW502" s="2"/>
      <c r="GX502" s="2"/>
      <c r="GY502" s="2"/>
      <c r="GZ502" s="2"/>
      <c r="HA502" s="2"/>
      <c r="HB502" s="2"/>
      <c r="HC502" s="2"/>
      <c r="HD502" s="2"/>
      <c r="HE502" s="2"/>
      <c r="HF502" s="2"/>
      <c r="HG502" s="2"/>
      <c r="HH502" s="2"/>
      <c r="HI502" s="2"/>
      <c r="HJ502" s="2"/>
      <c r="HK502" s="2"/>
      <c r="HL502" s="2"/>
      <c r="HM502" s="2"/>
      <c r="HN502" s="2"/>
      <c r="HO502" s="2"/>
      <c r="HP502" s="2"/>
      <c r="HQ502" s="2"/>
      <c r="HR502" s="2"/>
      <c r="HS502" s="2"/>
      <c r="HT502" s="2"/>
      <c r="HU502" s="2"/>
      <c r="HV502" s="2"/>
      <c r="HW502" s="2"/>
      <c r="HX502" s="2"/>
      <c r="HY502" s="2"/>
      <c r="HZ502" s="2"/>
      <c r="IA502" s="2"/>
      <c r="IB502" s="2"/>
      <c r="IC502" s="2"/>
    </row>
    <row r="503" spans="1:237" x14ac:dyDescent="0.2">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c r="AA503" s="2"/>
      <c r="AB503" s="2"/>
      <c r="AC503" s="2"/>
      <c r="AD503" s="2"/>
      <c r="AE503" s="2"/>
      <c r="AF503" s="2"/>
      <c r="AG503" s="2"/>
      <c r="AH503" s="2"/>
      <c r="AI503" s="2"/>
      <c r="AJ503" s="2"/>
      <c r="AK503" s="2"/>
      <c r="AL503" s="2"/>
      <c r="AM503" s="2"/>
      <c r="AN503" s="2"/>
      <c r="AO503" s="2"/>
      <c r="AP503" s="2"/>
      <c r="AQ503" s="2"/>
      <c r="AR503" s="2"/>
      <c r="AS503" s="2"/>
      <c r="AT503" s="2"/>
      <c r="AU503" s="2"/>
      <c r="AV503" s="2"/>
      <c r="AW503" s="2"/>
      <c r="AX503" s="2"/>
      <c r="AY503" s="2"/>
      <c r="AZ503" s="2"/>
      <c r="BA503" s="2"/>
      <c r="BB503" s="2"/>
      <c r="BC503" s="2"/>
      <c r="BD503" s="2"/>
      <c r="BE503" s="2"/>
      <c r="BF503" s="2"/>
      <c r="BG503" s="2"/>
      <c r="BH503" s="2"/>
      <c r="BI503" s="2"/>
      <c r="BJ503" s="2"/>
      <c r="BK503" s="2"/>
      <c r="BL503" s="2"/>
      <c r="BM503" s="2"/>
      <c r="BN503" s="2"/>
      <c r="BO503" s="2"/>
      <c r="BP503" s="2"/>
      <c r="BQ503" s="2"/>
      <c r="BR503" s="2"/>
      <c r="BS503" s="2"/>
      <c r="BT503" s="2"/>
      <c r="BU503" s="2"/>
      <c r="BV503" s="2"/>
      <c r="BW503" s="2"/>
      <c r="BX503" s="2"/>
      <c r="BY503" s="2"/>
      <c r="BZ503" s="2"/>
      <c r="CA503" s="2"/>
      <c r="CB503" s="2"/>
      <c r="CC503" s="2"/>
      <c r="CD503" s="2"/>
      <c r="CE503" s="2"/>
      <c r="CF503" s="2"/>
      <c r="CG503" s="2"/>
      <c r="CH503" s="2"/>
      <c r="CI503" s="2"/>
      <c r="CJ503" s="2"/>
      <c r="CK503" s="2"/>
      <c r="CL503" s="2"/>
      <c r="CM503" s="2"/>
      <c r="CN503" s="2"/>
      <c r="CO503" s="2"/>
      <c r="CP503" s="2"/>
      <c r="CQ503" s="2"/>
      <c r="CR503" s="2"/>
      <c r="CS503" s="2"/>
      <c r="CT503" s="2"/>
      <c r="CU503" s="2"/>
      <c r="CV503" s="2"/>
      <c r="CW503" s="2"/>
      <c r="CX503" s="2"/>
      <c r="CY503" s="2"/>
      <c r="CZ503" s="2"/>
      <c r="DA503" s="2"/>
      <c r="DB503" s="2"/>
      <c r="DC503" s="2"/>
      <c r="DD503" s="2"/>
      <c r="DE503" s="2"/>
      <c r="DF503" s="2"/>
      <c r="DG503" s="2"/>
      <c r="DH503" s="2"/>
      <c r="DI503" s="2"/>
      <c r="DJ503" s="2"/>
      <c r="DK503" s="2"/>
      <c r="DL503" s="2"/>
      <c r="DM503" s="2"/>
      <c r="DN503" s="2"/>
      <c r="DO503" s="2"/>
      <c r="DP503" s="2"/>
      <c r="DQ503" s="2"/>
      <c r="DR503" s="2"/>
      <c r="DS503" s="2"/>
      <c r="DT503" s="2"/>
      <c r="DU503" s="2"/>
      <c r="DV503" s="2"/>
      <c r="DW503" s="2"/>
      <c r="DX503" s="2"/>
      <c r="DY503" s="2"/>
      <c r="DZ503" s="2"/>
      <c r="EA503" s="2"/>
      <c r="EB503" s="2"/>
      <c r="EC503" s="2"/>
      <c r="ED503" s="2"/>
      <c r="EE503" s="2"/>
      <c r="EF503" s="2"/>
      <c r="EG503" s="2"/>
      <c r="EH503" s="2"/>
      <c r="EI503" s="2"/>
      <c r="EJ503" s="2"/>
      <c r="EK503" s="2"/>
      <c r="EL503" s="2"/>
      <c r="EM503" s="2"/>
      <c r="EN503" s="2"/>
      <c r="EO503" s="2"/>
      <c r="EP503" s="2"/>
      <c r="EQ503" s="2"/>
      <c r="ER503" s="2"/>
      <c r="ES503" s="2"/>
      <c r="ET503" s="2"/>
      <c r="EU503" s="2"/>
      <c r="EV503" s="2"/>
      <c r="EW503" s="2"/>
      <c r="EX503" s="2"/>
      <c r="EY503" s="2"/>
      <c r="EZ503" s="2"/>
      <c r="FA503" s="2"/>
      <c r="FB503" s="2"/>
      <c r="FC503" s="2"/>
      <c r="FD503" s="2"/>
      <c r="FE503" s="2"/>
      <c r="FF503" s="2"/>
      <c r="FG503" s="2"/>
      <c r="FH503" s="2"/>
      <c r="FI503" s="2"/>
      <c r="FJ503" s="2"/>
      <c r="FK503" s="2"/>
      <c r="FL503" s="2"/>
      <c r="FM503" s="2"/>
      <c r="FN503" s="2"/>
      <c r="FO503" s="2"/>
      <c r="FP503" s="2"/>
      <c r="FQ503" s="2"/>
      <c r="FR503" s="2"/>
      <c r="FS503" s="2"/>
      <c r="FT503" s="2"/>
      <c r="FU503" s="2"/>
      <c r="FV503" s="2"/>
      <c r="FW503" s="2"/>
      <c r="FX503" s="2"/>
      <c r="FY503" s="2"/>
      <c r="FZ503" s="2"/>
      <c r="GA503" s="2"/>
      <c r="GB503" s="2"/>
      <c r="GC503" s="2"/>
      <c r="GD503" s="2"/>
      <c r="GE503" s="2"/>
      <c r="GF503" s="2"/>
      <c r="GG503" s="2"/>
      <c r="GH503" s="2"/>
      <c r="GI503" s="2"/>
      <c r="GJ503" s="2"/>
      <c r="GK503" s="2"/>
      <c r="GL503" s="2"/>
      <c r="GM503" s="2"/>
      <c r="GN503" s="2"/>
      <c r="GO503" s="2"/>
      <c r="GP503" s="2"/>
      <c r="GQ503" s="2"/>
      <c r="GR503" s="2"/>
      <c r="GS503" s="2"/>
      <c r="GT503" s="2"/>
      <c r="GU503" s="2"/>
      <c r="GV503" s="2"/>
      <c r="GW503" s="2"/>
      <c r="GX503" s="2"/>
      <c r="GY503" s="2"/>
      <c r="GZ503" s="2"/>
      <c r="HA503" s="2"/>
      <c r="HB503" s="2"/>
      <c r="HC503" s="2"/>
      <c r="HD503" s="2"/>
      <c r="HE503" s="2"/>
      <c r="HF503" s="2"/>
      <c r="HG503" s="2"/>
      <c r="HH503" s="2"/>
      <c r="HI503" s="2"/>
      <c r="HJ503" s="2"/>
      <c r="HK503" s="2"/>
      <c r="HL503" s="2"/>
      <c r="HM503" s="2"/>
      <c r="HN503" s="2"/>
      <c r="HO503" s="2"/>
      <c r="HP503" s="2"/>
      <c r="HQ503" s="2"/>
      <c r="HR503" s="2"/>
      <c r="HS503" s="2"/>
      <c r="HT503" s="2"/>
      <c r="HU503" s="2"/>
      <c r="HV503" s="2"/>
      <c r="HW503" s="2"/>
      <c r="HX503" s="2"/>
      <c r="HY503" s="2"/>
      <c r="HZ503" s="2"/>
      <c r="IA503" s="2"/>
      <c r="IB503" s="2"/>
      <c r="IC503" s="2"/>
    </row>
    <row r="504" spans="1:237" x14ac:dyDescent="0.2">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c r="AA504" s="2"/>
      <c r="AB504" s="2"/>
      <c r="AC504" s="2"/>
      <c r="AD504" s="2"/>
      <c r="AE504" s="2"/>
      <c r="AF504" s="2"/>
      <c r="AG504" s="2"/>
      <c r="AH504" s="2"/>
      <c r="AI504" s="2"/>
      <c r="AJ504" s="2"/>
      <c r="AK504" s="2"/>
      <c r="AL504" s="2"/>
      <c r="AM504" s="2"/>
      <c r="AN504" s="2"/>
      <c r="AO504" s="2"/>
      <c r="AP504" s="2"/>
      <c r="AQ504" s="2"/>
      <c r="AR504" s="2"/>
      <c r="AS504" s="2"/>
      <c r="AT504" s="2"/>
      <c r="AU504" s="2"/>
      <c r="AV504" s="2"/>
      <c r="AW504" s="2"/>
      <c r="AX504" s="2"/>
      <c r="AY504" s="2"/>
      <c r="AZ504" s="2"/>
      <c r="BA504" s="2"/>
      <c r="BB504" s="2"/>
      <c r="BC504" s="2"/>
      <c r="BD504" s="2"/>
      <c r="BE504" s="2"/>
      <c r="BF504" s="2"/>
      <c r="BG504" s="2"/>
      <c r="BH504" s="2"/>
      <c r="BI504" s="2"/>
      <c r="BJ504" s="2"/>
      <c r="BK504" s="2"/>
      <c r="BL504" s="2"/>
      <c r="BM504" s="2"/>
      <c r="BN504" s="2"/>
      <c r="BO504" s="2"/>
      <c r="BP504" s="2"/>
      <c r="BQ504" s="2"/>
      <c r="BR504" s="2"/>
      <c r="BS504" s="2"/>
      <c r="BT504" s="2"/>
      <c r="BU504" s="2"/>
      <c r="BV504" s="2"/>
      <c r="BW504" s="2"/>
      <c r="BX504" s="2"/>
      <c r="BY504" s="2"/>
      <c r="BZ504" s="2"/>
      <c r="CA504" s="2"/>
      <c r="CB504" s="2"/>
      <c r="CC504" s="2"/>
      <c r="CD504" s="2"/>
      <c r="CE504" s="2"/>
      <c r="CF504" s="2"/>
      <c r="CG504" s="2"/>
      <c r="CH504" s="2"/>
      <c r="CI504" s="2"/>
      <c r="CJ504" s="2"/>
      <c r="CK504" s="2"/>
      <c r="CL504" s="2"/>
      <c r="CM504" s="2"/>
      <c r="CN504" s="2"/>
      <c r="CO504" s="2"/>
      <c r="CP504" s="2"/>
      <c r="CQ504" s="2"/>
      <c r="CR504" s="2"/>
      <c r="CS504" s="2"/>
      <c r="CT504" s="2"/>
      <c r="CU504" s="2"/>
      <c r="CV504" s="2"/>
      <c r="CW504" s="2"/>
      <c r="CX504" s="2"/>
      <c r="CY504" s="2"/>
      <c r="CZ504" s="2"/>
      <c r="DA504" s="2"/>
      <c r="DB504" s="2"/>
      <c r="DC504" s="2"/>
      <c r="DD504" s="2"/>
      <c r="DE504" s="2"/>
      <c r="DF504" s="2"/>
      <c r="DG504" s="2"/>
      <c r="DH504" s="2"/>
      <c r="DI504" s="2"/>
      <c r="DJ504" s="2"/>
      <c r="DK504" s="2"/>
      <c r="DL504" s="2"/>
      <c r="DM504" s="2"/>
      <c r="DN504" s="2"/>
      <c r="DO504" s="2"/>
      <c r="DP504" s="2"/>
      <c r="DQ504" s="2"/>
      <c r="DR504" s="2"/>
      <c r="DS504" s="2"/>
      <c r="DT504" s="2"/>
      <c r="DU504" s="2"/>
      <c r="DV504" s="2"/>
      <c r="DW504" s="2"/>
      <c r="DX504" s="2"/>
      <c r="DY504" s="2"/>
      <c r="DZ504" s="2"/>
      <c r="EA504" s="2"/>
      <c r="EB504" s="2"/>
      <c r="EC504" s="2"/>
      <c r="ED504" s="2"/>
      <c r="EE504" s="2"/>
      <c r="EF504" s="2"/>
      <c r="EG504" s="2"/>
      <c r="EH504" s="2"/>
      <c r="EI504" s="2"/>
      <c r="EJ504" s="2"/>
      <c r="EK504" s="2"/>
      <c r="EL504" s="2"/>
      <c r="EM504" s="2"/>
      <c r="EN504" s="2"/>
      <c r="EO504" s="2"/>
      <c r="EP504" s="2"/>
      <c r="EQ504" s="2"/>
      <c r="ER504" s="2"/>
      <c r="ES504" s="2"/>
      <c r="ET504" s="2"/>
      <c r="EU504" s="2"/>
      <c r="EV504" s="2"/>
      <c r="EW504" s="2"/>
      <c r="EX504" s="2"/>
      <c r="EY504" s="2"/>
      <c r="EZ504" s="2"/>
      <c r="FA504" s="2"/>
      <c r="FB504" s="2"/>
      <c r="FC504" s="2"/>
      <c r="FD504" s="2"/>
      <c r="FE504" s="2"/>
      <c r="FF504" s="2"/>
      <c r="FG504" s="2"/>
      <c r="FH504" s="2"/>
      <c r="FI504" s="2"/>
      <c r="FJ504" s="2"/>
      <c r="FK504" s="2"/>
      <c r="FL504" s="2"/>
      <c r="FM504" s="2"/>
      <c r="FN504" s="2"/>
      <c r="FO504" s="2"/>
      <c r="FP504" s="2"/>
      <c r="FQ504" s="2"/>
      <c r="FR504" s="2"/>
      <c r="FS504" s="2"/>
      <c r="FT504" s="2"/>
      <c r="FU504" s="2"/>
      <c r="FV504" s="2"/>
      <c r="FW504" s="2"/>
      <c r="FX504" s="2"/>
      <c r="FY504" s="2"/>
      <c r="FZ504" s="2"/>
      <c r="GA504" s="2"/>
      <c r="GB504" s="2"/>
      <c r="GC504" s="2"/>
      <c r="GD504" s="2"/>
      <c r="GE504" s="2"/>
      <c r="GF504" s="2"/>
      <c r="GG504" s="2"/>
      <c r="GH504" s="2"/>
      <c r="GI504" s="2"/>
      <c r="GJ504" s="2"/>
      <c r="GK504" s="2"/>
      <c r="GL504" s="2"/>
      <c r="GM504" s="2"/>
      <c r="GN504" s="2"/>
      <c r="GO504" s="2"/>
      <c r="GP504" s="2"/>
      <c r="GQ504" s="2"/>
      <c r="GR504" s="2"/>
      <c r="GS504" s="2"/>
      <c r="GT504" s="2"/>
      <c r="GU504" s="2"/>
      <c r="GV504" s="2"/>
      <c r="GW504" s="2"/>
      <c r="GX504" s="2"/>
      <c r="GY504" s="2"/>
      <c r="GZ504" s="2"/>
      <c r="HA504" s="2"/>
      <c r="HB504" s="2"/>
      <c r="HC504" s="2"/>
      <c r="HD504" s="2"/>
      <c r="HE504" s="2"/>
      <c r="HF504" s="2"/>
      <c r="HG504" s="2"/>
      <c r="HH504" s="2"/>
      <c r="HI504" s="2"/>
      <c r="HJ504" s="2"/>
      <c r="HK504" s="2"/>
      <c r="HL504" s="2"/>
      <c r="HM504" s="2"/>
      <c r="HN504" s="2"/>
      <c r="HO504" s="2"/>
      <c r="HP504" s="2"/>
      <c r="HQ504" s="2"/>
      <c r="HR504" s="2"/>
      <c r="HS504" s="2"/>
      <c r="HT504" s="2"/>
      <c r="HU504" s="2"/>
      <c r="HV504" s="2"/>
      <c r="HW504" s="2"/>
      <c r="HX504" s="2"/>
      <c r="HY504" s="2"/>
      <c r="HZ504" s="2"/>
      <c r="IA504" s="2"/>
      <c r="IB504" s="2"/>
      <c r="IC504" s="2"/>
    </row>
    <row r="505" spans="1:237" x14ac:dyDescent="0.2">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c r="AA505" s="2"/>
      <c r="AB505" s="2"/>
      <c r="AC505" s="2"/>
      <c r="AD505" s="2"/>
      <c r="AE505" s="2"/>
      <c r="AF505" s="2"/>
      <c r="AG505" s="2"/>
      <c r="AH505" s="2"/>
      <c r="AI505" s="2"/>
      <c r="AJ505" s="2"/>
      <c r="AK505" s="2"/>
      <c r="AL505" s="2"/>
      <c r="AM505" s="2"/>
      <c r="AN505" s="2"/>
      <c r="AO505" s="2"/>
      <c r="AP505" s="2"/>
      <c r="AQ505" s="2"/>
      <c r="AR505" s="2"/>
      <c r="AS505" s="2"/>
      <c r="AT505" s="2"/>
      <c r="AU505" s="2"/>
      <c r="AV505" s="2"/>
      <c r="AW505" s="2"/>
      <c r="AX505" s="2"/>
      <c r="AY505" s="2"/>
      <c r="AZ505" s="2"/>
      <c r="BA505" s="2"/>
      <c r="BB505" s="2"/>
      <c r="BC505" s="2"/>
      <c r="BD505" s="2"/>
      <c r="BE505" s="2"/>
      <c r="BF505" s="2"/>
      <c r="BG505" s="2"/>
      <c r="BH505" s="2"/>
      <c r="BI505" s="2"/>
      <c r="BJ505" s="2"/>
      <c r="BK505" s="2"/>
      <c r="BL505" s="2"/>
      <c r="BM505" s="2"/>
      <c r="BN505" s="2"/>
      <c r="BO505" s="2"/>
      <c r="BP505" s="2"/>
      <c r="BQ505" s="2"/>
      <c r="BR505" s="2"/>
      <c r="BS505" s="2"/>
      <c r="BT505" s="2"/>
      <c r="BU505" s="2"/>
      <c r="BV505" s="2"/>
      <c r="BW505" s="2"/>
      <c r="BX505" s="2"/>
      <c r="BY505" s="2"/>
      <c r="BZ505" s="2"/>
      <c r="CA505" s="2"/>
      <c r="CB505" s="2"/>
      <c r="CC505" s="2"/>
      <c r="CD505" s="2"/>
      <c r="CE505" s="2"/>
      <c r="CF505" s="2"/>
      <c r="CG505" s="2"/>
      <c r="CH505" s="2"/>
      <c r="CI505" s="2"/>
      <c r="CJ505" s="2"/>
      <c r="CK505" s="2"/>
      <c r="CL505" s="2"/>
      <c r="CM505" s="2"/>
      <c r="CN505" s="2"/>
      <c r="CO505" s="2"/>
      <c r="CP505" s="2"/>
      <c r="CQ505" s="2"/>
      <c r="CR505" s="2"/>
      <c r="CS505" s="2"/>
      <c r="CT505" s="2"/>
      <c r="CU505" s="2"/>
      <c r="CV505" s="2"/>
      <c r="CW505" s="2"/>
      <c r="CX505" s="2"/>
      <c r="CY505" s="2"/>
      <c r="CZ505" s="2"/>
      <c r="DA505" s="2"/>
      <c r="DB505" s="2"/>
      <c r="DC505" s="2"/>
      <c r="DD505" s="2"/>
      <c r="DE505" s="2"/>
      <c r="DF505" s="2"/>
      <c r="DG505" s="2"/>
      <c r="DH505" s="2"/>
      <c r="DI505" s="2"/>
      <c r="DJ505" s="2"/>
      <c r="DK505" s="2"/>
      <c r="DL505" s="2"/>
      <c r="DM505" s="2"/>
      <c r="DN505" s="2"/>
      <c r="DO505" s="2"/>
      <c r="DP505" s="2"/>
      <c r="DQ505" s="2"/>
      <c r="DR505" s="2"/>
      <c r="DS505" s="2"/>
      <c r="DT505" s="2"/>
      <c r="DU505" s="2"/>
      <c r="DV505" s="2"/>
      <c r="DW505" s="2"/>
      <c r="DX505" s="2"/>
      <c r="DY505" s="2"/>
      <c r="DZ505" s="2"/>
      <c r="EA505" s="2"/>
      <c r="EB505" s="2"/>
      <c r="EC505" s="2"/>
      <c r="ED505" s="2"/>
      <c r="EE505" s="2"/>
      <c r="EF505" s="2"/>
      <c r="EG505" s="2"/>
      <c r="EH505" s="2"/>
      <c r="EI505" s="2"/>
      <c r="EJ505" s="2"/>
      <c r="EK505" s="2"/>
      <c r="EL505" s="2"/>
      <c r="EM505" s="2"/>
      <c r="EN505" s="2"/>
      <c r="EO505" s="2"/>
      <c r="EP505" s="2"/>
      <c r="EQ505" s="2"/>
      <c r="ER505" s="2"/>
      <c r="ES505" s="2"/>
      <c r="ET505" s="2"/>
      <c r="EU505" s="2"/>
      <c r="EV505" s="2"/>
      <c r="EW505" s="2"/>
      <c r="EX505" s="2"/>
      <c r="EY505" s="2"/>
      <c r="EZ505" s="2"/>
      <c r="FA505" s="2"/>
      <c r="FB505" s="2"/>
      <c r="FC505" s="2"/>
      <c r="FD505" s="2"/>
      <c r="FE505" s="2"/>
      <c r="FF505" s="2"/>
      <c r="FG505" s="2"/>
      <c r="FH505" s="2"/>
      <c r="FI505" s="2"/>
      <c r="FJ505" s="2"/>
      <c r="FK505" s="2"/>
      <c r="FL505" s="2"/>
      <c r="FM505" s="2"/>
      <c r="FN505" s="2"/>
      <c r="FO505" s="2"/>
      <c r="FP505" s="2"/>
      <c r="FQ505" s="2"/>
      <c r="FR505" s="2"/>
      <c r="FS505" s="2"/>
      <c r="FT505" s="2"/>
      <c r="FU505" s="2"/>
      <c r="FV505" s="2"/>
      <c r="FW505" s="2"/>
      <c r="FX505" s="2"/>
      <c r="FY505" s="2"/>
      <c r="FZ505" s="2"/>
      <c r="GA505" s="2"/>
      <c r="GB505" s="2"/>
      <c r="GC505" s="2"/>
      <c r="GD505" s="2"/>
      <c r="GE505" s="2"/>
      <c r="GF505" s="2"/>
      <c r="GG505" s="2"/>
      <c r="GH505" s="2"/>
      <c r="GI505" s="2"/>
      <c r="GJ505" s="2"/>
      <c r="GK505" s="2"/>
      <c r="GL505" s="2"/>
      <c r="GM505" s="2"/>
      <c r="GN505" s="2"/>
      <c r="GO505" s="2"/>
      <c r="GP505" s="2"/>
      <c r="GQ505" s="2"/>
      <c r="GR505" s="2"/>
      <c r="GS505" s="2"/>
      <c r="GT505" s="2"/>
      <c r="GU505" s="2"/>
      <c r="GV505" s="2"/>
      <c r="GW505" s="2"/>
      <c r="GX505" s="2"/>
      <c r="GY505" s="2"/>
      <c r="GZ505" s="2"/>
      <c r="HA505" s="2"/>
      <c r="HB505" s="2"/>
      <c r="HC505" s="2"/>
      <c r="HD505" s="2"/>
      <c r="HE505" s="2"/>
      <c r="HF505" s="2"/>
      <c r="HG505" s="2"/>
      <c r="HH505" s="2"/>
      <c r="HI505" s="2"/>
      <c r="HJ505" s="2"/>
      <c r="HK505" s="2"/>
      <c r="HL505" s="2"/>
      <c r="HM505" s="2"/>
      <c r="HN505" s="2"/>
      <c r="HO505" s="2"/>
      <c r="HP505" s="2"/>
      <c r="HQ505" s="2"/>
      <c r="HR505" s="2"/>
      <c r="HS505" s="2"/>
      <c r="HT505" s="2"/>
      <c r="HU505" s="2"/>
      <c r="HV505" s="2"/>
      <c r="HW505" s="2"/>
      <c r="HX505" s="2"/>
      <c r="HY505" s="2"/>
      <c r="HZ505" s="2"/>
      <c r="IA505" s="2"/>
      <c r="IB505" s="2"/>
      <c r="IC505" s="2"/>
    </row>
    <row r="506" spans="1:237" x14ac:dyDescent="0.2">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c r="AA506" s="2"/>
      <c r="AB506" s="2"/>
      <c r="AC506" s="2"/>
      <c r="AD506" s="2"/>
      <c r="AE506" s="2"/>
      <c r="AF506" s="2"/>
      <c r="AG506" s="2"/>
      <c r="AH506" s="2"/>
      <c r="AI506" s="2"/>
      <c r="AJ506" s="2"/>
      <c r="AK506" s="2"/>
      <c r="AL506" s="2"/>
      <c r="AM506" s="2"/>
      <c r="AN506" s="2"/>
      <c r="AO506" s="2"/>
      <c r="AP506" s="2"/>
      <c r="AQ506" s="2"/>
      <c r="AR506" s="2"/>
      <c r="AS506" s="2"/>
      <c r="AT506" s="2"/>
      <c r="AU506" s="2"/>
      <c r="AV506" s="2"/>
      <c r="AW506" s="2"/>
      <c r="AX506" s="2"/>
      <c r="AY506" s="2"/>
      <c r="AZ506" s="2"/>
      <c r="BA506" s="2"/>
      <c r="BB506" s="2"/>
      <c r="BC506" s="2"/>
      <c r="BD506" s="2"/>
      <c r="BE506" s="2"/>
      <c r="BF506" s="2"/>
      <c r="BG506" s="2"/>
      <c r="BH506" s="2"/>
      <c r="BI506" s="2"/>
      <c r="BJ506" s="2"/>
      <c r="BK506" s="2"/>
      <c r="BL506" s="2"/>
      <c r="BM506" s="2"/>
      <c r="BN506" s="2"/>
      <c r="BO506" s="2"/>
      <c r="BP506" s="2"/>
      <c r="BQ506" s="2"/>
      <c r="BR506" s="2"/>
      <c r="BS506" s="2"/>
      <c r="BT506" s="2"/>
      <c r="BU506" s="2"/>
      <c r="BV506" s="2"/>
      <c r="BW506" s="2"/>
      <c r="BX506" s="2"/>
      <c r="BY506" s="2"/>
      <c r="BZ506" s="2"/>
      <c r="CA506" s="2"/>
      <c r="CB506" s="2"/>
      <c r="CC506" s="2"/>
      <c r="CD506" s="2"/>
      <c r="CE506" s="2"/>
      <c r="CF506" s="2"/>
      <c r="CG506" s="2"/>
      <c r="CH506" s="2"/>
      <c r="CI506" s="2"/>
      <c r="CJ506" s="2"/>
      <c r="CK506" s="2"/>
      <c r="CL506" s="2"/>
      <c r="CM506" s="2"/>
      <c r="CN506" s="2"/>
      <c r="CO506" s="2"/>
      <c r="CP506" s="2"/>
      <c r="CQ506" s="2"/>
      <c r="CR506" s="2"/>
      <c r="CS506" s="2"/>
      <c r="CT506" s="2"/>
      <c r="CU506" s="2"/>
      <c r="CV506" s="2"/>
      <c r="CW506" s="2"/>
      <c r="CX506" s="2"/>
      <c r="CY506" s="2"/>
      <c r="CZ506" s="2"/>
      <c r="DA506" s="2"/>
      <c r="DB506" s="2"/>
      <c r="DC506" s="2"/>
      <c r="DD506" s="2"/>
      <c r="DE506" s="2"/>
      <c r="DF506" s="2"/>
      <c r="DG506" s="2"/>
      <c r="DH506" s="2"/>
      <c r="DI506" s="2"/>
      <c r="DJ506" s="2"/>
      <c r="DK506" s="2"/>
      <c r="DL506" s="2"/>
      <c r="DM506" s="2"/>
      <c r="DN506" s="2"/>
      <c r="DO506" s="2"/>
      <c r="DP506" s="2"/>
      <c r="DQ506" s="2"/>
      <c r="DR506" s="2"/>
      <c r="DS506" s="2"/>
      <c r="DT506" s="2"/>
      <c r="DU506" s="2"/>
      <c r="DV506" s="2"/>
      <c r="DW506" s="2"/>
      <c r="DX506" s="2"/>
      <c r="DY506" s="2"/>
      <c r="DZ506" s="2"/>
      <c r="EA506" s="2"/>
      <c r="EB506" s="2"/>
      <c r="EC506" s="2"/>
      <c r="ED506" s="2"/>
      <c r="EE506" s="2"/>
      <c r="EF506" s="2"/>
      <c r="EG506" s="2"/>
      <c r="EH506" s="2"/>
      <c r="EI506" s="2"/>
      <c r="EJ506" s="2"/>
      <c r="EK506" s="2"/>
      <c r="EL506" s="2"/>
      <c r="EM506" s="2"/>
      <c r="EN506" s="2"/>
      <c r="EO506" s="2"/>
      <c r="EP506" s="2"/>
      <c r="EQ506" s="2"/>
      <c r="ER506" s="2"/>
      <c r="ES506" s="2"/>
      <c r="ET506" s="2"/>
      <c r="EU506" s="2"/>
      <c r="EV506" s="2"/>
      <c r="EW506" s="2"/>
      <c r="EX506" s="2"/>
      <c r="EY506" s="2"/>
      <c r="EZ506" s="2"/>
      <c r="FA506" s="2"/>
      <c r="FB506" s="2"/>
      <c r="FC506" s="2"/>
      <c r="FD506" s="2"/>
      <c r="FE506" s="2"/>
      <c r="FF506" s="2"/>
      <c r="FG506" s="2"/>
      <c r="FH506" s="2"/>
      <c r="FI506" s="2"/>
      <c r="FJ506" s="2"/>
      <c r="FK506" s="2"/>
      <c r="FL506" s="2"/>
      <c r="FM506" s="2"/>
      <c r="FN506" s="2"/>
      <c r="FO506" s="2"/>
      <c r="FP506" s="2"/>
      <c r="FQ506" s="2"/>
      <c r="FR506" s="2"/>
      <c r="FS506" s="2"/>
      <c r="FT506" s="2"/>
      <c r="FU506" s="2"/>
      <c r="FV506" s="2"/>
      <c r="FW506" s="2"/>
      <c r="FX506" s="2"/>
      <c r="FY506" s="2"/>
      <c r="FZ506" s="2"/>
      <c r="GA506" s="2"/>
      <c r="GB506" s="2"/>
      <c r="GC506" s="2"/>
      <c r="GD506" s="2"/>
      <c r="GE506" s="2"/>
      <c r="GF506" s="2"/>
      <c r="GG506" s="2"/>
      <c r="GH506" s="2"/>
      <c r="GI506" s="2"/>
      <c r="GJ506" s="2"/>
      <c r="GK506" s="2"/>
      <c r="GL506" s="2"/>
      <c r="GM506" s="2"/>
      <c r="GN506" s="2"/>
      <c r="GO506" s="2"/>
      <c r="GP506" s="2"/>
      <c r="GQ506" s="2"/>
      <c r="GR506" s="2"/>
      <c r="GS506" s="2"/>
      <c r="GT506" s="2"/>
      <c r="GU506" s="2"/>
      <c r="GV506" s="2"/>
      <c r="GW506" s="2"/>
      <c r="GX506" s="2"/>
      <c r="GY506" s="2"/>
      <c r="GZ506" s="2"/>
      <c r="HA506" s="2"/>
      <c r="HB506" s="2"/>
      <c r="HC506" s="2"/>
      <c r="HD506" s="2"/>
      <c r="HE506" s="2"/>
      <c r="HF506" s="2"/>
      <c r="HG506" s="2"/>
      <c r="HH506" s="2"/>
      <c r="HI506" s="2"/>
      <c r="HJ506" s="2"/>
      <c r="HK506" s="2"/>
      <c r="HL506" s="2"/>
      <c r="HM506" s="2"/>
      <c r="HN506" s="2"/>
      <c r="HO506" s="2"/>
      <c r="HP506" s="2"/>
      <c r="HQ506" s="2"/>
      <c r="HR506" s="2"/>
      <c r="HS506" s="2"/>
      <c r="HT506" s="2"/>
      <c r="HU506" s="2"/>
      <c r="HV506" s="2"/>
      <c r="HW506" s="2"/>
      <c r="HX506" s="2"/>
      <c r="HY506" s="2"/>
      <c r="HZ506" s="2"/>
      <c r="IA506" s="2"/>
      <c r="IB506" s="2"/>
      <c r="IC506" s="2"/>
    </row>
    <row r="507" spans="1:237" x14ac:dyDescent="0.2">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c r="AA507" s="2"/>
      <c r="AB507" s="2"/>
      <c r="AC507" s="2"/>
      <c r="AD507" s="2"/>
      <c r="AE507" s="2"/>
      <c r="AF507" s="2"/>
      <c r="AG507" s="2"/>
      <c r="AH507" s="2"/>
      <c r="AI507" s="2"/>
      <c r="AJ507" s="2"/>
      <c r="AK507" s="2"/>
      <c r="AL507" s="2"/>
      <c r="AM507" s="2"/>
      <c r="AN507" s="2"/>
      <c r="AO507" s="2"/>
      <c r="AP507" s="2"/>
      <c r="AQ507" s="2"/>
      <c r="AR507" s="2"/>
      <c r="AS507" s="2"/>
      <c r="AT507" s="2"/>
      <c r="AU507" s="2"/>
      <c r="AV507" s="2"/>
      <c r="AW507" s="2"/>
      <c r="AX507" s="2"/>
      <c r="AY507" s="2"/>
      <c r="AZ507" s="2"/>
      <c r="BA507" s="2"/>
      <c r="BB507" s="2"/>
      <c r="BC507" s="2"/>
      <c r="BD507" s="2"/>
      <c r="BE507" s="2"/>
      <c r="BF507" s="2"/>
      <c r="BG507" s="2"/>
      <c r="BH507" s="2"/>
      <c r="BI507" s="2"/>
      <c r="BJ507" s="2"/>
      <c r="BK507" s="2"/>
      <c r="BL507" s="2"/>
      <c r="BM507" s="2"/>
      <c r="BN507" s="2"/>
      <c r="BO507" s="2"/>
      <c r="BP507" s="2"/>
      <c r="BQ507" s="2"/>
      <c r="BR507" s="2"/>
      <c r="BS507" s="2"/>
      <c r="BT507" s="2"/>
      <c r="BU507" s="2"/>
      <c r="BV507" s="2"/>
      <c r="BW507" s="2"/>
      <c r="BX507" s="2"/>
      <c r="BY507" s="2"/>
      <c r="BZ507" s="2"/>
      <c r="CA507" s="2"/>
      <c r="CB507" s="2"/>
      <c r="CC507" s="2"/>
      <c r="CD507" s="2"/>
      <c r="CE507" s="2"/>
      <c r="CF507" s="2"/>
      <c r="CG507" s="2"/>
      <c r="CH507" s="2"/>
      <c r="CI507" s="2"/>
      <c r="CJ507" s="2"/>
      <c r="CK507" s="2"/>
      <c r="CL507" s="2"/>
      <c r="CM507" s="2"/>
      <c r="CN507" s="2"/>
      <c r="CO507" s="2"/>
      <c r="CP507" s="2"/>
      <c r="CQ507" s="2"/>
      <c r="CR507" s="2"/>
      <c r="CS507" s="2"/>
      <c r="CT507" s="2"/>
      <c r="CU507" s="2"/>
      <c r="CV507" s="2"/>
      <c r="CW507" s="2"/>
      <c r="CX507" s="2"/>
      <c r="CY507" s="2"/>
      <c r="CZ507" s="2"/>
      <c r="DA507" s="2"/>
      <c r="DB507" s="2"/>
      <c r="DC507" s="2"/>
      <c r="DD507" s="2"/>
      <c r="DE507" s="2"/>
      <c r="DF507" s="2"/>
      <c r="DG507" s="2"/>
      <c r="DH507" s="2"/>
      <c r="DI507" s="2"/>
      <c r="DJ507" s="2"/>
      <c r="DK507" s="2"/>
      <c r="DL507" s="2"/>
      <c r="DM507" s="2"/>
      <c r="DN507" s="2"/>
      <c r="DO507" s="2"/>
      <c r="DP507" s="2"/>
      <c r="DQ507" s="2"/>
      <c r="DR507" s="2"/>
      <c r="DS507" s="2"/>
      <c r="DT507" s="2"/>
      <c r="DU507" s="2"/>
      <c r="DV507" s="2"/>
      <c r="DW507" s="2"/>
      <c r="DX507" s="2"/>
      <c r="DY507" s="2"/>
      <c r="DZ507" s="2"/>
      <c r="EA507" s="2"/>
      <c r="EB507" s="2"/>
      <c r="EC507" s="2"/>
      <c r="ED507" s="2"/>
      <c r="EE507" s="2"/>
      <c r="EF507" s="2"/>
      <c r="EG507" s="2"/>
      <c r="EH507" s="2"/>
      <c r="EI507" s="2"/>
      <c r="EJ507" s="2"/>
      <c r="EK507" s="2"/>
      <c r="EL507" s="2"/>
      <c r="EM507" s="2"/>
      <c r="EN507" s="2"/>
      <c r="EO507" s="2"/>
      <c r="EP507" s="2"/>
      <c r="EQ507" s="2"/>
      <c r="ER507" s="2"/>
      <c r="ES507" s="2"/>
      <c r="ET507" s="2"/>
      <c r="EU507" s="2"/>
      <c r="EV507" s="2"/>
      <c r="EW507" s="2"/>
      <c r="EX507" s="2"/>
      <c r="EY507" s="2"/>
      <c r="EZ507" s="2"/>
      <c r="FA507" s="2"/>
      <c r="FB507" s="2"/>
      <c r="FC507" s="2"/>
      <c r="FD507" s="2"/>
      <c r="FE507" s="2"/>
      <c r="FF507" s="2"/>
      <c r="FG507" s="2"/>
      <c r="FH507" s="2"/>
      <c r="FI507" s="2"/>
      <c r="FJ507" s="2"/>
      <c r="FK507" s="2"/>
      <c r="FL507" s="2"/>
      <c r="FM507" s="2"/>
      <c r="FN507" s="2"/>
      <c r="FO507" s="2"/>
      <c r="FP507" s="2"/>
      <c r="FQ507" s="2"/>
      <c r="FR507" s="2"/>
      <c r="FS507" s="2"/>
      <c r="FT507" s="2"/>
      <c r="FU507" s="2"/>
      <c r="FV507" s="2"/>
      <c r="FW507" s="2"/>
      <c r="FX507" s="2"/>
      <c r="FY507" s="2"/>
      <c r="FZ507" s="2"/>
      <c r="GA507" s="2"/>
      <c r="GB507" s="2"/>
      <c r="GC507" s="2"/>
      <c r="GD507" s="2"/>
      <c r="GE507" s="2"/>
      <c r="GF507" s="2"/>
      <c r="GG507" s="2"/>
      <c r="GH507" s="2"/>
      <c r="GI507" s="2"/>
      <c r="GJ507" s="2"/>
      <c r="GK507" s="2"/>
      <c r="GL507" s="2"/>
      <c r="GM507" s="2"/>
      <c r="GN507" s="2"/>
      <c r="GO507" s="2"/>
      <c r="GP507" s="2"/>
      <c r="GQ507" s="2"/>
      <c r="GR507" s="2"/>
      <c r="GS507" s="2"/>
      <c r="GT507" s="2"/>
      <c r="GU507" s="2"/>
      <c r="GV507" s="2"/>
      <c r="GW507" s="2"/>
      <c r="GX507" s="2"/>
      <c r="GY507" s="2"/>
      <c r="GZ507" s="2"/>
      <c r="HA507" s="2"/>
      <c r="HB507" s="2"/>
      <c r="HC507" s="2"/>
      <c r="HD507" s="2"/>
      <c r="HE507" s="2"/>
      <c r="HF507" s="2"/>
      <c r="HG507" s="2"/>
      <c r="HH507" s="2"/>
      <c r="HI507" s="2"/>
      <c r="HJ507" s="2"/>
      <c r="HK507" s="2"/>
      <c r="HL507" s="2"/>
      <c r="HM507" s="2"/>
      <c r="HN507" s="2"/>
      <c r="HO507" s="2"/>
      <c r="HP507" s="2"/>
      <c r="HQ507" s="2"/>
      <c r="HR507" s="2"/>
      <c r="HS507" s="2"/>
      <c r="HT507" s="2"/>
      <c r="HU507" s="2"/>
      <c r="HV507" s="2"/>
      <c r="HW507" s="2"/>
      <c r="HX507" s="2"/>
      <c r="HY507" s="2"/>
      <c r="HZ507" s="2"/>
      <c r="IA507" s="2"/>
      <c r="IB507" s="2"/>
      <c r="IC507" s="2"/>
    </row>
    <row r="508" spans="1:237" x14ac:dyDescent="0.2">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c r="AA508" s="2"/>
      <c r="AB508" s="2"/>
      <c r="AC508" s="2"/>
      <c r="AD508" s="2"/>
      <c r="AE508" s="2"/>
      <c r="AF508" s="2"/>
      <c r="AG508" s="2"/>
      <c r="AH508" s="2"/>
      <c r="AI508" s="2"/>
      <c r="AJ508" s="2"/>
      <c r="AK508" s="2"/>
      <c r="AL508" s="2"/>
      <c r="AM508" s="2"/>
      <c r="AN508" s="2"/>
      <c r="AO508" s="2"/>
      <c r="AP508" s="2"/>
      <c r="AQ508" s="2"/>
      <c r="AR508" s="2"/>
      <c r="AS508" s="2"/>
      <c r="AT508" s="2"/>
      <c r="AU508" s="2"/>
      <c r="AV508" s="2"/>
      <c r="AW508" s="2"/>
      <c r="AX508" s="2"/>
      <c r="AY508" s="2"/>
      <c r="AZ508" s="2"/>
      <c r="BA508" s="2"/>
      <c r="BB508" s="2"/>
      <c r="BC508" s="2"/>
      <c r="BD508" s="2"/>
      <c r="BE508" s="2"/>
      <c r="BF508" s="2"/>
      <c r="BG508" s="2"/>
      <c r="BH508" s="2"/>
      <c r="BI508" s="2"/>
      <c r="BJ508" s="2"/>
      <c r="BK508" s="2"/>
      <c r="BL508" s="2"/>
      <c r="BM508" s="2"/>
      <c r="BN508" s="2"/>
      <c r="BO508" s="2"/>
      <c r="BP508" s="2"/>
      <c r="BQ508" s="2"/>
      <c r="BR508" s="2"/>
      <c r="BS508" s="2"/>
      <c r="BT508" s="2"/>
      <c r="BU508" s="2"/>
      <c r="BV508" s="2"/>
      <c r="BW508" s="2"/>
      <c r="BX508" s="2"/>
      <c r="BY508" s="2"/>
      <c r="BZ508" s="2"/>
      <c r="CA508" s="2"/>
      <c r="CB508" s="2"/>
      <c r="CC508" s="2"/>
      <c r="CD508" s="2"/>
      <c r="CE508" s="2"/>
      <c r="CF508" s="2"/>
      <c r="CG508" s="2"/>
      <c r="CH508" s="2"/>
      <c r="CI508" s="2"/>
      <c r="CJ508" s="2"/>
      <c r="CK508" s="2"/>
      <c r="CL508" s="2"/>
      <c r="CM508" s="2"/>
      <c r="CN508" s="2"/>
      <c r="CO508" s="2"/>
      <c r="CP508" s="2"/>
      <c r="CQ508" s="2"/>
      <c r="CR508" s="2"/>
      <c r="CS508" s="2"/>
      <c r="CT508" s="2"/>
      <c r="CU508" s="2"/>
      <c r="CV508" s="2"/>
      <c r="CW508" s="2"/>
      <c r="CX508" s="2"/>
      <c r="CY508" s="2"/>
      <c r="CZ508" s="2"/>
      <c r="DA508" s="2"/>
      <c r="DB508" s="2"/>
      <c r="DC508" s="2"/>
      <c r="DD508" s="2"/>
      <c r="DE508" s="2"/>
      <c r="DF508" s="2"/>
      <c r="DG508" s="2"/>
      <c r="DH508" s="2"/>
      <c r="DI508" s="2"/>
      <c r="DJ508" s="2"/>
      <c r="DK508" s="2"/>
      <c r="DL508" s="2"/>
      <c r="DM508" s="2"/>
      <c r="DN508" s="2"/>
      <c r="DO508" s="2"/>
      <c r="DP508" s="2"/>
      <c r="DQ508" s="2"/>
      <c r="DR508" s="2"/>
      <c r="DS508" s="2"/>
      <c r="DT508" s="2"/>
      <c r="DU508" s="2"/>
      <c r="DV508" s="2"/>
      <c r="DW508" s="2"/>
      <c r="DX508" s="2"/>
      <c r="DY508" s="2"/>
      <c r="DZ508" s="2"/>
      <c r="EA508" s="2"/>
      <c r="EB508" s="2"/>
      <c r="EC508" s="2"/>
      <c r="ED508" s="2"/>
      <c r="EE508" s="2"/>
      <c r="EF508" s="2"/>
      <c r="EG508" s="2"/>
      <c r="EH508" s="2"/>
      <c r="EI508" s="2"/>
      <c r="EJ508" s="2"/>
      <c r="EK508" s="2"/>
      <c r="EL508" s="2"/>
      <c r="EM508" s="2"/>
      <c r="EN508" s="2"/>
      <c r="EO508" s="2"/>
      <c r="EP508" s="2"/>
      <c r="EQ508" s="2"/>
      <c r="ER508" s="2"/>
      <c r="ES508" s="2"/>
      <c r="ET508" s="2"/>
      <c r="EU508" s="2"/>
      <c r="EV508" s="2"/>
      <c r="EW508" s="2"/>
      <c r="EX508" s="2"/>
      <c r="EY508" s="2"/>
      <c r="EZ508" s="2"/>
      <c r="FA508" s="2"/>
      <c r="FB508" s="2"/>
      <c r="FC508" s="2"/>
      <c r="FD508" s="2"/>
      <c r="FE508" s="2"/>
      <c r="FF508" s="2"/>
      <c r="FG508" s="2"/>
      <c r="FH508" s="2"/>
      <c r="FI508" s="2"/>
      <c r="FJ508" s="2"/>
      <c r="FK508" s="2"/>
      <c r="FL508" s="2"/>
      <c r="FM508" s="2"/>
      <c r="FN508" s="2"/>
      <c r="FO508" s="2"/>
      <c r="FP508" s="2"/>
      <c r="FQ508" s="2"/>
      <c r="FR508" s="2"/>
      <c r="FS508" s="2"/>
      <c r="FT508" s="2"/>
      <c r="FU508" s="2"/>
      <c r="FV508" s="2"/>
      <c r="FW508" s="2"/>
      <c r="FX508" s="2"/>
      <c r="FY508" s="2"/>
      <c r="FZ508" s="2"/>
      <c r="GA508" s="2"/>
      <c r="GB508" s="2"/>
      <c r="GC508" s="2"/>
      <c r="GD508" s="2"/>
      <c r="GE508" s="2"/>
      <c r="GF508" s="2"/>
      <c r="GG508" s="2"/>
      <c r="GH508" s="2"/>
      <c r="GI508" s="2"/>
      <c r="GJ508" s="2"/>
      <c r="GK508" s="2"/>
      <c r="GL508" s="2"/>
      <c r="GM508" s="2"/>
      <c r="GN508" s="2"/>
      <c r="GO508" s="2"/>
      <c r="GP508" s="2"/>
      <c r="GQ508" s="2"/>
      <c r="GR508" s="2"/>
      <c r="GS508" s="2"/>
      <c r="GT508" s="2"/>
      <c r="GU508" s="2"/>
      <c r="GV508" s="2"/>
      <c r="GW508" s="2"/>
      <c r="GX508" s="2"/>
      <c r="GY508" s="2"/>
      <c r="GZ508" s="2"/>
      <c r="HA508" s="2"/>
      <c r="HB508" s="2"/>
      <c r="HC508" s="2"/>
      <c r="HD508" s="2"/>
      <c r="HE508" s="2"/>
      <c r="HF508" s="2"/>
      <c r="HG508" s="2"/>
      <c r="HH508" s="2"/>
      <c r="HI508" s="2"/>
      <c r="HJ508" s="2"/>
      <c r="HK508" s="2"/>
      <c r="HL508" s="2"/>
      <c r="HM508" s="2"/>
      <c r="HN508" s="2"/>
      <c r="HO508" s="2"/>
      <c r="HP508" s="2"/>
      <c r="HQ508" s="2"/>
      <c r="HR508" s="2"/>
      <c r="HS508" s="2"/>
      <c r="HT508" s="2"/>
      <c r="HU508" s="2"/>
      <c r="HV508" s="2"/>
      <c r="HW508" s="2"/>
      <c r="HX508" s="2"/>
      <c r="HY508" s="2"/>
      <c r="HZ508" s="2"/>
      <c r="IA508" s="2"/>
      <c r="IB508" s="2"/>
      <c r="IC508" s="2"/>
    </row>
    <row r="509" spans="1:237" x14ac:dyDescent="0.2">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c r="AA509" s="2"/>
      <c r="AB509" s="2"/>
      <c r="AC509" s="2"/>
      <c r="AD509" s="2"/>
      <c r="AE509" s="2"/>
      <c r="AF509" s="2"/>
      <c r="AG509" s="2"/>
      <c r="AH509" s="2"/>
      <c r="AI509" s="2"/>
      <c r="AJ509" s="2"/>
      <c r="AK509" s="2"/>
      <c r="AL509" s="2"/>
      <c r="AM509" s="2"/>
      <c r="AN509" s="2"/>
      <c r="AO509" s="2"/>
      <c r="AP509" s="2"/>
      <c r="AQ509" s="2"/>
      <c r="AR509" s="2"/>
      <c r="AS509" s="2"/>
      <c r="AT509" s="2"/>
      <c r="AU509" s="2"/>
      <c r="AV509" s="2"/>
      <c r="AW509" s="2"/>
      <c r="AX509" s="2"/>
      <c r="AY509" s="2"/>
      <c r="AZ509" s="2"/>
      <c r="BA509" s="2"/>
      <c r="BB509" s="2"/>
      <c r="BC509" s="2"/>
      <c r="BD509" s="2"/>
      <c r="BE509" s="2"/>
      <c r="BF509" s="2"/>
      <c r="BG509" s="2"/>
      <c r="BH509" s="2"/>
      <c r="BI509" s="2"/>
      <c r="BJ509" s="2"/>
      <c r="BK509" s="2"/>
      <c r="BL509" s="2"/>
      <c r="BM509" s="2"/>
      <c r="BN509" s="2"/>
      <c r="BO509" s="2"/>
      <c r="BP509" s="2"/>
      <c r="BQ509" s="2"/>
      <c r="BR509" s="2"/>
      <c r="BS509" s="2"/>
      <c r="BT509" s="2"/>
      <c r="BU509" s="2"/>
      <c r="BV509" s="2"/>
      <c r="BW509" s="2"/>
      <c r="BX509" s="2"/>
      <c r="BY509" s="2"/>
      <c r="BZ509" s="2"/>
      <c r="CA509" s="2"/>
      <c r="CB509" s="2"/>
      <c r="CC509" s="2"/>
      <c r="CD509" s="2"/>
      <c r="CE509" s="2"/>
      <c r="CF509" s="2"/>
      <c r="CG509" s="2"/>
      <c r="CH509" s="2"/>
      <c r="CI509" s="2"/>
      <c r="CJ509" s="2"/>
      <c r="CK509" s="2"/>
      <c r="CL509" s="2"/>
      <c r="CM509" s="2"/>
      <c r="CN509" s="2"/>
      <c r="CO509" s="2"/>
      <c r="CP509" s="2"/>
      <c r="CQ509" s="2"/>
      <c r="CR509" s="2"/>
      <c r="CS509" s="2"/>
      <c r="CT509" s="2"/>
      <c r="CU509" s="2"/>
      <c r="CV509" s="2"/>
      <c r="CW509" s="2"/>
      <c r="CX509" s="2"/>
      <c r="CY509" s="2"/>
      <c r="CZ509" s="2"/>
      <c r="DA509" s="2"/>
      <c r="DB509" s="2"/>
      <c r="DC509" s="2"/>
      <c r="DD509" s="2"/>
      <c r="DE509" s="2"/>
      <c r="DF509" s="2"/>
      <c r="DG509" s="2"/>
      <c r="DH509" s="2"/>
      <c r="DI509" s="2"/>
      <c r="DJ509" s="2"/>
      <c r="DK509" s="2"/>
      <c r="DL509" s="2"/>
      <c r="DM509" s="2"/>
      <c r="DN509" s="2"/>
      <c r="DO509" s="2"/>
      <c r="DP509" s="2"/>
      <c r="DQ509" s="2"/>
      <c r="DR509" s="2"/>
      <c r="DS509" s="2"/>
      <c r="DT509" s="2"/>
      <c r="DU509" s="2"/>
      <c r="DV509" s="2"/>
      <c r="DW509" s="2"/>
      <c r="DX509" s="2"/>
      <c r="DY509" s="2"/>
      <c r="DZ509" s="2"/>
      <c r="EA509" s="2"/>
      <c r="EB509" s="2"/>
      <c r="EC509" s="2"/>
      <c r="ED509" s="2"/>
      <c r="EE509" s="2"/>
      <c r="EF509" s="2"/>
      <c r="EG509" s="2"/>
      <c r="EH509" s="2"/>
      <c r="EI509" s="2"/>
      <c r="EJ509" s="2"/>
      <c r="EK509" s="2"/>
      <c r="EL509" s="2"/>
      <c r="EM509" s="2"/>
      <c r="EN509" s="2"/>
      <c r="EO509" s="2"/>
      <c r="EP509" s="2"/>
      <c r="EQ509" s="2"/>
      <c r="ER509" s="2"/>
      <c r="ES509" s="2"/>
      <c r="ET509" s="2"/>
      <c r="EU509" s="2"/>
      <c r="EV509" s="2"/>
      <c r="EW509" s="2"/>
      <c r="EX509" s="2"/>
      <c r="EY509" s="2"/>
      <c r="EZ509" s="2"/>
      <c r="FA509" s="2"/>
      <c r="FB509" s="2"/>
      <c r="FC509" s="2"/>
      <c r="FD509" s="2"/>
      <c r="FE509" s="2"/>
      <c r="FF509" s="2"/>
      <c r="FG509" s="2"/>
      <c r="FH509" s="2"/>
      <c r="FI509" s="2"/>
      <c r="FJ509" s="2"/>
      <c r="FK509" s="2"/>
      <c r="FL509" s="2"/>
      <c r="FM509" s="2"/>
      <c r="FN509" s="2"/>
      <c r="FO509" s="2"/>
      <c r="FP509" s="2"/>
      <c r="FQ509" s="2"/>
      <c r="FR509" s="2"/>
      <c r="FS509" s="2"/>
      <c r="FT509" s="2"/>
      <c r="FU509" s="2"/>
      <c r="FV509" s="2"/>
      <c r="FW509" s="2"/>
      <c r="FX509" s="2"/>
      <c r="FY509" s="2"/>
      <c r="FZ509" s="2"/>
      <c r="GA509" s="2"/>
      <c r="GB509" s="2"/>
      <c r="GC509" s="2"/>
      <c r="GD509" s="2"/>
      <c r="GE509" s="2"/>
      <c r="GF509" s="2"/>
      <c r="GG509" s="2"/>
      <c r="GH509" s="2"/>
      <c r="GI509" s="2"/>
      <c r="GJ509" s="2"/>
      <c r="GK509" s="2"/>
      <c r="GL509" s="2"/>
      <c r="GM509" s="2"/>
      <c r="GN509" s="2"/>
      <c r="GO509" s="2"/>
      <c r="GP509" s="2"/>
      <c r="GQ509" s="2"/>
      <c r="GR509" s="2"/>
      <c r="GS509" s="2"/>
      <c r="GT509" s="2"/>
      <c r="GU509" s="2"/>
      <c r="GV509" s="2"/>
      <c r="GW509" s="2"/>
      <c r="GX509" s="2"/>
      <c r="GY509" s="2"/>
      <c r="GZ509" s="2"/>
      <c r="HA509" s="2"/>
      <c r="HB509" s="2"/>
      <c r="HC509" s="2"/>
      <c r="HD509" s="2"/>
      <c r="HE509" s="2"/>
      <c r="HF509" s="2"/>
      <c r="HG509" s="2"/>
      <c r="HH509" s="2"/>
      <c r="HI509" s="2"/>
      <c r="HJ509" s="2"/>
      <c r="HK509" s="2"/>
      <c r="HL509" s="2"/>
      <c r="HM509" s="2"/>
      <c r="HN509" s="2"/>
      <c r="HO509" s="2"/>
      <c r="HP509" s="2"/>
      <c r="HQ509" s="2"/>
      <c r="HR509" s="2"/>
      <c r="HS509" s="2"/>
      <c r="HT509" s="2"/>
      <c r="HU509" s="2"/>
      <c r="HV509" s="2"/>
      <c r="HW509" s="2"/>
      <c r="HX509" s="2"/>
      <c r="HY509" s="2"/>
      <c r="HZ509" s="2"/>
      <c r="IA509" s="2"/>
      <c r="IB509" s="2"/>
      <c r="IC509" s="2"/>
    </row>
    <row r="510" spans="1:237" x14ac:dyDescent="0.2">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c r="AA510" s="2"/>
      <c r="AB510" s="2"/>
      <c r="AC510" s="2"/>
      <c r="AD510" s="2"/>
      <c r="AE510" s="2"/>
      <c r="AF510" s="2"/>
      <c r="AG510" s="2"/>
      <c r="AH510" s="2"/>
      <c r="AI510" s="2"/>
      <c r="AJ510" s="2"/>
      <c r="AK510" s="2"/>
      <c r="AL510" s="2"/>
      <c r="AM510" s="2"/>
      <c r="AN510" s="2"/>
      <c r="AO510" s="2"/>
      <c r="AP510" s="2"/>
      <c r="AQ510" s="2"/>
      <c r="AR510" s="2"/>
      <c r="AS510" s="2"/>
      <c r="AT510" s="2"/>
      <c r="AU510" s="2"/>
      <c r="AV510" s="2"/>
      <c r="AW510" s="2"/>
      <c r="AX510" s="2"/>
      <c r="AY510" s="2"/>
      <c r="AZ510" s="2"/>
      <c r="BA510" s="2"/>
      <c r="BB510" s="2"/>
      <c r="BC510" s="2"/>
      <c r="BD510" s="2"/>
      <c r="BE510" s="2"/>
      <c r="BF510" s="2"/>
      <c r="BG510" s="2"/>
      <c r="BH510" s="2"/>
      <c r="BI510" s="2"/>
      <c r="BJ510" s="2"/>
      <c r="BK510" s="2"/>
      <c r="BL510" s="2"/>
      <c r="BM510" s="2"/>
      <c r="BN510" s="2"/>
      <c r="BO510" s="2"/>
      <c r="BP510" s="2"/>
      <c r="BQ510" s="2"/>
      <c r="BR510" s="2"/>
      <c r="BS510" s="2"/>
      <c r="BT510" s="2"/>
      <c r="BU510" s="2"/>
      <c r="BV510" s="2"/>
      <c r="BW510" s="2"/>
      <c r="BX510" s="2"/>
      <c r="BY510" s="2"/>
      <c r="BZ510" s="2"/>
      <c r="CA510" s="2"/>
      <c r="CB510" s="2"/>
      <c r="CC510" s="2"/>
      <c r="CD510" s="2"/>
      <c r="CE510" s="2"/>
      <c r="CF510" s="2"/>
      <c r="CG510" s="2"/>
      <c r="CH510" s="2"/>
      <c r="CI510" s="2"/>
      <c r="CJ510" s="2"/>
      <c r="CK510" s="2"/>
      <c r="CL510" s="2"/>
      <c r="CM510" s="2"/>
      <c r="CN510" s="2"/>
      <c r="CO510" s="2"/>
      <c r="CP510" s="2"/>
      <c r="CQ510" s="2"/>
      <c r="CR510" s="2"/>
      <c r="CS510" s="2"/>
      <c r="CT510" s="2"/>
      <c r="CU510" s="2"/>
      <c r="CV510" s="2"/>
      <c r="CW510" s="2"/>
      <c r="CX510" s="2"/>
      <c r="CY510" s="2"/>
      <c r="CZ510" s="2"/>
      <c r="DA510" s="2"/>
      <c r="DB510" s="2"/>
      <c r="DC510" s="2"/>
      <c r="DD510" s="2"/>
      <c r="DE510" s="2"/>
      <c r="DF510" s="2"/>
      <c r="DG510" s="2"/>
      <c r="DH510" s="2"/>
      <c r="DI510" s="2"/>
      <c r="DJ510" s="2"/>
      <c r="DK510" s="2"/>
      <c r="DL510" s="2"/>
      <c r="DM510" s="2"/>
      <c r="DN510" s="2"/>
      <c r="DO510" s="2"/>
      <c r="DP510" s="2"/>
      <c r="DQ510" s="2"/>
      <c r="DR510" s="2"/>
      <c r="DS510" s="2"/>
      <c r="DT510" s="2"/>
      <c r="DU510" s="2"/>
      <c r="DV510" s="2"/>
      <c r="DW510" s="2"/>
      <c r="DX510" s="2"/>
      <c r="DY510" s="2"/>
      <c r="DZ510" s="2"/>
      <c r="EA510" s="2"/>
      <c r="EB510" s="2"/>
      <c r="EC510" s="2"/>
      <c r="ED510" s="2"/>
      <c r="EE510" s="2"/>
      <c r="EF510" s="2"/>
      <c r="EG510" s="2"/>
      <c r="EH510" s="2"/>
      <c r="EI510" s="2"/>
      <c r="EJ510" s="2"/>
      <c r="EK510" s="2"/>
      <c r="EL510" s="2"/>
      <c r="EM510" s="2"/>
      <c r="EN510" s="2"/>
      <c r="EO510" s="2"/>
      <c r="EP510" s="2"/>
      <c r="EQ510" s="2"/>
      <c r="ER510" s="2"/>
      <c r="ES510" s="2"/>
      <c r="ET510" s="2"/>
      <c r="EU510" s="2"/>
      <c r="EV510" s="2"/>
      <c r="EW510" s="2"/>
      <c r="EX510" s="2"/>
      <c r="EY510" s="2"/>
      <c r="EZ510" s="2"/>
      <c r="FA510" s="2"/>
      <c r="FB510" s="2"/>
      <c r="FC510" s="2"/>
      <c r="FD510" s="2"/>
      <c r="FE510" s="2"/>
      <c r="FF510" s="2"/>
      <c r="FG510" s="2"/>
      <c r="FH510" s="2"/>
      <c r="FI510" s="2"/>
      <c r="FJ510" s="2"/>
      <c r="FK510" s="2"/>
      <c r="FL510" s="2"/>
      <c r="FM510" s="2"/>
      <c r="FN510" s="2"/>
      <c r="FO510" s="2"/>
      <c r="FP510" s="2"/>
      <c r="FQ510" s="2"/>
      <c r="FR510" s="2"/>
      <c r="FS510" s="2"/>
      <c r="FT510" s="2"/>
      <c r="FU510" s="2"/>
      <c r="FV510" s="2"/>
      <c r="FW510" s="2"/>
      <c r="FX510" s="2"/>
      <c r="FY510" s="2"/>
      <c r="FZ510" s="2"/>
      <c r="GA510" s="2"/>
      <c r="GB510" s="2"/>
      <c r="GC510" s="2"/>
      <c r="GD510" s="2"/>
      <c r="GE510" s="2"/>
      <c r="GF510" s="2"/>
      <c r="GG510" s="2"/>
      <c r="GH510" s="2"/>
      <c r="GI510" s="2"/>
      <c r="GJ510" s="2"/>
      <c r="GK510" s="2"/>
      <c r="GL510" s="2"/>
      <c r="GM510" s="2"/>
      <c r="GN510" s="2"/>
      <c r="GO510" s="2"/>
      <c r="GP510" s="2"/>
      <c r="GQ510" s="2"/>
      <c r="GR510" s="2"/>
      <c r="GS510" s="2"/>
      <c r="GT510" s="2"/>
      <c r="GU510" s="2"/>
      <c r="GV510" s="2"/>
      <c r="GW510" s="2"/>
      <c r="GX510" s="2"/>
      <c r="GY510" s="2"/>
      <c r="GZ510" s="2"/>
      <c r="HA510" s="2"/>
      <c r="HB510" s="2"/>
      <c r="HC510" s="2"/>
      <c r="HD510" s="2"/>
      <c r="HE510" s="2"/>
      <c r="HF510" s="2"/>
      <c r="HG510" s="2"/>
      <c r="HH510" s="2"/>
      <c r="HI510" s="2"/>
      <c r="HJ510" s="2"/>
      <c r="HK510" s="2"/>
      <c r="HL510" s="2"/>
      <c r="HM510" s="2"/>
      <c r="HN510" s="2"/>
      <c r="HO510" s="2"/>
      <c r="HP510" s="2"/>
      <c r="HQ510" s="2"/>
      <c r="HR510" s="2"/>
      <c r="HS510" s="2"/>
      <c r="HT510" s="2"/>
      <c r="HU510" s="2"/>
      <c r="HV510" s="2"/>
      <c r="HW510" s="2"/>
      <c r="HX510" s="2"/>
      <c r="HY510" s="2"/>
      <c r="HZ510" s="2"/>
      <c r="IA510" s="2"/>
      <c r="IB510" s="2"/>
      <c r="IC510" s="2"/>
    </row>
    <row r="511" spans="1:237" x14ac:dyDescent="0.2">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c r="AA511" s="2"/>
      <c r="AB511" s="2"/>
      <c r="AC511" s="2"/>
      <c r="AD511" s="2"/>
      <c r="AE511" s="2"/>
      <c r="AF511" s="2"/>
      <c r="AG511" s="2"/>
      <c r="AH511" s="2"/>
      <c r="AI511" s="2"/>
      <c r="AJ511" s="2"/>
      <c r="AK511" s="2"/>
      <c r="AL511" s="2"/>
      <c r="AM511" s="2"/>
      <c r="AN511" s="2"/>
      <c r="AO511" s="2"/>
      <c r="AP511" s="2"/>
      <c r="AQ511" s="2"/>
      <c r="AR511" s="2"/>
      <c r="AS511" s="2"/>
      <c r="AT511" s="2"/>
      <c r="AU511" s="2"/>
      <c r="AV511" s="2"/>
      <c r="AW511" s="2"/>
      <c r="AX511" s="2"/>
      <c r="AY511" s="2"/>
      <c r="AZ511" s="2"/>
      <c r="BA511" s="2"/>
      <c r="BB511" s="2"/>
      <c r="BC511" s="2"/>
      <c r="BD511" s="2"/>
      <c r="BE511" s="2"/>
      <c r="BF511" s="2"/>
      <c r="BG511" s="2"/>
      <c r="BH511" s="2"/>
      <c r="BI511" s="2"/>
      <c r="BJ511" s="2"/>
      <c r="BK511" s="2"/>
      <c r="BL511" s="2"/>
      <c r="BM511" s="2"/>
      <c r="BN511" s="2"/>
      <c r="BO511" s="2"/>
      <c r="BP511" s="2"/>
      <c r="BQ511" s="2"/>
      <c r="BR511" s="2"/>
      <c r="BS511" s="2"/>
      <c r="BT511" s="2"/>
      <c r="BU511" s="2"/>
      <c r="BV511" s="2"/>
      <c r="BW511" s="2"/>
      <c r="BX511" s="2"/>
      <c r="BY511" s="2"/>
      <c r="BZ511" s="2"/>
      <c r="CA511" s="2"/>
      <c r="CB511" s="2"/>
      <c r="CC511" s="2"/>
      <c r="CD511" s="2"/>
      <c r="CE511" s="2"/>
      <c r="CF511" s="2"/>
      <c r="CG511" s="2"/>
      <c r="CH511" s="2"/>
      <c r="CI511" s="2"/>
      <c r="CJ511" s="2"/>
      <c r="CK511" s="2"/>
      <c r="CL511" s="2"/>
      <c r="CM511" s="2"/>
      <c r="CN511" s="2"/>
      <c r="CO511" s="2"/>
      <c r="CP511" s="2"/>
      <c r="CQ511" s="2"/>
      <c r="CR511" s="2"/>
      <c r="CS511" s="2"/>
      <c r="CT511" s="2"/>
      <c r="CU511" s="2"/>
      <c r="CV511" s="2"/>
      <c r="CW511" s="2"/>
      <c r="CX511" s="2"/>
      <c r="CY511" s="2"/>
      <c r="CZ511" s="2"/>
      <c r="DA511" s="2"/>
      <c r="DB511" s="2"/>
      <c r="DC511" s="2"/>
      <c r="DD511" s="2"/>
      <c r="DE511" s="2"/>
      <c r="DF511" s="2"/>
      <c r="DG511" s="2"/>
      <c r="DH511" s="2"/>
      <c r="DI511" s="2"/>
      <c r="DJ511" s="2"/>
      <c r="DK511" s="2"/>
      <c r="DL511" s="2"/>
      <c r="DM511" s="2"/>
      <c r="DN511" s="2"/>
      <c r="DO511" s="2"/>
      <c r="DP511" s="2"/>
      <c r="DQ511" s="2"/>
      <c r="DR511" s="2"/>
      <c r="DS511" s="2"/>
      <c r="DT511" s="2"/>
      <c r="DU511" s="2"/>
      <c r="DV511" s="2"/>
      <c r="DW511" s="2"/>
      <c r="DX511" s="2"/>
      <c r="DY511" s="2"/>
      <c r="DZ511" s="2"/>
      <c r="EA511" s="2"/>
      <c r="EB511" s="2"/>
      <c r="EC511" s="2"/>
      <c r="ED511" s="2"/>
      <c r="EE511" s="2"/>
      <c r="EF511" s="2"/>
      <c r="EG511" s="2"/>
      <c r="EH511" s="2"/>
      <c r="EI511" s="2"/>
      <c r="EJ511" s="2"/>
      <c r="EK511" s="2"/>
      <c r="EL511" s="2"/>
      <c r="EM511" s="2"/>
      <c r="EN511" s="2"/>
      <c r="EO511" s="2"/>
      <c r="EP511" s="2"/>
      <c r="EQ511" s="2"/>
      <c r="ER511" s="2"/>
      <c r="ES511" s="2"/>
      <c r="ET511" s="2"/>
      <c r="EU511" s="2"/>
      <c r="EV511" s="2"/>
      <c r="EW511" s="2"/>
      <c r="EX511" s="2"/>
      <c r="EY511" s="2"/>
      <c r="EZ511" s="2"/>
      <c r="FA511" s="2"/>
      <c r="FB511" s="2"/>
      <c r="FC511" s="2"/>
      <c r="FD511" s="2"/>
      <c r="FE511" s="2"/>
      <c r="FF511" s="2"/>
      <c r="FG511" s="2"/>
      <c r="FH511" s="2"/>
      <c r="FI511" s="2"/>
      <c r="FJ511" s="2"/>
      <c r="FK511" s="2"/>
      <c r="FL511" s="2"/>
      <c r="FM511" s="2"/>
      <c r="FN511" s="2"/>
      <c r="FO511" s="2"/>
      <c r="FP511" s="2"/>
      <c r="FQ511" s="2"/>
      <c r="FR511" s="2"/>
      <c r="FS511" s="2"/>
      <c r="FT511" s="2"/>
      <c r="FU511" s="2"/>
      <c r="FV511" s="2"/>
      <c r="FW511" s="2"/>
      <c r="FX511" s="2"/>
      <c r="FY511" s="2"/>
      <c r="FZ511" s="2"/>
      <c r="GA511" s="2"/>
      <c r="GB511" s="2"/>
      <c r="GC511" s="2"/>
      <c r="GD511" s="2"/>
      <c r="GE511" s="2"/>
      <c r="GF511" s="2"/>
      <c r="GG511" s="2"/>
      <c r="GH511" s="2"/>
      <c r="GI511" s="2"/>
      <c r="GJ511" s="2"/>
      <c r="GK511" s="2"/>
      <c r="GL511" s="2"/>
      <c r="GM511" s="2"/>
      <c r="GN511" s="2"/>
      <c r="GO511" s="2"/>
      <c r="GP511" s="2"/>
      <c r="GQ511" s="2"/>
      <c r="GR511" s="2"/>
      <c r="GS511" s="2"/>
      <c r="GT511" s="2"/>
      <c r="GU511" s="2"/>
      <c r="GV511" s="2"/>
      <c r="GW511" s="2"/>
      <c r="GX511" s="2"/>
      <c r="GY511" s="2"/>
      <c r="GZ511" s="2"/>
      <c r="HA511" s="2"/>
      <c r="HB511" s="2"/>
      <c r="HC511" s="2"/>
      <c r="HD511" s="2"/>
      <c r="HE511" s="2"/>
      <c r="HF511" s="2"/>
      <c r="HG511" s="2"/>
      <c r="HH511" s="2"/>
      <c r="HI511" s="2"/>
      <c r="HJ511" s="2"/>
      <c r="HK511" s="2"/>
      <c r="HL511" s="2"/>
      <c r="HM511" s="2"/>
      <c r="HN511" s="2"/>
      <c r="HO511" s="2"/>
      <c r="HP511" s="2"/>
      <c r="HQ511" s="2"/>
      <c r="HR511" s="2"/>
      <c r="HS511" s="2"/>
      <c r="HT511" s="2"/>
      <c r="HU511" s="2"/>
      <c r="HV511" s="2"/>
      <c r="HW511" s="2"/>
      <c r="HX511" s="2"/>
      <c r="HY511" s="2"/>
      <c r="HZ511" s="2"/>
      <c r="IA511" s="2"/>
      <c r="IB511" s="2"/>
      <c r="IC511" s="2"/>
    </row>
    <row r="512" spans="1:237" x14ac:dyDescent="0.2">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c r="AA512" s="2"/>
      <c r="AB512" s="2"/>
      <c r="AC512" s="2"/>
      <c r="AD512" s="2"/>
      <c r="AE512" s="2"/>
      <c r="AF512" s="2"/>
      <c r="AG512" s="2"/>
      <c r="AH512" s="2"/>
      <c r="AI512" s="2"/>
      <c r="AJ512" s="2"/>
      <c r="AK512" s="2"/>
      <c r="AL512" s="2"/>
      <c r="AM512" s="2"/>
      <c r="AN512" s="2"/>
      <c r="AO512" s="2"/>
      <c r="AP512" s="2"/>
      <c r="AQ512" s="2"/>
      <c r="AR512" s="2"/>
      <c r="AS512" s="2"/>
      <c r="AT512" s="2"/>
      <c r="AU512" s="2"/>
      <c r="AV512" s="2"/>
      <c r="AW512" s="2"/>
      <c r="AX512" s="2"/>
      <c r="AY512" s="2"/>
      <c r="AZ512" s="2"/>
      <c r="BA512" s="2"/>
      <c r="BB512" s="2"/>
      <c r="BC512" s="2"/>
      <c r="BD512" s="2"/>
      <c r="BE512" s="2"/>
      <c r="BF512" s="2"/>
      <c r="BG512" s="2"/>
      <c r="BH512" s="2"/>
      <c r="BI512" s="2"/>
      <c r="BJ512" s="2"/>
      <c r="BK512" s="2"/>
      <c r="BL512" s="2"/>
      <c r="BM512" s="2"/>
      <c r="BN512" s="2"/>
      <c r="BO512" s="2"/>
      <c r="BP512" s="2"/>
      <c r="BQ512" s="2"/>
      <c r="BR512" s="2"/>
      <c r="BS512" s="2"/>
      <c r="BT512" s="2"/>
      <c r="BU512" s="2"/>
      <c r="BV512" s="2"/>
      <c r="BW512" s="2"/>
      <c r="BX512" s="2"/>
      <c r="BY512" s="2"/>
      <c r="BZ512" s="2"/>
      <c r="CA512" s="2"/>
      <c r="CB512" s="2"/>
      <c r="CC512" s="2"/>
      <c r="CD512" s="2"/>
      <c r="CE512" s="2"/>
      <c r="CF512" s="2"/>
      <c r="CG512" s="2"/>
      <c r="CH512" s="2"/>
      <c r="CI512" s="2"/>
      <c r="CJ512" s="2"/>
      <c r="CK512" s="2"/>
      <c r="CL512" s="2"/>
      <c r="CM512" s="2"/>
      <c r="CN512" s="2"/>
      <c r="CO512" s="2"/>
      <c r="CP512" s="2"/>
      <c r="CQ512" s="2"/>
      <c r="CR512" s="2"/>
      <c r="CS512" s="2"/>
      <c r="CT512" s="2"/>
      <c r="CU512" s="2"/>
      <c r="CV512" s="2"/>
      <c r="CW512" s="2"/>
      <c r="CX512" s="2"/>
      <c r="CY512" s="2"/>
      <c r="CZ512" s="2"/>
      <c r="DA512" s="2"/>
      <c r="DB512" s="2"/>
      <c r="DC512" s="2"/>
      <c r="DD512" s="2"/>
      <c r="DE512" s="2"/>
      <c r="DF512" s="2"/>
      <c r="DG512" s="2"/>
      <c r="DH512" s="2"/>
      <c r="DI512" s="2"/>
      <c r="DJ512" s="2"/>
      <c r="DK512" s="2"/>
      <c r="DL512" s="2"/>
      <c r="DM512" s="2"/>
      <c r="DN512" s="2"/>
      <c r="DO512" s="2"/>
      <c r="DP512" s="2"/>
      <c r="DQ512" s="2"/>
      <c r="DR512" s="2"/>
      <c r="DS512" s="2"/>
      <c r="DT512" s="2"/>
      <c r="DU512" s="2"/>
      <c r="DV512" s="2"/>
      <c r="DW512" s="2"/>
      <c r="DX512" s="2"/>
      <c r="DY512" s="2"/>
      <c r="DZ512" s="2"/>
      <c r="EA512" s="2"/>
      <c r="EB512" s="2"/>
      <c r="EC512" s="2"/>
      <c r="ED512" s="2"/>
      <c r="EE512" s="2"/>
      <c r="EF512" s="2"/>
      <c r="EG512" s="2"/>
      <c r="EH512" s="2"/>
      <c r="EI512" s="2"/>
      <c r="EJ512" s="2"/>
      <c r="EK512" s="2"/>
      <c r="EL512" s="2"/>
      <c r="EM512" s="2"/>
      <c r="EN512" s="2"/>
      <c r="EO512" s="2"/>
      <c r="EP512" s="2"/>
      <c r="EQ512" s="2"/>
      <c r="ER512" s="2"/>
      <c r="ES512" s="2"/>
      <c r="ET512" s="2"/>
      <c r="EU512" s="2"/>
      <c r="EV512" s="2"/>
      <c r="EW512" s="2"/>
      <c r="EX512" s="2"/>
      <c r="EY512" s="2"/>
      <c r="EZ512" s="2"/>
      <c r="FA512" s="2"/>
      <c r="FB512" s="2"/>
      <c r="FC512" s="2"/>
      <c r="FD512" s="2"/>
      <c r="FE512" s="2"/>
      <c r="FF512" s="2"/>
      <c r="FG512" s="2"/>
      <c r="FH512" s="2"/>
      <c r="FI512" s="2"/>
      <c r="FJ512" s="2"/>
      <c r="FK512" s="2"/>
      <c r="FL512" s="2"/>
      <c r="FM512" s="2"/>
      <c r="FN512" s="2"/>
      <c r="FO512" s="2"/>
      <c r="FP512" s="2"/>
      <c r="FQ512" s="2"/>
      <c r="FR512" s="2"/>
      <c r="FS512" s="2"/>
      <c r="FT512" s="2"/>
      <c r="FU512" s="2"/>
      <c r="FV512" s="2"/>
      <c r="FW512" s="2"/>
      <c r="FX512" s="2"/>
      <c r="FY512" s="2"/>
      <c r="FZ512" s="2"/>
      <c r="GA512" s="2"/>
      <c r="GB512" s="2"/>
      <c r="GC512" s="2"/>
      <c r="GD512" s="2"/>
      <c r="GE512" s="2"/>
      <c r="GF512" s="2"/>
      <c r="GG512" s="2"/>
      <c r="GH512" s="2"/>
      <c r="GI512" s="2"/>
      <c r="GJ512" s="2"/>
      <c r="GK512" s="2"/>
      <c r="GL512" s="2"/>
      <c r="GM512" s="2"/>
      <c r="GN512" s="2"/>
      <c r="GO512" s="2"/>
      <c r="GP512" s="2"/>
      <c r="GQ512" s="2"/>
      <c r="GR512" s="2"/>
      <c r="GS512" s="2"/>
      <c r="GT512" s="2"/>
      <c r="GU512" s="2"/>
      <c r="GV512" s="2"/>
      <c r="GW512" s="2"/>
      <c r="GX512" s="2"/>
      <c r="GY512" s="2"/>
      <c r="GZ512" s="2"/>
      <c r="HA512" s="2"/>
      <c r="HB512" s="2"/>
      <c r="HC512" s="2"/>
      <c r="HD512" s="2"/>
      <c r="HE512" s="2"/>
      <c r="HF512" s="2"/>
      <c r="HG512" s="2"/>
      <c r="HH512" s="2"/>
      <c r="HI512" s="2"/>
      <c r="HJ512" s="2"/>
      <c r="HK512" s="2"/>
      <c r="HL512" s="2"/>
      <c r="HM512" s="2"/>
      <c r="HN512" s="2"/>
      <c r="HO512" s="2"/>
      <c r="HP512" s="2"/>
      <c r="HQ512" s="2"/>
      <c r="HR512" s="2"/>
      <c r="HS512" s="2"/>
      <c r="HT512" s="2"/>
      <c r="HU512" s="2"/>
      <c r="HV512" s="2"/>
      <c r="HW512" s="2"/>
      <c r="HX512" s="2"/>
      <c r="HY512" s="2"/>
      <c r="HZ512" s="2"/>
      <c r="IA512" s="2"/>
      <c r="IB512" s="2"/>
      <c r="IC512" s="2"/>
    </row>
    <row r="513" spans="1:237" x14ac:dyDescent="0.2">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c r="AA513" s="2"/>
      <c r="AB513" s="2"/>
      <c r="AC513" s="2"/>
      <c r="AD513" s="2"/>
      <c r="AE513" s="2"/>
      <c r="AF513" s="2"/>
      <c r="AG513" s="2"/>
      <c r="AH513" s="2"/>
      <c r="AI513" s="2"/>
      <c r="AJ513" s="2"/>
      <c r="AK513" s="2"/>
      <c r="AL513" s="2"/>
      <c r="AM513" s="2"/>
      <c r="AN513" s="2"/>
      <c r="AO513" s="2"/>
      <c r="AP513" s="2"/>
      <c r="AQ513" s="2"/>
      <c r="AR513" s="2"/>
      <c r="AS513" s="2"/>
      <c r="AT513" s="2"/>
      <c r="AU513" s="2"/>
      <c r="AV513" s="2"/>
      <c r="AW513" s="2"/>
      <c r="AX513" s="2"/>
      <c r="AY513" s="2"/>
      <c r="AZ513" s="2"/>
      <c r="BA513" s="2"/>
      <c r="BB513" s="2"/>
      <c r="BC513" s="2"/>
      <c r="BD513" s="2"/>
      <c r="BE513" s="2"/>
      <c r="BF513" s="2"/>
      <c r="BG513" s="2"/>
      <c r="BH513" s="2"/>
      <c r="BI513" s="2"/>
      <c r="BJ513" s="2"/>
      <c r="BK513" s="2"/>
      <c r="BL513" s="2"/>
      <c r="BM513" s="2"/>
      <c r="BN513" s="2"/>
      <c r="BO513" s="2"/>
      <c r="BP513" s="2"/>
      <c r="BQ513" s="2"/>
      <c r="BR513" s="2"/>
      <c r="BS513" s="2"/>
      <c r="BT513" s="2"/>
      <c r="BU513" s="2"/>
      <c r="BV513" s="2"/>
      <c r="BW513" s="2"/>
      <c r="BX513" s="2"/>
      <c r="BY513" s="2"/>
      <c r="BZ513" s="2"/>
      <c r="CA513" s="2"/>
      <c r="CB513" s="2"/>
      <c r="CC513" s="2"/>
      <c r="CD513" s="2"/>
      <c r="CE513" s="2"/>
      <c r="CF513" s="2"/>
      <c r="CG513" s="2"/>
      <c r="CH513" s="2"/>
      <c r="CI513" s="2"/>
      <c r="CJ513" s="2"/>
      <c r="CK513" s="2"/>
      <c r="CL513" s="2"/>
      <c r="CM513" s="2"/>
      <c r="CN513" s="2"/>
      <c r="CO513" s="2"/>
      <c r="CP513" s="2"/>
      <c r="CQ513" s="2"/>
      <c r="CR513" s="2"/>
      <c r="CS513" s="2"/>
      <c r="CT513" s="2"/>
      <c r="CU513" s="2"/>
      <c r="CV513" s="2"/>
      <c r="CW513" s="2"/>
      <c r="CX513" s="2"/>
      <c r="CY513" s="2"/>
      <c r="CZ513" s="2"/>
      <c r="DA513" s="2"/>
      <c r="DB513" s="2"/>
      <c r="DC513" s="2"/>
      <c r="DD513" s="2"/>
      <c r="DE513" s="2"/>
      <c r="DF513" s="2"/>
      <c r="DG513" s="2"/>
      <c r="DH513" s="2"/>
      <c r="DI513" s="2"/>
      <c r="DJ513" s="2"/>
      <c r="DK513" s="2"/>
      <c r="DL513" s="2"/>
      <c r="DM513" s="2"/>
      <c r="DN513" s="2"/>
      <c r="DO513" s="2"/>
      <c r="DP513" s="2"/>
      <c r="DQ513" s="2"/>
      <c r="DR513" s="2"/>
      <c r="DS513" s="2"/>
      <c r="DT513" s="2"/>
      <c r="DU513" s="2"/>
      <c r="DV513" s="2"/>
      <c r="DW513" s="2"/>
      <c r="DX513" s="2"/>
      <c r="DY513" s="2"/>
      <c r="DZ513" s="2"/>
      <c r="EA513" s="2"/>
      <c r="EB513" s="2"/>
      <c r="EC513" s="2"/>
      <c r="ED513" s="2"/>
      <c r="EE513" s="2"/>
      <c r="EF513" s="2"/>
      <c r="EG513" s="2"/>
      <c r="EH513" s="2"/>
      <c r="EI513" s="2"/>
      <c r="EJ513" s="2"/>
      <c r="EK513" s="2"/>
      <c r="EL513" s="2"/>
      <c r="EM513" s="2"/>
      <c r="EN513" s="2"/>
      <c r="EO513" s="2"/>
      <c r="EP513" s="2"/>
      <c r="EQ513" s="2"/>
      <c r="ER513" s="2"/>
      <c r="ES513" s="2"/>
      <c r="ET513" s="2"/>
      <c r="EU513" s="2"/>
      <c r="EV513" s="2"/>
      <c r="EW513" s="2"/>
      <c r="EX513" s="2"/>
      <c r="EY513" s="2"/>
      <c r="EZ513" s="2"/>
      <c r="FA513" s="2"/>
      <c r="FB513" s="2"/>
      <c r="FC513" s="2"/>
      <c r="FD513" s="2"/>
      <c r="FE513" s="2"/>
      <c r="FF513" s="2"/>
      <c r="FG513" s="2"/>
      <c r="FH513" s="2"/>
      <c r="FI513" s="2"/>
      <c r="FJ513" s="2"/>
      <c r="FK513" s="2"/>
      <c r="FL513" s="2"/>
      <c r="FM513" s="2"/>
      <c r="FN513" s="2"/>
      <c r="FO513" s="2"/>
      <c r="FP513" s="2"/>
      <c r="FQ513" s="2"/>
      <c r="FR513" s="2"/>
      <c r="FS513" s="2"/>
      <c r="FT513" s="2"/>
      <c r="FU513" s="2"/>
      <c r="FV513" s="2"/>
      <c r="FW513" s="2"/>
      <c r="FX513" s="2"/>
      <c r="FY513" s="2"/>
      <c r="FZ513" s="2"/>
      <c r="GA513" s="2"/>
      <c r="GB513" s="2"/>
      <c r="GC513" s="2"/>
      <c r="GD513" s="2"/>
      <c r="GE513" s="2"/>
      <c r="GF513" s="2"/>
      <c r="GG513" s="2"/>
      <c r="GH513" s="2"/>
      <c r="GI513" s="2"/>
      <c r="GJ513" s="2"/>
      <c r="GK513" s="2"/>
      <c r="GL513" s="2"/>
      <c r="GM513" s="2"/>
      <c r="GN513" s="2"/>
      <c r="GO513" s="2"/>
      <c r="GP513" s="2"/>
      <c r="GQ513" s="2"/>
      <c r="GR513" s="2"/>
      <c r="GS513" s="2"/>
      <c r="GT513" s="2"/>
      <c r="GU513" s="2"/>
      <c r="GV513" s="2"/>
      <c r="GW513" s="2"/>
      <c r="GX513" s="2"/>
      <c r="GY513" s="2"/>
      <c r="GZ513" s="2"/>
      <c r="HA513" s="2"/>
      <c r="HB513" s="2"/>
      <c r="HC513" s="2"/>
      <c r="HD513" s="2"/>
      <c r="HE513" s="2"/>
      <c r="HF513" s="2"/>
      <c r="HG513" s="2"/>
      <c r="HH513" s="2"/>
      <c r="HI513" s="2"/>
      <c r="HJ513" s="2"/>
      <c r="HK513" s="2"/>
      <c r="HL513" s="2"/>
      <c r="HM513" s="2"/>
      <c r="HN513" s="2"/>
      <c r="HO513" s="2"/>
      <c r="HP513" s="2"/>
      <c r="HQ513" s="2"/>
      <c r="HR513" s="2"/>
      <c r="HS513" s="2"/>
      <c r="HT513" s="2"/>
      <c r="HU513" s="2"/>
      <c r="HV513" s="2"/>
      <c r="HW513" s="2"/>
      <c r="HX513" s="2"/>
      <c r="HY513" s="2"/>
      <c r="HZ513" s="2"/>
      <c r="IA513" s="2"/>
      <c r="IB513" s="2"/>
      <c r="IC513" s="2"/>
    </row>
    <row r="514" spans="1:237" x14ac:dyDescent="0.2">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c r="AA514" s="2"/>
      <c r="AB514" s="2"/>
      <c r="AC514" s="2"/>
      <c r="AD514" s="2"/>
      <c r="AE514" s="2"/>
      <c r="AF514" s="2"/>
      <c r="AG514" s="2"/>
      <c r="AH514" s="2"/>
      <c r="AI514" s="2"/>
      <c r="AJ514" s="2"/>
      <c r="AK514" s="2"/>
      <c r="AL514" s="2"/>
      <c r="AM514" s="2"/>
      <c r="AN514" s="2"/>
      <c r="AO514" s="2"/>
      <c r="AP514" s="2"/>
      <c r="AQ514" s="2"/>
      <c r="AR514" s="2"/>
      <c r="AS514" s="2"/>
      <c r="AT514" s="2"/>
      <c r="AU514" s="2"/>
      <c r="AV514" s="2"/>
      <c r="AW514" s="2"/>
      <c r="AX514" s="2"/>
      <c r="AY514" s="2"/>
      <c r="AZ514" s="2"/>
      <c r="BA514" s="2"/>
      <c r="BB514" s="2"/>
      <c r="BC514" s="2"/>
      <c r="BD514" s="2"/>
      <c r="BE514" s="2"/>
      <c r="BF514" s="2"/>
      <c r="BG514" s="2"/>
      <c r="BH514" s="2"/>
      <c r="BI514" s="2"/>
      <c r="BJ514" s="2"/>
      <c r="BK514" s="2"/>
      <c r="BL514" s="2"/>
      <c r="BM514" s="2"/>
      <c r="BN514" s="2"/>
      <c r="BO514" s="2"/>
      <c r="BP514" s="2"/>
      <c r="BQ514" s="2"/>
      <c r="BR514" s="2"/>
      <c r="BS514" s="2"/>
      <c r="BT514" s="2"/>
      <c r="BU514" s="2"/>
      <c r="BV514" s="2"/>
      <c r="BW514" s="2"/>
      <c r="BX514" s="2"/>
      <c r="BY514" s="2"/>
      <c r="BZ514" s="2"/>
      <c r="CA514" s="2"/>
      <c r="CB514" s="2"/>
      <c r="CC514" s="2"/>
      <c r="CD514" s="2"/>
      <c r="CE514" s="2"/>
      <c r="CF514" s="2"/>
      <c r="CG514" s="2"/>
      <c r="CH514" s="2"/>
      <c r="CI514" s="2"/>
      <c r="CJ514" s="2"/>
      <c r="CK514" s="2"/>
      <c r="CL514" s="2"/>
      <c r="CM514" s="2"/>
      <c r="CN514" s="2"/>
      <c r="CO514" s="2"/>
      <c r="CP514" s="2"/>
      <c r="CQ514" s="2"/>
      <c r="CR514" s="2"/>
      <c r="CS514" s="2"/>
      <c r="CT514" s="2"/>
      <c r="CU514" s="2"/>
      <c r="CV514" s="2"/>
      <c r="CW514" s="2"/>
      <c r="CX514" s="2"/>
      <c r="CY514" s="2"/>
      <c r="CZ514" s="2"/>
      <c r="DA514" s="2"/>
      <c r="DB514" s="2"/>
      <c r="DC514" s="2"/>
      <c r="DD514" s="2"/>
      <c r="DE514" s="2"/>
      <c r="DF514" s="2"/>
      <c r="DG514" s="2"/>
      <c r="DH514" s="2"/>
      <c r="DI514" s="2"/>
      <c r="DJ514" s="2"/>
      <c r="DK514" s="2"/>
      <c r="DL514" s="2"/>
      <c r="DM514" s="2"/>
      <c r="DN514" s="2"/>
      <c r="DO514" s="2"/>
      <c r="DP514" s="2"/>
      <c r="DQ514" s="2"/>
      <c r="DR514" s="2"/>
      <c r="DS514" s="2"/>
      <c r="DT514" s="2"/>
      <c r="DU514" s="2"/>
      <c r="DV514" s="2"/>
      <c r="DW514" s="2"/>
      <c r="DX514" s="2"/>
      <c r="DY514" s="2"/>
      <c r="DZ514" s="2"/>
      <c r="EA514" s="2"/>
      <c r="EB514" s="2"/>
      <c r="EC514" s="2"/>
      <c r="ED514" s="2"/>
      <c r="EE514" s="2"/>
      <c r="EF514" s="2"/>
      <c r="EG514" s="2"/>
      <c r="EH514" s="2"/>
      <c r="EI514" s="2"/>
      <c r="EJ514" s="2"/>
      <c r="EK514" s="2"/>
      <c r="EL514" s="2"/>
      <c r="EM514" s="2"/>
      <c r="EN514" s="2"/>
      <c r="EO514" s="2"/>
      <c r="EP514" s="2"/>
      <c r="EQ514" s="2"/>
      <c r="ER514" s="2"/>
      <c r="ES514" s="2"/>
      <c r="ET514" s="2"/>
      <c r="EU514" s="2"/>
      <c r="EV514" s="2"/>
      <c r="EW514" s="2"/>
      <c r="EX514" s="2"/>
      <c r="EY514" s="2"/>
      <c r="EZ514" s="2"/>
      <c r="FA514" s="2"/>
      <c r="FB514" s="2"/>
      <c r="FC514" s="2"/>
      <c r="FD514" s="2"/>
      <c r="FE514" s="2"/>
      <c r="FF514" s="2"/>
      <c r="FG514" s="2"/>
      <c r="FH514" s="2"/>
      <c r="FI514" s="2"/>
      <c r="FJ514" s="2"/>
      <c r="FK514" s="2"/>
      <c r="FL514" s="2"/>
      <c r="FM514" s="2"/>
      <c r="FN514" s="2"/>
      <c r="FO514" s="2"/>
      <c r="FP514" s="2"/>
      <c r="FQ514" s="2"/>
      <c r="FR514" s="2"/>
      <c r="FS514" s="2"/>
      <c r="FT514" s="2"/>
      <c r="FU514" s="2"/>
      <c r="FV514" s="2"/>
      <c r="FW514" s="2"/>
      <c r="FX514" s="2"/>
      <c r="FY514" s="2"/>
      <c r="FZ514" s="2"/>
      <c r="GA514" s="2"/>
      <c r="GB514" s="2"/>
      <c r="GC514" s="2"/>
      <c r="GD514" s="2"/>
      <c r="GE514" s="2"/>
      <c r="GF514" s="2"/>
      <c r="GG514" s="2"/>
      <c r="GH514" s="2"/>
      <c r="GI514" s="2"/>
      <c r="GJ514" s="2"/>
      <c r="GK514" s="2"/>
      <c r="GL514" s="2"/>
      <c r="GM514" s="2"/>
      <c r="GN514" s="2"/>
      <c r="GO514" s="2"/>
      <c r="GP514" s="2"/>
      <c r="GQ514" s="2"/>
      <c r="GR514" s="2"/>
      <c r="GS514" s="2"/>
      <c r="GT514" s="2"/>
      <c r="GU514" s="2"/>
      <c r="GV514" s="2"/>
      <c r="GW514" s="2"/>
      <c r="GX514" s="2"/>
      <c r="GY514" s="2"/>
      <c r="GZ514" s="2"/>
      <c r="HA514" s="2"/>
      <c r="HB514" s="2"/>
      <c r="HC514" s="2"/>
      <c r="HD514" s="2"/>
      <c r="HE514" s="2"/>
      <c r="HF514" s="2"/>
      <c r="HG514" s="2"/>
      <c r="HH514" s="2"/>
      <c r="HI514" s="2"/>
      <c r="HJ514" s="2"/>
      <c r="HK514" s="2"/>
      <c r="HL514" s="2"/>
      <c r="HM514" s="2"/>
      <c r="HN514" s="2"/>
      <c r="HO514" s="2"/>
      <c r="HP514" s="2"/>
      <c r="HQ514" s="2"/>
      <c r="HR514" s="2"/>
      <c r="HS514" s="2"/>
      <c r="HT514" s="2"/>
      <c r="HU514" s="2"/>
      <c r="HV514" s="2"/>
      <c r="HW514" s="2"/>
      <c r="HX514" s="2"/>
      <c r="HY514" s="2"/>
      <c r="HZ514" s="2"/>
      <c r="IA514" s="2"/>
      <c r="IB514" s="2"/>
      <c r="IC514" s="2"/>
    </row>
    <row r="515" spans="1:237" x14ac:dyDescent="0.2">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c r="AA515" s="2"/>
      <c r="AB515" s="2"/>
      <c r="AC515" s="2"/>
      <c r="AD515" s="2"/>
      <c r="AE515" s="2"/>
      <c r="AF515" s="2"/>
      <c r="AG515" s="2"/>
      <c r="AH515" s="2"/>
      <c r="AI515" s="2"/>
      <c r="AJ515" s="2"/>
      <c r="AK515" s="2"/>
      <c r="AL515" s="2"/>
      <c r="AM515" s="2"/>
      <c r="AN515" s="2"/>
      <c r="AO515" s="2"/>
      <c r="AP515" s="2"/>
      <c r="AQ515" s="2"/>
      <c r="AR515" s="2"/>
      <c r="AS515" s="2"/>
      <c r="AT515" s="2"/>
      <c r="AU515" s="2"/>
      <c r="AV515" s="2"/>
      <c r="AW515" s="2"/>
      <c r="AX515" s="2"/>
      <c r="AY515" s="2"/>
      <c r="AZ515" s="2"/>
      <c r="BA515" s="2"/>
      <c r="BB515" s="2"/>
      <c r="BC515" s="2"/>
      <c r="BD515" s="2"/>
      <c r="BE515" s="2"/>
      <c r="BF515" s="2"/>
      <c r="BG515" s="2"/>
      <c r="BH515" s="2"/>
      <c r="BI515" s="2"/>
      <c r="BJ515" s="2"/>
      <c r="BK515" s="2"/>
      <c r="BL515" s="2"/>
      <c r="BM515" s="2"/>
      <c r="BN515" s="2"/>
      <c r="BO515" s="2"/>
      <c r="BP515" s="2"/>
      <c r="BQ515" s="2"/>
      <c r="BR515" s="2"/>
      <c r="BS515" s="2"/>
      <c r="BT515" s="2"/>
      <c r="BU515" s="2"/>
      <c r="BV515" s="2"/>
      <c r="BW515" s="2"/>
      <c r="BX515" s="2"/>
      <c r="BY515" s="2"/>
      <c r="BZ515" s="2"/>
      <c r="CA515" s="2"/>
      <c r="CB515" s="2"/>
      <c r="CC515" s="2"/>
      <c r="CD515" s="2"/>
      <c r="CE515" s="2"/>
      <c r="CF515" s="2"/>
      <c r="CG515" s="2"/>
      <c r="CH515" s="2"/>
      <c r="CI515" s="2"/>
      <c r="CJ515" s="2"/>
      <c r="CK515" s="2"/>
      <c r="CL515" s="2"/>
      <c r="CM515" s="2"/>
      <c r="CN515" s="2"/>
      <c r="CO515" s="2"/>
      <c r="CP515" s="2"/>
      <c r="CQ515" s="2"/>
      <c r="CR515" s="2"/>
      <c r="CS515" s="2"/>
      <c r="CT515" s="2"/>
      <c r="CU515" s="2"/>
      <c r="CV515" s="2"/>
      <c r="CW515" s="2"/>
      <c r="CX515" s="2"/>
      <c r="CY515" s="2"/>
      <c r="CZ515" s="2"/>
      <c r="DA515" s="2"/>
      <c r="DB515" s="2"/>
      <c r="DC515" s="2"/>
      <c r="DD515" s="2"/>
      <c r="DE515" s="2"/>
      <c r="DF515" s="2"/>
      <c r="DG515" s="2"/>
      <c r="DH515" s="2"/>
      <c r="DI515" s="2"/>
      <c r="DJ515" s="2"/>
      <c r="DK515" s="2"/>
      <c r="DL515" s="2"/>
      <c r="DM515" s="2"/>
      <c r="DN515" s="2"/>
      <c r="DO515" s="2"/>
      <c r="DP515" s="2"/>
      <c r="DQ515" s="2"/>
      <c r="DR515" s="2"/>
      <c r="DS515" s="2"/>
      <c r="DT515" s="2"/>
      <c r="DU515" s="2"/>
      <c r="DV515" s="2"/>
      <c r="DW515" s="2"/>
      <c r="DX515" s="2"/>
      <c r="DY515" s="2"/>
      <c r="DZ515" s="2"/>
      <c r="EA515" s="2"/>
      <c r="EB515" s="2"/>
      <c r="EC515" s="2"/>
      <c r="ED515" s="2"/>
      <c r="EE515" s="2"/>
      <c r="EF515" s="2"/>
      <c r="EG515" s="2"/>
      <c r="EH515" s="2"/>
      <c r="EI515" s="2"/>
      <c r="EJ515" s="2"/>
      <c r="EK515" s="2"/>
      <c r="EL515" s="2"/>
      <c r="EM515" s="2"/>
      <c r="EN515" s="2"/>
      <c r="EO515" s="2"/>
      <c r="EP515" s="2"/>
      <c r="EQ515" s="2"/>
      <c r="ER515" s="2"/>
      <c r="ES515" s="2"/>
      <c r="ET515" s="2"/>
      <c r="EU515" s="2"/>
      <c r="EV515" s="2"/>
      <c r="EW515" s="2"/>
      <c r="EX515" s="2"/>
      <c r="EY515" s="2"/>
      <c r="EZ515" s="2"/>
      <c r="FA515" s="2"/>
      <c r="FB515" s="2"/>
      <c r="FC515" s="2"/>
      <c r="FD515" s="2"/>
      <c r="FE515" s="2"/>
      <c r="FF515" s="2"/>
      <c r="FG515" s="2"/>
      <c r="FH515" s="2"/>
      <c r="FI515" s="2"/>
      <c r="FJ515" s="2"/>
      <c r="FK515" s="2"/>
      <c r="FL515" s="2"/>
      <c r="FM515" s="2"/>
      <c r="FN515" s="2"/>
      <c r="FO515" s="2"/>
      <c r="FP515" s="2"/>
      <c r="FQ515" s="2"/>
      <c r="FR515" s="2"/>
      <c r="FS515" s="2"/>
      <c r="FT515" s="2"/>
      <c r="FU515" s="2"/>
      <c r="FV515" s="2"/>
      <c r="FW515" s="2"/>
      <c r="FX515" s="2"/>
      <c r="FY515" s="2"/>
      <c r="FZ515" s="2"/>
      <c r="GA515" s="2"/>
      <c r="GB515" s="2"/>
      <c r="GC515" s="2"/>
      <c r="GD515" s="2"/>
      <c r="GE515" s="2"/>
      <c r="GF515" s="2"/>
      <c r="GG515" s="2"/>
      <c r="GH515" s="2"/>
      <c r="GI515" s="2"/>
      <c r="GJ515" s="2"/>
      <c r="GK515" s="2"/>
      <c r="GL515" s="2"/>
      <c r="GM515" s="2"/>
      <c r="GN515" s="2"/>
      <c r="GO515" s="2"/>
      <c r="GP515" s="2"/>
      <c r="GQ515" s="2"/>
      <c r="GR515" s="2"/>
      <c r="GS515" s="2"/>
      <c r="GT515" s="2"/>
      <c r="GU515" s="2"/>
      <c r="GV515" s="2"/>
      <c r="GW515" s="2"/>
      <c r="GX515" s="2"/>
      <c r="GY515" s="2"/>
      <c r="GZ515" s="2"/>
      <c r="HA515" s="2"/>
      <c r="HB515" s="2"/>
      <c r="HC515" s="2"/>
      <c r="HD515" s="2"/>
      <c r="HE515" s="2"/>
      <c r="HF515" s="2"/>
      <c r="HG515" s="2"/>
      <c r="HH515" s="2"/>
      <c r="HI515" s="2"/>
      <c r="HJ515" s="2"/>
      <c r="HK515" s="2"/>
      <c r="HL515" s="2"/>
      <c r="HM515" s="2"/>
      <c r="HN515" s="2"/>
      <c r="HO515" s="2"/>
      <c r="HP515" s="2"/>
      <c r="HQ515" s="2"/>
      <c r="HR515" s="2"/>
      <c r="HS515" s="2"/>
      <c r="HT515" s="2"/>
      <c r="HU515" s="2"/>
      <c r="HV515" s="2"/>
      <c r="HW515" s="2"/>
      <c r="HX515" s="2"/>
      <c r="HY515" s="2"/>
      <c r="HZ515" s="2"/>
      <c r="IA515" s="2"/>
      <c r="IB515" s="2"/>
      <c r="IC515" s="2"/>
    </row>
    <row r="516" spans="1:237" x14ac:dyDescent="0.2">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c r="AA516" s="2"/>
      <c r="AB516" s="2"/>
      <c r="AC516" s="2"/>
      <c r="AD516" s="2"/>
      <c r="AE516" s="2"/>
      <c r="AF516" s="2"/>
      <c r="AG516" s="2"/>
      <c r="AH516" s="2"/>
      <c r="AI516" s="2"/>
      <c r="AJ516" s="2"/>
      <c r="AK516" s="2"/>
      <c r="AL516" s="2"/>
      <c r="AM516" s="2"/>
      <c r="AN516" s="2"/>
      <c r="AO516" s="2"/>
      <c r="AP516" s="2"/>
      <c r="AQ516" s="2"/>
      <c r="AR516" s="2"/>
      <c r="AS516" s="2"/>
      <c r="AT516" s="2"/>
      <c r="AU516" s="2"/>
      <c r="AV516" s="2"/>
      <c r="AW516" s="2"/>
      <c r="AX516" s="2"/>
      <c r="AY516" s="2"/>
      <c r="AZ516" s="2"/>
      <c r="BA516" s="2"/>
      <c r="BB516" s="2"/>
      <c r="BC516" s="2"/>
      <c r="BD516" s="2"/>
      <c r="BE516" s="2"/>
      <c r="BF516" s="2"/>
      <c r="BG516" s="2"/>
      <c r="BH516" s="2"/>
      <c r="BI516" s="2"/>
      <c r="BJ516" s="2"/>
      <c r="BK516" s="2"/>
      <c r="BL516" s="2"/>
      <c r="BM516" s="2"/>
      <c r="BN516" s="2"/>
      <c r="BO516" s="2"/>
      <c r="BP516" s="2"/>
      <c r="BQ516" s="2"/>
      <c r="BR516" s="2"/>
      <c r="BS516" s="2"/>
      <c r="BT516" s="2"/>
      <c r="BU516" s="2"/>
      <c r="BV516" s="2"/>
      <c r="BW516" s="2"/>
      <c r="BX516" s="2"/>
      <c r="BY516" s="2"/>
      <c r="BZ516" s="2"/>
      <c r="CA516" s="2"/>
      <c r="CB516" s="2"/>
      <c r="CC516" s="2"/>
      <c r="CD516" s="2"/>
      <c r="CE516" s="2"/>
      <c r="CF516" s="2"/>
      <c r="CG516" s="2"/>
      <c r="CH516" s="2"/>
      <c r="CI516" s="2"/>
      <c r="CJ516" s="2"/>
      <c r="CK516" s="2"/>
      <c r="CL516" s="2"/>
      <c r="CM516" s="2"/>
      <c r="CN516" s="2"/>
      <c r="CO516" s="2"/>
      <c r="CP516" s="2"/>
      <c r="CQ516" s="2"/>
      <c r="CR516" s="2"/>
      <c r="CS516" s="2"/>
      <c r="CT516" s="2"/>
      <c r="CU516" s="2"/>
      <c r="CV516" s="2"/>
      <c r="CW516" s="2"/>
      <c r="CX516" s="2"/>
      <c r="CY516" s="2"/>
      <c r="CZ516" s="2"/>
      <c r="DA516" s="2"/>
      <c r="DB516" s="2"/>
      <c r="DC516" s="2"/>
      <c r="DD516" s="2"/>
      <c r="DE516" s="2"/>
      <c r="DF516" s="2"/>
      <c r="DG516" s="2"/>
      <c r="DH516" s="2"/>
      <c r="DI516" s="2"/>
      <c r="DJ516" s="2"/>
      <c r="DK516" s="2"/>
      <c r="DL516" s="2"/>
      <c r="DM516" s="2"/>
      <c r="DN516" s="2"/>
      <c r="DO516" s="2"/>
      <c r="DP516" s="2"/>
      <c r="DQ516" s="2"/>
      <c r="DR516" s="2"/>
      <c r="DS516" s="2"/>
      <c r="DT516" s="2"/>
      <c r="DU516" s="2"/>
      <c r="DV516" s="2"/>
      <c r="DW516" s="2"/>
      <c r="DX516" s="2"/>
      <c r="DY516" s="2"/>
      <c r="DZ516" s="2"/>
      <c r="EA516" s="2"/>
      <c r="EB516" s="2"/>
      <c r="EC516" s="2"/>
      <c r="ED516" s="2"/>
      <c r="EE516" s="2"/>
      <c r="EF516" s="2"/>
      <c r="EG516" s="2"/>
      <c r="EH516" s="2"/>
      <c r="EI516" s="2"/>
      <c r="EJ516" s="2"/>
      <c r="EK516" s="2"/>
      <c r="EL516" s="2"/>
      <c r="EM516" s="2"/>
      <c r="EN516" s="2"/>
      <c r="EO516" s="2"/>
      <c r="EP516" s="2"/>
      <c r="EQ516" s="2"/>
      <c r="ER516" s="2"/>
      <c r="ES516" s="2"/>
      <c r="ET516" s="2"/>
      <c r="EU516" s="2"/>
      <c r="EV516" s="2"/>
      <c r="EW516" s="2"/>
      <c r="EX516" s="2"/>
      <c r="EY516" s="2"/>
      <c r="EZ516" s="2"/>
      <c r="FA516" s="2"/>
      <c r="FB516" s="2"/>
      <c r="FC516" s="2"/>
      <c r="FD516" s="2"/>
      <c r="FE516" s="2"/>
      <c r="FF516" s="2"/>
      <c r="FG516" s="2"/>
      <c r="FH516" s="2"/>
      <c r="FI516" s="2"/>
      <c r="FJ516" s="2"/>
      <c r="FK516" s="2"/>
      <c r="FL516" s="2"/>
      <c r="FM516" s="2"/>
      <c r="FN516" s="2"/>
      <c r="FO516" s="2"/>
      <c r="FP516" s="2"/>
      <c r="FQ516" s="2"/>
      <c r="FR516" s="2"/>
      <c r="FS516" s="2"/>
      <c r="FT516" s="2"/>
      <c r="FU516" s="2"/>
      <c r="FV516" s="2"/>
      <c r="FW516" s="2"/>
      <c r="FX516" s="2"/>
      <c r="FY516" s="2"/>
      <c r="FZ516" s="2"/>
      <c r="GA516" s="2"/>
      <c r="GB516" s="2"/>
      <c r="GC516" s="2"/>
      <c r="GD516" s="2"/>
      <c r="GE516" s="2"/>
      <c r="GF516" s="2"/>
      <c r="GG516" s="2"/>
      <c r="GH516" s="2"/>
      <c r="GI516" s="2"/>
      <c r="GJ516" s="2"/>
      <c r="GK516" s="2"/>
      <c r="GL516" s="2"/>
      <c r="GM516" s="2"/>
      <c r="GN516" s="2"/>
      <c r="GO516" s="2"/>
      <c r="GP516" s="2"/>
      <c r="GQ516" s="2"/>
      <c r="GR516" s="2"/>
      <c r="GS516" s="2"/>
      <c r="GT516" s="2"/>
      <c r="GU516" s="2"/>
      <c r="GV516" s="2"/>
      <c r="GW516" s="2"/>
      <c r="GX516" s="2"/>
      <c r="GY516" s="2"/>
      <c r="GZ516" s="2"/>
      <c r="HA516" s="2"/>
      <c r="HB516" s="2"/>
      <c r="HC516" s="2"/>
      <c r="HD516" s="2"/>
      <c r="HE516" s="2"/>
      <c r="HF516" s="2"/>
      <c r="HG516" s="2"/>
      <c r="HH516" s="2"/>
      <c r="HI516" s="2"/>
      <c r="HJ516" s="2"/>
      <c r="HK516" s="2"/>
      <c r="HL516" s="2"/>
      <c r="HM516" s="2"/>
      <c r="HN516" s="2"/>
      <c r="HO516" s="2"/>
      <c r="HP516" s="2"/>
      <c r="HQ516" s="2"/>
      <c r="HR516" s="2"/>
      <c r="HS516" s="2"/>
      <c r="HT516" s="2"/>
      <c r="HU516" s="2"/>
      <c r="HV516" s="2"/>
      <c r="HW516" s="2"/>
      <c r="HX516" s="2"/>
      <c r="HY516" s="2"/>
      <c r="HZ516" s="2"/>
      <c r="IA516" s="2"/>
      <c r="IB516" s="2"/>
      <c r="IC516" s="2"/>
    </row>
    <row r="517" spans="1:237" x14ac:dyDescent="0.2">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c r="AA517" s="2"/>
      <c r="AB517" s="2"/>
      <c r="AC517" s="2"/>
      <c r="AD517" s="2"/>
      <c r="AE517" s="2"/>
      <c r="AF517" s="2"/>
      <c r="AG517" s="2"/>
      <c r="AH517" s="2"/>
      <c r="AI517" s="2"/>
      <c r="AJ517" s="2"/>
      <c r="AK517" s="2"/>
      <c r="AL517" s="2"/>
      <c r="AM517" s="2"/>
      <c r="AN517" s="2"/>
      <c r="AO517" s="2"/>
      <c r="AP517" s="2"/>
      <c r="AQ517" s="2"/>
      <c r="AR517" s="2"/>
      <c r="AS517" s="2"/>
      <c r="AT517" s="2"/>
      <c r="AU517" s="2"/>
      <c r="AV517" s="2"/>
      <c r="AW517" s="2"/>
      <c r="AX517" s="2"/>
      <c r="AY517" s="2"/>
      <c r="AZ517" s="2"/>
      <c r="BA517" s="2"/>
      <c r="BB517" s="2"/>
      <c r="BC517" s="2"/>
      <c r="BD517" s="2"/>
      <c r="BE517" s="2"/>
      <c r="BF517" s="2"/>
      <c r="BG517" s="2"/>
      <c r="BH517" s="2"/>
      <c r="BI517" s="2"/>
      <c r="BJ517" s="2"/>
      <c r="BK517" s="2"/>
      <c r="BL517" s="2"/>
      <c r="BM517" s="2"/>
      <c r="BN517" s="2"/>
      <c r="BO517" s="2"/>
      <c r="BP517" s="2"/>
      <c r="BQ517" s="2"/>
      <c r="BR517" s="2"/>
      <c r="BS517" s="2"/>
      <c r="BT517" s="2"/>
      <c r="BU517" s="2"/>
      <c r="BV517" s="2"/>
      <c r="BW517" s="2"/>
      <c r="BX517" s="2"/>
      <c r="BY517" s="2"/>
      <c r="BZ517" s="2"/>
      <c r="CA517" s="2"/>
      <c r="CB517" s="2"/>
      <c r="CC517" s="2"/>
      <c r="CD517" s="2"/>
      <c r="CE517" s="2"/>
      <c r="CF517" s="2"/>
      <c r="CG517" s="2"/>
      <c r="CH517" s="2"/>
      <c r="CI517" s="2"/>
      <c r="CJ517" s="2"/>
      <c r="CK517" s="2"/>
      <c r="CL517" s="2"/>
      <c r="CM517" s="2"/>
      <c r="CN517" s="2"/>
      <c r="CO517" s="2"/>
      <c r="CP517" s="2"/>
      <c r="CQ517" s="2"/>
      <c r="CR517" s="2"/>
      <c r="CS517" s="2"/>
      <c r="CT517" s="2"/>
      <c r="CU517" s="2"/>
      <c r="CV517" s="2"/>
      <c r="CW517" s="2"/>
      <c r="CX517" s="2"/>
      <c r="CY517" s="2"/>
      <c r="CZ517" s="2"/>
      <c r="DA517" s="2"/>
      <c r="DB517" s="2"/>
      <c r="DC517" s="2"/>
      <c r="DD517" s="2"/>
      <c r="DE517" s="2"/>
      <c r="DF517" s="2"/>
      <c r="DG517" s="2"/>
      <c r="DH517" s="2"/>
      <c r="DI517" s="2"/>
      <c r="DJ517" s="2"/>
      <c r="DK517" s="2"/>
      <c r="DL517" s="2"/>
      <c r="DM517" s="2"/>
      <c r="DN517" s="2"/>
      <c r="DO517" s="2"/>
      <c r="DP517" s="2"/>
      <c r="DQ517" s="2"/>
      <c r="DR517" s="2"/>
      <c r="DS517" s="2"/>
      <c r="DT517" s="2"/>
      <c r="DU517" s="2"/>
      <c r="DV517" s="2"/>
      <c r="DW517" s="2"/>
      <c r="DX517" s="2"/>
      <c r="DY517" s="2"/>
      <c r="DZ517" s="2"/>
      <c r="EA517" s="2"/>
      <c r="EB517" s="2"/>
      <c r="EC517" s="2"/>
      <c r="ED517" s="2"/>
      <c r="EE517" s="2"/>
      <c r="EF517" s="2"/>
      <c r="EG517" s="2"/>
      <c r="EH517" s="2"/>
      <c r="EI517" s="2"/>
      <c r="EJ517" s="2"/>
      <c r="EK517" s="2"/>
      <c r="EL517" s="2"/>
      <c r="EM517" s="2"/>
      <c r="EN517" s="2"/>
      <c r="EO517" s="2"/>
      <c r="EP517" s="2"/>
      <c r="EQ517" s="2"/>
      <c r="ER517" s="2"/>
      <c r="ES517" s="2"/>
      <c r="ET517" s="2"/>
      <c r="EU517" s="2"/>
      <c r="EV517" s="2"/>
      <c r="EW517" s="2"/>
      <c r="EX517" s="2"/>
      <c r="EY517" s="2"/>
      <c r="EZ517" s="2"/>
      <c r="FA517" s="2"/>
      <c r="FB517" s="2"/>
      <c r="FC517" s="2"/>
      <c r="FD517" s="2"/>
      <c r="FE517" s="2"/>
      <c r="FF517" s="2"/>
      <c r="FG517" s="2"/>
      <c r="FH517" s="2"/>
      <c r="FI517" s="2"/>
      <c r="FJ517" s="2"/>
      <c r="FK517" s="2"/>
      <c r="FL517" s="2"/>
      <c r="FM517" s="2"/>
      <c r="FN517" s="2"/>
      <c r="FO517" s="2"/>
      <c r="FP517" s="2"/>
      <c r="FQ517" s="2"/>
      <c r="FR517" s="2"/>
      <c r="FS517" s="2"/>
      <c r="FT517" s="2"/>
      <c r="FU517" s="2"/>
      <c r="FV517" s="2"/>
      <c r="FW517" s="2"/>
      <c r="FX517" s="2"/>
      <c r="FY517" s="2"/>
      <c r="FZ517" s="2"/>
      <c r="GA517" s="2"/>
      <c r="GB517" s="2"/>
      <c r="GC517" s="2"/>
      <c r="GD517" s="2"/>
      <c r="GE517" s="2"/>
      <c r="GF517" s="2"/>
      <c r="GG517" s="2"/>
      <c r="GH517" s="2"/>
      <c r="GI517" s="2"/>
      <c r="GJ517" s="2"/>
      <c r="GK517" s="2"/>
      <c r="GL517" s="2"/>
      <c r="GM517" s="2"/>
      <c r="GN517" s="2"/>
      <c r="GO517" s="2"/>
      <c r="GP517" s="2"/>
      <c r="GQ517" s="2"/>
      <c r="GR517" s="2"/>
      <c r="GS517" s="2"/>
      <c r="GT517" s="2"/>
      <c r="GU517" s="2"/>
      <c r="GV517" s="2"/>
      <c r="GW517" s="2"/>
      <c r="GX517" s="2"/>
      <c r="GY517" s="2"/>
      <c r="GZ517" s="2"/>
      <c r="HA517" s="2"/>
      <c r="HB517" s="2"/>
      <c r="HC517" s="2"/>
      <c r="HD517" s="2"/>
      <c r="HE517" s="2"/>
      <c r="HF517" s="2"/>
      <c r="HG517" s="2"/>
      <c r="HH517" s="2"/>
      <c r="HI517" s="2"/>
      <c r="HJ517" s="2"/>
      <c r="HK517" s="2"/>
      <c r="HL517" s="2"/>
      <c r="HM517" s="2"/>
      <c r="HN517" s="2"/>
      <c r="HO517" s="2"/>
      <c r="HP517" s="2"/>
      <c r="HQ517" s="2"/>
      <c r="HR517" s="2"/>
      <c r="HS517" s="2"/>
      <c r="HT517" s="2"/>
      <c r="HU517" s="2"/>
      <c r="HV517" s="2"/>
      <c r="HW517" s="2"/>
      <c r="HX517" s="2"/>
      <c r="HY517" s="2"/>
      <c r="HZ517" s="2"/>
      <c r="IA517" s="2"/>
      <c r="IB517" s="2"/>
      <c r="IC517" s="2"/>
    </row>
    <row r="518" spans="1:237" x14ac:dyDescent="0.2">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c r="AA518" s="2"/>
      <c r="AB518" s="2"/>
      <c r="AC518" s="2"/>
      <c r="AD518" s="2"/>
      <c r="AE518" s="2"/>
      <c r="AF518" s="2"/>
      <c r="AG518" s="2"/>
      <c r="AH518" s="2"/>
      <c r="AI518" s="2"/>
      <c r="AJ518" s="2"/>
      <c r="AK518" s="2"/>
      <c r="AL518" s="2"/>
      <c r="AM518" s="2"/>
      <c r="AN518" s="2"/>
      <c r="AO518" s="2"/>
      <c r="AP518" s="2"/>
      <c r="AQ518" s="2"/>
      <c r="AR518" s="2"/>
      <c r="AS518" s="2"/>
      <c r="AT518" s="2"/>
      <c r="AU518" s="2"/>
      <c r="AV518" s="2"/>
      <c r="AW518" s="2"/>
      <c r="AX518" s="2"/>
      <c r="AY518" s="2"/>
      <c r="AZ518" s="2"/>
      <c r="BA518" s="2"/>
      <c r="BB518" s="2"/>
      <c r="BC518" s="2"/>
      <c r="BD518" s="2"/>
      <c r="BE518" s="2"/>
      <c r="BF518" s="2"/>
      <c r="BG518" s="2"/>
      <c r="BH518" s="2"/>
      <c r="BI518" s="2"/>
      <c r="BJ518" s="2"/>
      <c r="BK518" s="2"/>
      <c r="BL518" s="2"/>
      <c r="BM518" s="2"/>
      <c r="BN518" s="2"/>
      <c r="BO518" s="2"/>
      <c r="BP518" s="2"/>
      <c r="BQ518" s="2"/>
      <c r="BR518" s="2"/>
      <c r="BS518" s="2"/>
      <c r="BT518" s="2"/>
      <c r="BU518" s="2"/>
      <c r="BV518" s="2"/>
      <c r="BW518" s="2"/>
      <c r="BX518" s="2"/>
      <c r="BY518" s="2"/>
      <c r="BZ518" s="2"/>
      <c r="CA518" s="2"/>
      <c r="CB518" s="2"/>
      <c r="CC518" s="2"/>
      <c r="CD518" s="2"/>
      <c r="CE518" s="2"/>
      <c r="CF518" s="2"/>
      <c r="CG518" s="2"/>
      <c r="CH518" s="2"/>
      <c r="CI518" s="2"/>
      <c r="CJ518" s="2"/>
      <c r="CK518" s="2"/>
      <c r="CL518" s="2"/>
      <c r="CM518" s="2"/>
      <c r="CN518" s="2"/>
      <c r="CO518" s="2"/>
      <c r="CP518" s="2"/>
      <c r="CQ518" s="2"/>
      <c r="CR518" s="2"/>
      <c r="CS518" s="2"/>
      <c r="CT518" s="2"/>
      <c r="CU518" s="2"/>
      <c r="CV518" s="2"/>
      <c r="CW518" s="2"/>
      <c r="CX518" s="2"/>
      <c r="CY518" s="2"/>
      <c r="CZ518" s="2"/>
      <c r="DA518" s="2"/>
      <c r="DB518" s="2"/>
      <c r="DC518" s="2"/>
      <c r="DD518" s="2"/>
      <c r="DE518" s="2"/>
      <c r="DF518" s="2"/>
      <c r="DG518" s="2"/>
      <c r="DH518" s="2"/>
      <c r="DI518" s="2"/>
      <c r="DJ518" s="2"/>
      <c r="DK518" s="2"/>
      <c r="DL518" s="2"/>
      <c r="DM518" s="2"/>
      <c r="DN518" s="2"/>
      <c r="DO518" s="2"/>
      <c r="DP518" s="2"/>
      <c r="DQ518" s="2"/>
      <c r="DR518" s="2"/>
      <c r="DS518" s="2"/>
      <c r="DT518" s="2"/>
      <c r="DU518" s="2"/>
      <c r="DV518" s="2"/>
      <c r="DW518" s="2"/>
      <c r="DX518" s="2"/>
      <c r="DY518" s="2"/>
      <c r="DZ518" s="2"/>
      <c r="EA518" s="2"/>
      <c r="EB518" s="2"/>
      <c r="EC518" s="2"/>
      <c r="ED518" s="2"/>
      <c r="EE518" s="2"/>
      <c r="EF518" s="2"/>
      <c r="EG518" s="2"/>
      <c r="EH518" s="2"/>
      <c r="EI518" s="2"/>
      <c r="EJ518" s="2"/>
      <c r="EK518" s="2"/>
      <c r="EL518" s="2"/>
      <c r="EM518" s="2"/>
      <c r="EN518" s="2"/>
      <c r="EO518" s="2"/>
      <c r="EP518" s="2"/>
      <c r="EQ518" s="2"/>
      <c r="ER518" s="2"/>
      <c r="ES518" s="2"/>
      <c r="ET518" s="2"/>
      <c r="EU518" s="2"/>
      <c r="EV518" s="2"/>
      <c r="EW518" s="2"/>
      <c r="EX518" s="2"/>
      <c r="EY518" s="2"/>
      <c r="EZ518" s="2"/>
      <c r="FA518" s="2"/>
      <c r="FB518" s="2"/>
      <c r="FC518" s="2"/>
      <c r="FD518" s="2"/>
      <c r="FE518" s="2"/>
      <c r="FF518" s="2"/>
      <c r="FG518" s="2"/>
      <c r="FH518" s="2"/>
      <c r="FI518" s="2"/>
      <c r="FJ518" s="2"/>
      <c r="FK518" s="2"/>
      <c r="FL518" s="2"/>
      <c r="FM518" s="2"/>
      <c r="FN518" s="2"/>
      <c r="FO518" s="2"/>
      <c r="FP518" s="2"/>
      <c r="FQ518" s="2"/>
      <c r="FR518" s="2"/>
      <c r="FS518" s="2"/>
      <c r="FT518" s="2"/>
      <c r="FU518" s="2"/>
      <c r="FV518" s="2"/>
      <c r="FW518" s="2"/>
      <c r="FX518" s="2"/>
      <c r="FY518" s="2"/>
      <c r="FZ518" s="2"/>
      <c r="GA518" s="2"/>
      <c r="GB518" s="2"/>
      <c r="GC518" s="2"/>
      <c r="GD518" s="2"/>
      <c r="GE518" s="2"/>
      <c r="GF518" s="2"/>
      <c r="GG518" s="2"/>
      <c r="GH518" s="2"/>
      <c r="GI518" s="2"/>
      <c r="GJ518" s="2"/>
      <c r="GK518" s="2"/>
      <c r="GL518" s="2"/>
      <c r="GM518" s="2"/>
      <c r="GN518" s="2"/>
      <c r="GO518" s="2"/>
      <c r="GP518" s="2"/>
      <c r="GQ518" s="2"/>
      <c r="GR518" s="2"/>
      <c r="GS518" s="2"/>
      <c r="GT518" s="2"/>
      <c r="GU518" s="2"/>
      <c r="GV518" s="2"/>
      <c r="GW518" s="2"/>
      <c r="GX518" s="2"/>
      <c r="GY518" s="2"/>
      <c r="GZ518" s="2"/>
      <c r="HA518" s="2"/>
      <c r="HB518" s="2"/>
      <c r="HC518" s="2"/>
      <c r="HD518" s="2"/>
      <c r="HE518" s="2"/>
      <c r="HF518" s="2"/>
      <c r="HG518" s="2"/>
      <c r="HH518" s="2"/>
      <c r="HI518" s="2"/>
      <c r="HJ518" s="2"/>
      <c r="HK518" s="2"/>
      <c r="HL518" s="2"/>
      <c r="HM518" s="2"/>
      <c r="HN518" s="2"/>
      <c r="HO518" s="2"/>
      <c r="HP518" s="2"/>
      <c r="HQ518" s="2"/>
      <c r="HR518" s="2"/>
      <c r="HS518" s="2"/>
      <c r="HT518" s="2"/>
      <c r="HU518" s="2"/>
      <c r="HV518" s="2"/>
      <c r="HW518" s="2"/>
      <c r="HX518" s="2"/>
      <c r="HY518" s="2"/>
      <c r="HZ518" s="2"/>
      <c r="IA518" s="2"/>
      <c r="IB518" s="2"/>
      <c r="IC518" s="2"/>
    </row>
    <row r="519" spans="1:237" x14ac:dyDescent="0.2">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c r="AA519" s="2"/>
      <c r="AB519" s="2"/>
      <c r="AC519" s="2"/>
      <c r="AD519" s="2"/>
      <c r="AE519" s="2"/>
      <c r="AF519" s="2"/>
      <c r="AG519" s="2"/>
      <c r="AH519" s="2"/>
      <c r="AI519" s="2"/>
      <c r="AJ519" s="2"/>
      <c r="AK519" s="2"/>
      <c r="AL519" s="2"/>
      <c r="AM519" s="2"/>
      <c r="AN519" s="2"/>
      <c r="AO519" s="2"/>
      <c r="AP519" s="2"/>
      <c r="AQ519" s="2"/>
      <c r="AR519" s="2"/>
      <c r="AS519" s="2"/>
      <c r="AT519" s="2"/>
      <c r="AU519" s="2"/>
      <c r="AV519" s="2"/>
      <c r="AW519" s="2"/>
      <c r="AX519" s="2"/>
      <c r="AY519" s="2"/>
      <c r="AZ519" s="2"/>
      <c r="BA519" s="2"/>
      <c r="BB519" s="2"/>
      <c r="BC519" s="2"/>
      <c r="BD519" s="2"/>
      <c r="BE519" s="2"/>
      <c r="BF519" s="2"/>
      <c r="BG519" s="2"/>
      <c r="BH519" s="2"/>
      <c r="BI519" s="2"/>
      <c r="BJ519" s="2"/>
      <c r="BK519" s="2"/>
      <c r="BL519" s="2"/>
      <c r="BM519" s="2"/>
      <c r="BN519" s="2"/>
      <c r="BO519" s="2"/>
      <c r="BP519" s="2"/>
      <c r="BQ519" s="2"/>
      <c r="BR519" s="2"/>
      <c r="BS519" s="2"/>
      <c r="BT519" s="2"/>
      <c r="BU519" s="2"/>
      <c r="BV519" s="2"/>
      <c r="BW519" s="2"/>
      <c r="BX519" s="2"/>
      <c r="BY519" s="2"/>
      <c r="BZ519" s="2"/>
      <c r="CA519" s="2"/>
      <c r="CB519" s="2"/>
      <c r="CC519" s="2"/>
      <c r="CD519" s="2"/>
      <c r="CE519" s="2"/>
      <c r="CF519" s="2"/>
      <c r="CG519" s="2"/>
      <c r="CH519" s="2"/>
      <c r="CI519" s="2"/>
      <c r="CJ519" s="2"/>
      <c r="CK519" s="2"/>
      <c r="CL519" s="2"/>
      <c r="CM519" s="2"/>
      <c r="CN519" s="2"/>
      <c r="CO519" s="2"/>
      <c r="CP519" s="2"/>
      <c r="CQ519" s="2"/>
      <c r="CR519" s="2"/>
      <c r="CS519" s="2"/>
      <c r="CT519" s="2"/>
      <c r="CU519" s="2"/>
      <c r="CV519" s="2"/>
      <c r="CW519" s="2"/>
      <c r="CX519" s="2"/>
      <c r="CY519" s="2"/>
      <c r="CZ519" s="2"/>
      <c r="DA519" s="2"/>
      <c r="DB519" s="2"/>
      <c r="DC519" s="2"/>
      <c r="DD519" s="2"/>
      <c r="DE519" s="2"/>
      <c r="DF519" s="2"/>
      <c r="DG519" s="2"/>
      <c r="DH519" s="2"/>
      <c r="DI519" s="2"/>
      <c r="DJ519" s="2"/>
      <c r="DK519" s="2"/>
      <c r="DL519" s="2"/>
      <c r="DM519" s="2"/>
      <c r="DN519" s="2"/>
      <c r="DO519" s="2"/>
      <c r="DP519" s="2"/>
      <c r="DQ519" s="2"/>
      <c r="DR519" s="2"/>
      <c r="DS519" s="2"/>
      <c r="DT519" s="2"/>
      <c r="DU519" s="2"/>
      <c r="DV519" s="2"/>
      <c r="DW519" s="2"/>
      <c r="DX519" s="2"/>
      <c r="DY519" s="2"/>
      <c r="DZ519" s="2"/>
      <c r="EA519" s="2"/>
      <c r="EB519" s="2"/>
      <c r="EC519" s="2"/>
      <c r="ED519" s="2"/>
      <c r="EE519" s="2"/>
      <c r="EF519" s="2"/>
      <c r="EG519" s="2"/>
      <c r="EH519" s="2"/>
      <c r="EI519" s="2"/>
      <c r="EJ519" s="2"/>
      <c r="EK519" s="2"/>
      <c r="EL519" s="2"/>
      <c r="EM519" s="2"/>
      <c r="EN519" s="2"/>
      <c r="EO519" s="2"/>
      <c r="EP519" s="2"/>
      <c r="EQ519" s="2"/>
      <c r="ER519" s="2"/>
      <c r="ES519" s="2"/>
      <c r="ET519" s="2"/>
      <c r="EU519" s="2"/>
      <c r="EV519" s="2"/>
      <c r="EW519" s="2"/>
      <c r="EX519" s="2"/>
      <c r="EY519" s="2"/>
      <c r="EZ519" s="2"/>
      <c r="FA519" s="2"/>
      <c r="FB519" s="2"/>
      <c r="FC519" s="2"/>
      <c r="FD519" s="2"/>
      <c r="FE519" s="2"/>
      <c r="FF519" s="2"/>
      <c r="FG519" s="2"/>
      <c r="FH519" s="2"/>
      <c r="FI519" s="2"/>
      <c r="FJ519" s="2"/>
      <c r="FK519" s="2"/>
      <c r="FL519" s="2"/>
      <c r="FM519" s="2"/>
      <c r="FN519" s="2"/>
      <c r="FO519" s="2"/>
      <c r="FP519" s="2"/>
      <c r="FQ519" s="2"/>
      <c r="FR519" s="2"/>
      <c r="FS519" s="2"/>
      <c r="FT519" s="2"/>
      <c r="FU519" s="2"/>
      <c r="FV519" s="2"/>
      <c r="FW519" s="2"/>
      <c r="FX519" s="2"/>
      <c r="FY519" s="2"/>
      <c r="FZ519" s="2"/>
      <c r="GA519" s="2"/>
      <c r="GB519" s="2"/>
      <c r="GC519" s="2"/>
      <c r="GD519" s="2"/>
      <c r="GE519" s="2"/>
      <c r="GF519" s="2"/>
      <c r="GG519" s="2"/>
      <c r="GH519" s="2"/>
      <c r="GI519" s="2"/>
      <c r="GJ519" s="2"/>
      <c r="GK519" s="2"/>
      <c r="GL519" s="2"/>
      <c r="GM519" s="2"/>
      <c r="GN519" s="2"/>
      <c r="GO519" s="2"/>
      <c r="GP519" s="2"/>
      <c r="GQ519" s="2"/>
      <c r="GR519" s="2"/>
      <c r="GS519" s="2"/>
      <c r="GT519" s="2"/>
      <c r="GU519" s="2"/>
      <c r="GV519" s="2"/>
      <c r="GW519" s="2"/>
      <c r="GX519" s="2"/>
      <c r="GY519" s="2"/>
      <c r="GZ519" s="2"/>
      <c r="HA519" s="2"/>
      <c r="HB519" s="2"/>
      <c r="HC519" s="2"/>
      <c r="HD519" s="2"/>
      <c r="HE519" s="2"/>
      <c r="HF519" s="2"/>
      <c r="HG519" s="2"/>
      <c r="HH519" s="2"/>
      <c r="HI519" s="2"/>
      <c r="HJ519" s="2"/>
      <c r="HK519" s="2"/>
      <c r="HL519" s="2"/>
      <c r="HM519" s="2"/>
      <c r="HN519" s="2"/>
      <c r="HO519" s="2"/>
      <c r="HP519" s="2"/>
      <c r="HQ519" s="2"/>
      <c r="HR519" s="2"/>
      <c r="HS519" s="2"/>
      <c r="HT519" s="2"/>
      <c r="HU519" s="2"/>
      <c r="HV519" s="2"/>
      <c r="HW519" s="2"/>
      <c r="HX519" s="2"/>
      <c r="HY519" s="2"/>
      <c r="HZ519" s="2"/>
      <c r="IA519" s="2"/>
      <c r="IB519" s="2"/>
      <c r="IC519" s="2"/>
    </row>
    <row r="520" spans="1:237" x14ac:dyDescent="0.2">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c r="AA520" s="2"/>
      <c r="AB520" s="2"/>
      <c r="AC520" s="2"/>
      <c r="AD520" s="2"/>
      <c r="AE520" s="2"/>
      <c r="AF520" s="2"/>
      <c r="AG520" s="2"/>
      <c r="AH520" s="2"/>
      <c r="AI520" s="2"/>
      <c r="AJ520" s="2"/>
      <c r="AK520" s="2"/>
      <c r="AL520" s="2"/>
      <c r="AM520" s="2"/>
      <c r="AN520" s="2"/>
      <c r="AO520" s="2"/>
      <c r="AP520" s="2"/>
      <c r="AQ520" s="2"/>
      <c r="AR520" s="2"/>
      <c r="AS520" s="2"/>
      <c r="AT520" s="2"/>
      <c r="AU520" s="2"/>
      <c r="AV520" s="2"/>
      <c r="AW520" s="2"/>
      <c r="AX520" s="2"/>
      <c r="AY520" s="2"/>
      <c r="AZ520" s="2"/>
      <c r="BA520" s="2"/>
      <c r="BB520" s="2"/>
      <c r="BC520" s="2"/>
      <c r="BD520" s="2"/>
      <c r="BE520" s="2"/>
      <c r="BF520" s="2"/>
      <c r="BG520" s="2"/>
      <c r="BH520" s="2"/>
      <c r="BI520" s="2"/>
      <c r="BJ520" s="2"/>
      <c r="BK520" s="2"/>
      <c r="BL520" s="2"/>
      <c r="BM520" s="2"/>
      <c r="BN520" s="2"/>
      <c r="BO520" s="2"/>
      <c r="BP520" s="2"/>
      <c r="BQ520" s="2"/>
      <c r="BR520" s="2"/>
      <c r="BS520" s="2"/>
      <c r="BT520" s="2"/>
      <c r="BU520" s="2"/>
      <c r="BV520" s="2"/>
      <c r="BW520" s="2"/>
      <c r="BX520" s="2"/>
      <c r="BY520" s="2"/>
      <c r="BZ520" s="2"/>
      <c r="CA520" s="2"/>
      <c r="CB520" s="2"/>
      <c r="CC520" s="2"/>
      <c r="CD520" s="2"/>
      <c r="CE520" s="2"/>
      <c r="CF520" s="2"/>
      <c r="CG520" s="2"/>
      <c r="CH520" s="2"/>
      <c r="CI520" s="2"/>
      <c r="CJ520" s="2"/>
      <c r="CK520" s="2"/>
      <c r="CL520" s="2"/>
      <c r="CM520" s="2"/>
      <c r="CN520" s="2"/>
      <c r="CO520" s="2"/>
      <c r="CP520" s="2"/>
      <c r="CQ520" s="2"/>
      <c r="CR520" s="2"/>
      <c r="CS520" s="2"/>
      <c r="CT520" s="2"/>
      <c r="CU520" s="2"/>
      <c r="CV520" s="2"/>
      <c r="CW520" s="2"/>
      <c r="CX520" s="2"/>
      <c r="CY520" s="2"/>
      <c r="CZ520" s="2"/>
      <c r="DA520" s="2"/>
      <c r="DB520" s="2"/>
      <c r="DC520" s="2"/>
      <c r="DD520" s="2"/>
      <c r="DE520" s="2"/>
      <c r="DF520" s="2"/>
      <c r="DG520" s="2"/>
      <c r="DH520" s="2"/>
      <c r="DI520" s="2"/>
      <c r="DJ520" s="2"/>
      <c r="DK520" s="2"/>
      <c r="DL520" s="2"/>
      <c r="DM520" s="2"/>
      <c r="DN520" s="2"/>
      <c r="DO520" s="2"/>
      <c r="DP520" s="2"/>
      <c r="DQ520" s="2"/>
      <c r="DR520" s="2"/>
      <c r="DS520" s="2"/>
      <c r="DT520" s="2"/>
      <c r="DU520" s="2"/>
      <c r="DV520" s="2"/>
      <c r="DW520" s="2"/>
      <c r="DX520" s="2"/>
      <c r="DY520" s="2"/>
      <c r="DZ520" s="2"/>
      <c r="EA520" s="2"/>
      <c r="EB520" s="2"/>
      <c r="EC520" s="2"/>
      <c r="ED520" s="2"/>
      <c r="EE520" s="2"/>
      <c r="EF520" s="2"/>
      <c r="EG520" s="2"/>
      <c r="EH520" s="2"/>
      <c r="EI520" s="2"/>
      <c r="EJ520" s="2"/>
      <c r="EK520" s="2"/>
      <c r="EL520" s="2"/>
      <c r="EM520" s="2"/>
      <c r="EN520" s="2"/>
      <c r="EO520" s="2"/>
      <c r="EP520" s="2"/>
      <c r="EQ520" s="2"/>
      <c r="ER520" s="2"/>
      <c r="ES520" s="2"/>
      <c r="ET520" s="2"/>
      <c r="EU520" s="2"/>
      <c r="EV520" s="2"/>
      <c r="EW520" s="2"/>
      <c r="EX520" s="2"/>
      <c r="EY520" s="2"/>
      <c r="EZ520" s="2"/>
      <c r="FA520" s="2"/>
      <c r="FB520" s="2"/>
      <c r="FC520" s="2"/>
      <c r="FD520" s="2"/>
      <c r="FE520" s="2"/>
      <c r="FF520" s="2"/>
      <c r="FG520" s="2"/>
      <c r="FH520" s="2"/>
      <c r="FI520" s="2"/>
      <c r="FJ520" s="2"/>
      <c r="FK520" s="2"/>
      <c r="FL520" s="2"/>
      <c r="FM520" s="2"/>
      <c r="FN520" s="2"/>
      <c r="FO520" s="2"/>
      <c r="FP520" s="2"/>
      <c r="FQ520" s="2"/>
      <c r="FR520" s="2"/>
      <c r="FS520" s="2"/>
      <c r="FT520" s="2"/>
      <c r="FU520" s="2"/>
      <c r="FV520" s="2"/>
      <c r="FW520" s="2"/>
      <c r="FX520" s="2"/>
      <c r="FY520" s="2"/>
      <c r="FZ520" s="2"/>
      <c r="GA520" s="2"/>
      <c r="GB520" s="2"/>
      <c r="GC520" s="2"/>
      <c r="GD520" s="2"/>
      <c r="GE520" s="2"/>
      <c r="GF520" s="2"/>
      <c r="GG520" s="2"/>
      <c r="GH520" s="2"/>
      <c r="GI520" s="2"/>
      <c r="GJ520" s="2"/>
      <c r="GK520" s="2"/>
      <c r="GL520" s="2"/>
      <c r="GM520" s="2"/>
      <c r="GN520" s="2"/>
      <c r="GO520" s="2"/>
      <c r="GP520" s="2"/>
      <c r="GQ520" s="2"/>
      <c r="GR520" s="2"/>
      <c r="GS520" s="2"/>
      <c r="GT520" s="2"/>
      <c r="GU520" s="2"/>
      <c r="GV520" s="2"/>
      <c r="GW520" s="2"/>
      <c r="GX520" s="2"/>
      <c r="GY520" s="2"/>
      <c r="GZ520" s="2"/>
      <c r="HA520" s="2"/>
      <c r="HB520" s="2"/>
      <c r="HC520" s="2"/>
      <c r="HD520" s="2"/>
      <c r="HE520" s="2"/>
      <c r="HF520" s="2"/>
      <c r="HG520" s="2"/>
      <c r="HH520" s="2"/>
      <c r="HI520" s="2"/>
      <c r="HJ520" s="2"/>
      <c r="HK520" s="2"/>
      <c r="HL520" s="2"/>
      <c r="HM520" s="2"/>
      <c r="HN520" s="2"/>
      <c r="HO520" s="2"/>
      <c r="HP520" s="2"/>
      <c r="HQ520" s="2"/>
      <c r="HR520" s="2"/>
      <c r="HS520" s="2"/>
      <c r="HT520" s="2"/>
      <c r="HU520" s="2"/>
      <c r="HV520" s="2"/>
      <c r="HW520" s="2"/>
      <c r="HX520" s="2"/>
      <c r="HY520" s="2"/>
      <c r="HZ520" s="2"/>
      <c r="IA520" s="2"/>
      <c r="IB520" s="2"/>
      <c r="IC520" s="2"/>
    </row>
    <row r="521" spans="1:237" x14ac:dyDescent="0.2">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c r="AA521" s="2"/>
      <c r="AB521" s="2"/>
      <c r="AC521" s="2"/>
      <c r="AD521" s="2"/>
      <c r="AE521" s="2"/>
      <c r="AF521" s="2"/>
      <c r="AG521" s="2"/>
      <c r="AH521" s="2"/>
      <c r="AI521" s="2"/>
      <c r="AJ521" s="2"/>
      <c r="AK521" s="2"/>
      <c r="AL521" s="2"/>
      <c r="AM521" s="2"/>
      <c r="AN521" s="2"/>
      <c r="AO521" s="2"/>
      <c r="AP521" s="2"/>
      <c r="AQ521" s="2"/>
      <c r="AR521" s="2"/>
      <c r="AS521" s="2"/>
      <c r="AT521" s="2"/>
      <c r="AU521" s="2"/>
      <c r="AV521" s="2"/>
      <c r="AW521" s="2"/>
      <c r="AX521" s="2"/>
      <c r="AY521" s="2"/>
      <c r="AZ521" s="2"/>
      <c r="BA521" s="2"/>
      <c r="BB521" s="2"/>
      <c r="BC521" s="2"/>
      <c r="BD521" s="2"/>
      <c r="BE521" s="2"/>
      <c r="BF521" s="2"/>
      <c r="BG521" s="2"/>
      <c r="BH521" s="2"/>
      <c r="BI521" s="2"/>
      <c r="BJ521" s="2"/>
      <c r="BK521" s="2"/>
      <c r="BL521" s="2"/>
      <c r="BM521" s="2"/>
      <c r="BN521" s="2"/>
      <c r="BO521" s="2"/>
      <c r="BP521" s="2"/>
      <c r="BQ521" s="2"/>
      <c r="BR521" s="2"/>
      <c r="BS521" s="2"/>
      <c r="BT521" s="2"/>
      <c r="BU521" s="2"/>
      <c r="BV521" s="2"/>
      <c r="BW521" s="2"/>
      <c r="BX521" s="2"/>
      <c r="BY521" s="2"/>
      <c r="BZ521" s="2"/>
      <c r="CA521" s="2"/>
      <c r="CB521" s="2"/>
      <c r="CC521" s="2"/>
      <c r="CD521" s="2"/>
      <c r="CE521" s="2"/>
      <c r="CF521" s="2"/>
      <c r="CG521" s="2"/>
      <c r="CH521" s="2"/>
      <c r="CI521" s="2"/>
      <c r="CJ521" s="2"/>
      <c r="CK521" s="2"/>
      <c r="CL521" s="2"/>
      <c r="CM521" s="2"/>
      <c r="CN521" s="2"/>
      <c r="CO521" s="2"/>
      <c r="CP521" s="2"/>
      <c r="CQ521" s="2"/>
      <c r="CR521" s="2"/>
      <c r="CS521" s="2"/>
      <c r="CT521" s="2"/>
      <c r="CU521" s="2"/>
      <c r="CV521" s="2"/>
      <c r="CW521" s="2"/>
      <c r="CX521" s="2"/>
      <c r="CY521" s="2"/>
      <c r="CZ521" s="2"/>
      <c r="DA521" s="2"/>
      <c r="DB521" s="2"/>
      <c r="DC521" s="2"/>
      <c r="DD521" s="2"/>
      <c r="DE521" s="2"/>
      <c r="DF521" s="2"/>
      <c r="DG521" s="2"/>
      <c r="DH521" s="2"/>
      <c r="DI521" s="2"/>
      <c r="DJ521" s="2"/>
      <c r="DK521" s="2"/>
      <c r="DL521" s="2"/>
      <c r="DM521" s="2"/>
      <c r="DN521" s="2"/>
      <c r="DO521" s="2"/>
      <c r="DP521" s="2"/>
      <c r="DQ521" s="2"/>
      <c r="DR521" s="2"/>
      <c r="DS521" s="2"/>
      <c r="DT521" s="2"/>
      <c r="DU521" s="2"/>
      <c r="DV521" s="2"/>
      <c r="DW521" s="2"/>
      <c r="DX521" s="2"/>
      <c r="DY521" s="2"/>
      <c r="DZ521" s="2"/>
      <c r="EA521" s="2"/>
      <c r="EB521" s="2"/>
      <c r="EC521" s="2"/>
      <c r="ED521" s="2"/>
      <c r="EE521" s="2"/>
      <c r="EF521" s="2"/>
      <c r="EG521" s="2"/>
      <c r="EH521" s="2"/>
      <c r="EI521" s="2"/>
      <c r="EJ521" s="2"/>
      <c r="EK521" s="2"/>
      <c r="EL521" s="2"/>
      <c r="EM521" s="2"/>
      <c r="EN521" s="2"/>
      <c r="EO521" s="2"/>
      <c r="EP521" s="2"/>
      <c r="EQ521" s="2"/>
      <c r="ER521" s="2"/>
      <c r="ES521" s="2"/>
      <c r="ET521" s="2"/>
      <c r="EU521" s="2"/>
      <c r="EV521" s="2"/>
      <c r="EW521" s="2"/>
      <c r="EX521" s="2"/>
      <c r="EY521" s="2"/>
      <c r="EZ521" s="2"/>
      <c r="FA521" s="2"/>
      <c r="FB521" s="2"/>
      <c r="FC521" s="2"/>
      <c r="FD521" s="2"/>
      <c r="FE521" s="2"/>
      <c r="FF521" s="2"/>
      <c r="FG521" s="2"/>
      <c r="FH521" s="2"/>
      <c r="FI521" s="2"/>
      <c r="FJ521" s="2"/>
      <c r="FK521" s="2"/>
      <c r="FL521" s="2"/>
      <c r="FM521" s="2"/>
      <c r="FN521" s="2"/>
      <c r="FO521" s="2"/>
      <c r="FP521" s="2"/>
      <c r="FQ521" s="2"/>
      <c r="FR521" s="2"/>
      <c r="FS521" s="2"/>
      <c r="FT521" s="2"/>
      <c r="FU521" s="2"/>
      <c r="FV521" s="2"/>
      <c r="FW521" s="2"/>
      <c r="FX521" s="2"/>
      <c r="FY521" s="2"/>
      <c r="FZ521" s="2"/>
      <c r="GA521" s="2"/>
      <c r="GB521" s="2"/>
      <c r="GC521" s="2"/>
      <c r="GD521" s="2"/>
      <c r="GE521" s="2"/>
      <c r="GF521" s="2"/>
      <c r="GG521" s="2"/>
      <c r="GH521" s="2"/>
      <c r="GI521" s="2"/>
      <c r="GJ521" s="2"/>
      <c r="GK521" s="2"/>
      <c r="GL521" s="2"/>
      <c r="GM521" s="2"/>
      <c r="GN521" s="2"/>
      <c r="GO521" s="2"/>
      <c r="GP521" s="2"/>
      <c r="GQ521" s="2"/>
      <c r="GR521" s="2"/>
      <c r="GS521" s="2"/>
      <c r="GT521" s="2"/>
      <c r="GU521" s="2"/>
      <c r="GV521" s="2"/>
      <c r="GW521" s="2"/>
      <c r="GX521" s="2"/>
      <c r="GY521" s="2"/>
      <c r="GZ521" s="2"/>
      <c r="HA521" s="2"/>
      <c r="HB521" s="2"/>
      <c r="HC521" s="2"/>
      <c r="HD521" s="2"/>
      <c r="HE521" s="2"/>
      <c r="HF521" s="2"/>
      <c r="HG521" s="2"/>
      <c r="HH521" s="2"/>
      <c r="HI521" s="2"/>
      <c r="HJ521" s="2"/>
      <c r="HK521" s="2"/>
      <c r="HL521" s="2"/>
      <c r="HM521" s="2"/>
      <c r="HN521" s="2"/>
      <c r="HO521" s="2"/>
      <c r="HP521" s="2"/>
      <c r="HQ521" s="2"/>
      <c r="HR521" s="2"/>
      <c r="HS521" s="2"/>
      <c r="HT521" s="2"/>
      <c r="HU521" s="2"/>
      <c r="HV521" s="2"/>
      <c r="HW521" s="2"/>
      <c r="HX521" s="2"/>
      <c r="HY521" s="2"/>
      <c r="HZ521" s="2"/>
      <c r="IA521" s="2"/>
      <c r="IB521" s="2"/>
      <c r="IC521" s="2"/>
    </row>
    <row r="522" spans="1:237" x14ac:dyDescent="0.2">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c r="AA522" s="2"/>
      <c r="AB522" s="2"/>
      <c r="AC522" s="2"/>
      <c r="AD522" s="2"/>
      <c r="AE522" s="2"/>
      <c r="AF522" s="2"/>
      <c r="AG522" s="2"/>
      <c r="AH522" s="2"/>
      <c r="AI522" s="2"/>
      <c r="AJ522" s="2"/>
      <c r="AK522" s="2"/>
      <c r="AL522" s="2"/>
      <c r="AM522" s="2"/>
      <c r="AN522" s="2"/>
      <c r="AO522" s="2"/>
      <c r="AP522" s="2"/>
      <c r="AQ522" s="2"/>
      <c r="AR522" s="2"/>
      <c r="AS522" s="2"/>
      <c r="AT522" s="2"/>
      <c r="AU522" s="2"/>
      <c r="AV522" s="2"/>
      <c r="AW522" s="2"/>
      <c r="AX522" s="2"/>
      <c r="AY522" s="2"/>
      <c r="AZ522" s="2"/>
      <c r="BA522" s="2"/>
      <c r="BB522" s="2"/>
      <c r="BC522" s="2"/>
      <c r="BD522" s="2"/>
      <c r="BE522" s="2"/>
      <c r="BF522" s="2"/>
      <c r="BG522" s="2"/>
      <c r="BH522" s="2"/>
      <c r="BI522" s="2"/>
      <c r="BJ522" s="2"/>
      <c r="BK522" s="2"/>
      <c r="BL522" s="2"/>
      <c r="BM522" s="2"/>
      <c r="BN522" s="2"/>
      <c r="BO522" s="2"/>
      <c r="BP522" s="2"/>
      <c r="BQ522" s="2"/>
      <c r="BR522" s="2"/>
      <c r="BS522" s="2"/>
      <c r="BT522" s="2"/>
      <c r="BU522" s="2"/>
      <c r="BV522" s="2"/>
      <c r="BW522" s="2"/>
      <c r="BX522" s="2"/>
      <c r="BY522" s="2"/>
      <c r="BZ522" s="2"/>
      <c r="CA522" s="2"/>
      <c r="CB522" s="2"/>
      <c r="CC522" s="2"/>
      <c r="CD522" s="2"/>
      <c r="CE522" s="2"/>
      <c r="CF522" s="2"/>
      <c r="CG522" s="2"/>
      <c r="CH522" s="2"/>
      <c r="CI522" s="2"/>
      <c r="CJ522" s="2"/>
      <c r="CK522" s="2"/>
      <c r="CL522" s="2"/>
      <c r="CM522" s="2"/>
      <c r="CN522" s="2"/>
      <c r="CO522" s="2"/>
      <c r="CP522" s="2"/>
      <c r="CQ522" s="2"/>
      <c r="CR522" s="2"/>
      <c r="CS522" s="2"/>
      <c r="CT522" s="2"/>
      <c r="CU522" s="2"/>
      <c r="CV522" s="2"/>
      <c r="CW522" s="2"/>
      <c r="CX522" s="2"/>
      <c r="CY522" s="2"/>
      <c r="CZ522" s="2"/>
      <c r="DA522" s="2"/>
      <c r="DB522" s="2"/>
      <c r="DC522" s="2"/>
      <c r="DD522" s="2"/>
      <c r="DE522" s="2"/>
      <c r="DF522" s="2"/>
      <c r="DG522" s="2"/>
      <c r="DH522" s="2"/>
      <c r="DI522" s="2"/>
      <c r="DJ522" s="2"/>
      <c r="DK522" s="2"/>
      <c r="DL522" s="2"/>
      <c r="DM522" s="2"/>
      <c r="DN522" s="2"/>
      <c r="DO522" s="2"/>
      <c r="DP522" s="2"/>
      <c r="DQ522" s="2"/>
      <c r="DR522" s="2"/>
      <c r="DS522" s="2"/>
      <c r="DT522" s="2"/>
      <c r="DU522" s="2"/>
      <c r="DV522" s="2"/>
      <c r="DW522" s="2"/>
      <c r="DX522" s="2"/>
      <c r="DY522" s="2"/>
      <c r="DZ522" s="2"/>
      <c r="EA522" s="2"/>
      <c r="EB522" s="2"/>
      <c r="EC522" s="2"/>
      <c r="ED522" s="2"/>
      <c r="EE522" s="2"/>
      <c r="EF522" s="2"/>
      <c r="EG522" s="2"/>
      <c r="EH522" s="2"/>
      <c r="EI522" s="2"/>
      <c r="EJ522" s="2"/>
      <c r="EK522" s="2"/>
      <c r="EL522" s="2"/>
      <c r="EM522" s="2"/>
      <c r="EN522" s="2"/>
      <c r="EO522" s="2"/>
      <c r="EP522" s="2"/>
      <c r="EQ522" s="2"/>
      <c r="ER522" s="2"/>
      <c r="ES522" s="2"/>
      <c r="ET522" s="2"/>
      <c r="EU522" s="2"/>
      <c r="EV522" s="2"/>
      <c r="EW522" s="2"/>
      <c r="EX522" s="2"/>
      <c r="EY522" s="2"/>
      <c r="EZ522" s="2"/>
      <c r="FA522" s="2"/>
      <c r="FB522" s="2"/>
      <c r="FC522" s="2"/>
      <c r="FD522" s="2"/>
      <c r="FE522" s="2"/>
      <c r="FF522" s="2"/>
      <c r="FG522" s="2"/>
      <c r="FH522" s="2"/>
      <c r="FI522" s="2"/>
      <c r="FJ522" s="2"/>
      <c r="FK522" s="2"/>
      <c r="FL522" s="2"/>
      <c r="FM522" s="2"/>
      <c r="FN522" s="2"/>
      <c r="FO522" s="2"/>
      <c r="FP522" s="2"/>
      <c r="FQ522" s="2"/>
      <c r="FR522" s="2"/>
      <c r="FS522" s="2"/>
      <c r="FT522" s="2"/>
      <c r="FU522" s="2"/>
      <c r="FV522" s="2"/>
      <c r="FW522" s="2"/>
      <c r="FX522" s="2"/>
      <c r="FY522" s="2"/>
      <c r="FZ522" s="2"/>
      <c r="GA522" s="2"/>
      <c r="GB522" s="2"/>
      <c r="GC522" s="2"/>
      <c r="GD522" s="2"/>
      <c r="GE522" s="2"/>
      <c r="GF522" s="2"/>
      <c r="GG522" s="2"/>
      <c r="GH522" s="2"/>
      <c r="GI522" s="2"/>
      <c r="GJ522" s="2"/>
      <c r="GK522" s="2"/>
      <c r="GL522" s="2"/>
      <c r="GM522" s="2"/>
      <c r="GN522" s="2"/>
      <c r="GO522" s="2"/>
      <c r="GP522" s="2"/>
      <c r="GQ522" s="2"/>
      <c r="GR522" s="2"/>
      <c r="GS522" s="2"/>
      <c r="GT522" s="2"/>
      <c r="GU522" s="2"/>
      <c r="GV522" s="2"/>
      <c r="GW522" s="2"/>
      <c r="GX522" s="2"/>
      <c r="GY522" s="2"/>
      <c r="GZ522" s="2"/>
      <c r="HA522" s="2"/>
      <c r="HB522" s="2"/>
      <c r="HC522" s="2"/>
      <c r="HD522" s="2"/>
      <c r="HE522" s="2"/>
      <c r="HF522" s="2"/>
      <c r="HG522" s="2"/>
      <c r="HH522" s="2"/>
      <c r="HI522" s="2"/>
      <c r="HJ522" s="2"/>
      <c r="HK522" s="2"/>
      <c r="HL522" s="2"/>
      <c r="HM522" s="2"/>
      <c r="HN522" s="2"/>
      <c r="HO522" s="2"/>
      <c r="HP522" s="2"/>
      <c r="HQ522" s="2"/>
      <c r="HR522" s="2"/>
      <c r="HS522" s="2"/>
      <c r="HT522" s="2"/>
      <c r="HU522" s="2"/>
      <c r="HV522" s="2"/>
      <c r="HW522" s="2"/>
      <c r="HX522" s="2"/>
      <c r="HY522" s="2"/>
      <c r="HZ522" s="2"/>
      <c r="IA522" s="2"/>
      <c r="IB522" s="2"/>
      <c r="IC522" s="2"/>
    </row>
    <row r="523" spans="1:237" x14ac:dyDescent="0.2">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c r="AA523" s="2"/>
      <c r="AB523" s="2"/>
      <c r="AC523" s="2"/>
      <c r="AD523" s="2"/>
      <c r="AE523" s="2"/>
      <c r="AF523" s="2"/>
      <c r="AG523" s="2"/>
      <c r="AH523" s="2"/>
      <c r="AI523" s="2"/>
      <c r="AJ523" s="2"/>
      <c r="AK523" s="2"/>
      <c r="AL523" s="2"/>
      <c r="AM523" s="2"/>
      <c r="AN523" s="2"/>
      <c r="AO523" s="2"/>
      <c r="AP523" s="2"/>
      <c r="AQ523" s="2"/>
      <c r="AR523" s="2"/>
      <c r="AS523" s="2"/>
      <c r="AT523" s="2"/>
      <c r="AU523" s="2"/>
      <c r="AV523" s="2"/>
      <c r="AW523" s="2"/>
      <c r="AX523" s="2"/>
      <c r="AY523" s="2"/>
      <c r="AZ523" s="2"/>
      <c r="BA523" s="2"/>
      <c r="BB523" s="2"/>
      <c r="BC523" s="2"/>
      <c r="BD523" s="2"/>
      <c r="BE523" s="2"/>
      <c r="BF523" s="2"/>
      <c r="BG523" s="2"/>
      <c r="BH523" s="2"/>
      <c r="BI523" s="2"/>
      <c r="BJ523" s="2"/>
      <c r="BK523" s="2"/>
      <c r="BL523" s="2"/>
      <c r="BM523" s="2"/>
      <c r="BN523" s="2"/>
      <c r="BO523" s="2"/>
      <c r="BP523" s="2"/>
      <c r="BQ523" s="2"/>
      <c r="BR523" s="2"/>
      <c r="BS523" s="2"/>
      <c r="BT523" s="2"/>
      <c r="BU523" s="2"/>
      <c r="BV523" s="2"/>
      <c r="BW523" s="2"/>
      <c r="BX523" s="2"/>
      <c r="BY523" s="2"/>
      <c r="BZ523" s="2"/>
      <c r="CA523" s="2"/>
      <c r="CB523" s="2"/>
      <c r="CC523" s="2"/>
      <c r="CD523" s="2"/>
      <c r="CE523" s="2"/>
      <c r="CF523" s="2"/>
      <c r="CG523" s="2"/>
      <c r="CH523" s="2"/>
      <c r="CI523" s="2"/>
      <c r="CJ523" s="2"/>
      <c r="CK523" s="2"/>
      <c r="CL523" s="2"/>
      <c r="CM523" s="2"/>
      <c r="CN523" s="2"/>
      <c r="CO523" s="2"/>
      <c r="CP523" s="2"/>
      <c r="CQ523" s="2"/>
      <c r="CR523" s="2"/>
      <c r="CS523" s="2"/>
      <c r="CT523" s="2"/>
      <c r="CU523" s="2"/>
      <c r="CV523" s="2"/>
      <c r="CW523" s="2"/>
      <c r="CX523" s="2"/>
      <c r="CY523" s="2"/>
      <c r="CZ523" s="2"/>
      <c r="DA523" s="2"/>
      <c r="DB523" s="2"/>
      <c r="DC523" s="2"/>
      <c r="DD523" s="2"/>
      <c r="DE523" s="2"/>
      <c r="DF523" s="2"/>
      <c r="DG523" s="2"/>
      <c r="DH523" s="2"/>
      <c r="DI523" s="2"/>
      <c r="DJ523" s="2"/>
      <c r="DK523" s="2"/>
      <c r="DL523" s="2"/>
      <c r="DM523" s="2"/>
      <c r="DN523" s="2"/>
      <c r="DO523" s="2"/>
      <c r="DP523" s="2"/>
      <c r="DQ523" s="2"/>
      <c r="DR523" s="2"/>
      <c r="DS523" s="2"/>
      <c r="DT523" s="2"/>
      <c r="DU523" s="2"/>
      <c r="DV523" s="2"/>
      <c r="DW523" s="2"/>
      <c r="DX523" s="2"/>
      <c r="DY523" s="2"/>
      <c r="DZ523" s="2"/>
      <c r="EA523" s="2"/>
      <c r="EB523" s="2"/>
      <c r="EC523" s="2"/>
      <c r="ED523" s="2"/>
      <c r="EE523" s="2"/>
      <c r="EF523" s="2"/>
      <c r="EG523" s="2"/>
      <c r="EH523" s="2"/>
      <c r="EI523" s="2"/>
      <c r="EJ523" s="2"/>
      <c r="EK523" s="2"/>
      <c r="EL523" s="2"/>
      <c r="EM523" s="2"/>
      <c r="EN523" s="2"/>
      <c r="EO523" s="2"/>
      <c r="EP523" s="2"/>
      <c r="EQ523" s="2"/>
      <c r="ER523" s="2"/>
      <c r="ES523" s="2"/>
      <c r="ET523" s="2"/>
      <c r="EU523" s="2"/>
      <c r="EV523" s="2"/>
      <c r="EW523" s="2"/>
      <c r="EX523" s="2"/>
      <c r="EY523" s="2"/>
      <c r="EZ523" s="2"/>
      <c r="FA523" s="2"/>
      <c r="FB523" s="2"/>
      <c r="FC523" s="2"/>
      <c r="FD523" s="2"/>
      <c r="FE523" s="2"/>
      <c r="FF523" s="2"/>
      <c r="FG523" s="2"/>
      <c r="FH523" s="2"/>
      <c r="FI523" s="2"/>
      <c r="FJ523" s="2"/>
      <c r="FK523" s="2"/>
      <c r="FL523" s="2"/>
      <c r="FM523" s="2"/>
      <c r="FN523" s="2"/>
      <c r="FO523" s="2"/>
      <c r="FP523" s="2"/>
      <c r="FQ523" s="2"/>
      <c r="FR523" s="2"/>
      <c r="FS523" s="2"/>
      <c r="FT523" s="2"/>
      <c r="FU523" s="2"/>
      <c r="FV523" s="2"/>
      <c r="FW523" s="2"/>
      <c r="FX523" s="2"/>
      <c r="FY523" s="2"/>
      <c r="FZ523" s="2"/>
      <c r="GA523" s="2"/>
      <c r="GB523" s="2"/>
      <c r="GC523" s="2"/>
      <c r="GD523" s="2"/>
      <c r="GE523" s="2"/>
      <c r="GF523" s="2"/>
      <c r="GG523" s="2"/>
      <c r="GH523" s="2"/>
      <c r="GI523" s="2"/>
      <c r="GJ523" s="2"/>
      <c r="GK523" s="2"/>
      <c r="GL523" s="2"/>
      <c r="GM523" s="2"/>
      <c r="GN523" s="2"/>
      <c r="GO523" s="2"/>
      <c r="GP523" s="2"/>
      <c r="GQ523" s="2"/>
      <c r="GR523" s="2"/>
      <c r="GS523" s="2"/>
      <c r="GT523" s="2"/>
      <c r="GU523" s="2"/>
      <c r="GV523" s="2"/>
      <c r="GW523" s="2"/>
      <c r="GX523" s="2"/>
      <c r="GY523" s="2"/>
      <c r="GZ523" s="2"/>
      <c r="HA523" s="2"/>
      <c r="HB523" s="2"/>
      <c r="HC523" s="2"/>
      <c r="HD523" s="2"/>
      <c r="HE523" s="2"/>
      <c r="HF523" s="2"/>
      <c r="HG523" s="2"/>
      <c r="HH523" s="2"/>
      <c r="HI523" s="2"/>
      <c r="HJ523" s="2"/>
      <c r="HK523" s="2"/>
      <c r="HL523" s="2"/>
      <c r="HM523" s="2"/>
      <c r="HN523" s="2"/>
      <c r="HO523" s="2"/>
      <c r="HP523" s="2"/>
      <c r="HQ523" s="2"/>
      <c r="HR523" s="2"/>
      <c r="HS523" s="2"/>
      <c r="HT523" s="2"/>
      <c r="HU523" s="2"/>
      <c r="HV523" s="2"/>
      <c r="HW523" s="2"/>
      <c r="HX523" s="2"/>
      <c r="HY523" s="2"/>
      <c r="HZ523" s="2"/>
      <c r="IA523" s="2"/>
      <c r="IB523" s="2"/>
      <c r="IC523" s="2"/>
    </row>
    <row r="524" spans="1:237" x14ac:dyDescent="0.2">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c r="AA524" s="2"/>
      <c r="AB524" s="2"/>
      <c r="AC524" s="2"/>
      <c r="AD524" s="2"/>
      <c r="AE524" s="2"/>
      <c r="AF524" s="2"/>
      <c r="AG524" s="2"/>
      <c r="AH524" s="2"/>
      <c r="AI524" s="2"/>
      <c r="AJ524" s="2"/>
      <c r="AK524" s="2"/>
      <c r="AL524" s="2"/>
      <c r="AM524" s="2"/>
      <c r="AN524" s="2"/>
      <c r="AO524" s="2"/>
      <c r="AP524" s="2"/>
      <c r="AQ524" s="2"/>
      <c r="AR524" s="2"/>
      <c r="AS524" s="2"/>
      <c r="AT524" s="2"/>
      <c r="AU524" s="2"/>
      <c r="AV524" s="2"/>
      <c r="AW524" s="2"/>
      <c r="AX524" s="2"/>
      <c r="AY524" s="2"/>
      <c r="AZ524" s="2"/>
      <c r="BA524" s="2"/>
      <c r="BB524" s="2"/>
      <c r="BC524" s="2"/>
      <c r="BD524" s="2"/>
      <c r="BE524" s="2"/>
      <c r="BF524" s="2"/>
      <c r="BG524" s="2"/>
      <c r="BH524" s="2"/>
      <c r="BI524" s="2"/>
      <c r="BJ524" s="2"/>
      <c r="BK524" s="2"/>
      <c r="BL524" s="2"/>
      <c r="BM524" s="2"/>
      <c r="BN524" s="2"/>
      <c r="BO524" s="2"/>
      <c r="BP524" s="2"/>
      <c r="BQ524" s="2"/>
      <c r="BR524" s="2"/>
      <c r="BS524" s="2"/>
      <c r="BT524" s="2"/>
      <c r="BU524" s="2"/>
      <c r="BV524" s="2"/>
      <c r="BW524" s="2"/>
      <c r="BX524" s="2"/>
      <c r="BY524" s="2"/>
      <c r="BZ524" s="2"/>
      <c r="CA524" s="2"/>
      <c r="CB524" s="2"/>
      <c r="CC524" s="2"/>
      <c r="CD524" s="2"/>
      <c r="CE524" s="2"/>
      <c r="CF524" s="2"/>
      <c r="CG524" s="2"/>
      <c r="CH524" s="2"/>
      <c r="CI524" s="2"/>
      <c r="CJ524" s="2"/>
      <c r="CK524" s="2"/>
      <c r="CL524" s="2"/>
      <c r="CM524" s="2"/>
      <c r="CN524" s="2"/>
      <c r="CO524" s="2"/>
      <c r="CP524" s="2"/>
      <c r="CQ524" s="2"/>
      <c r="CR524" s="2"/>
      <c r="CS524" s="2"/>
      <c r="CT524" s="2"/>
      <c r="CU524" s="2"/>
      <c r="CV524" s="2"/>
      <c r="CW524" s="2"/>
      <c r="CX524" s="2"/>
      <c r="CY524" s="2"/>
      <c r="CZ524" s="2"/>
      <c r="DA524" s="2"/>
      <c r="DB524" s="2"/>
      <c r="DC524" s="2"/>
      <c r="DD524" s="2"/>
      <c r="DE524" s="2"/>
      <c r="DF524" s="2"/>
      <c r="DG524" s="2"/>
      <c r="DH524" s="2"/>
      <c r="DI524" s="2"/>
      <c r="DJ524" s="2"/>
      <c r="DK524" s="2"/>
      <c r="DL524" s="2"/>
      <c r="DM524" s="2"/>
      <c r="DN524" s="2"/>
      <c r="DO524" s="2"/>
      <c r="DP524" s="2"/>
      <c r="DQ524" s="2"/>
      <c r="DR524" s="2"/>
      <c r="DS524" s="2"/>
      <c r="DT524" s="2"/>
      <c r="DU524" s="2"/>
      <c r="DV524" s="2"/>
      <c r="DW524" s="2"/>
      <c r="DX524" s="2"/>
      <c r="DY524" s="2"/>
      <c r="DZ524" s="2"/>
      <c r="EA524" s="2"/>
      <c r="EB524" s="2"/>
      <c r="EC524" s="2"/>
      <c r="ED524" s="2"/>
      <c r="EE524" s="2"/>
      <c r="EF524" s="2"/>
      <c r="EG524" s="2"/>
      <c r="EH524" s="2"/>
      <c r="EI524" s="2"/>
      <c r="EJ524" s="2"/>
      <c r="EK524" s="2"/>
      <c r="EL524" s="2"/>
      <c r="EM524" s="2"/>
      <c r="EN524" s="2"/>
      <c r="EO524" s="2"/>
      <c r="EP524" s="2"/>
      <c r="EQ524" s="2"/>
      <c r="ER524" s="2"/>
      <c r="ES524" s="2"/>
      <c r="ET524" s="2"/>
      <c r="EU524" s="2"/>
      <c r="EV524" s="2"/>
      <c r="EW524" s="2"/>
      <c r="EX524" s="2"/>
      <c r="EY524" s="2"/>
      <c r="EZ524" s="2"/>
      <c r="FA524" s="2"/>
      <c r="FB524" s="2"/>
      <c r="FC524" s="2"/>
      <c r="FD524" s="2"/>
      <c r="FE524" s="2"/>
      <c r="FF524" s="2"/>
      <c r="FG524" s="2"/>
      <c r="FH524" s="2"/>
      <c r="FI524" s="2"/>
      <c r="FJ524" s="2"/>
      <c r="FK524" s="2"/>
      <c r="FL524" s="2"/>
      <c r="FM524" s="2"/>
      <c r="FN524" s="2"/>
      <c r="FO524" s="2"/>
      <c r="FP524" s="2"/>
      <c r="FQ524" s="2"/>
      <c r="FR524" s="2"/>
      <c r="FS524" s="2"/>
      <c r="FT524" s="2"/>
      <c r="FU524" s="2"/>
      <c r="FV524" s="2"/>
      <c r="FW524" s="2"/>
      <c r="FX524" s="2"/>
      <c r="FY524" s="2"/>
      <c r="FZ524" s="2"/>
      <c r="GA524" s="2"/>
      <c r="GB524" s="2"/>
      <c r="GC524" s="2"/>
      <c r="GD524" s="2"/>
      <c r="GE524" s="2"/>
      <c r="GF524" s="2"/>
      <c r="GG524" s="2"/>
      <c r="GH524" s="2"/>
      <c r="GI524" s="2"/>
      <c r="GJ524" s="2"/>
      <c r="GK524" s="2"/>
      <c r="GL524" s="2"/>
      <c r="GM524" s="2"/>
      <c r="GN524" s="2"/>
      <c r="GO524" s="2"/>
      <c r="GP524" s="2"/>
      <c r="GQ524" s="2"/>
      <c r="GR524" s="2"/>
      <c r="GS524" s="2"/>
      <c r="GT524" s="2"/>
      <c r="GU524" s="2"/>
      <c r="GV524" s="2"/>
      <c r="GW524" s="2"/>
      <c r="GX524" s="2"/>
      <c r="GY524" s="2"/>
      <c r="GZ524" s="2"/>
      <c r="HA524" s="2"/>
      <c r="HB524" s="2"/>
      <c r="HC524" s="2"/>
      <c r="HD524" s="2"/>
      <c r="HE524" s="2"/>
      <c r="HF524" s="2"/>
      <c r="HG524" s="2"/>
      <c r="HH524" s="2"/>
      <c r="HI524" s="2"/>
      <c r="HJ524" s="2"/>
      <c r="HK524" s="2"/>
      <c r="HL524" s="2"/>
      <c r="HM524" s="2"/>
      <c r="HN524" s="2"/>
      <c r="HO524" s="2"/>
      <c r="HP524" s="2"/>
      <c r="HQ524" s="2"/>
      <c r="HR524" s="2"/>
      <c r="HS524" s="2"/>
      <c r="HT524" s="2"/>
      <c r="HU524" s="2"/>
      <c r="HV524" s="2"/>
      <c r="HW524" s="2"/>
      <c r="HX524" s="2"/>
      <c r="HY524" s="2"/>
      <c r="HZ524" s="2"/>
      <c r="IA524" s="2"/>
      <c r="IB524" s="2"/>
      <c r="IC524" s="2"/>
    </row>
    <row r="525" spans="1:237" x14ac:dyDescent="0.2">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c r="AA525" s="2"/>
      <c r="AB525" s="2"/>
      <c r="AC525" s="2"/>
      <c r="AD525" s="2"/>
      <c r="AE525" s="2"/>
      <c r="AF525" s="2"/>
      <c r="AG525" s="2"/>
      <c r="AH525" s="2"/>
      <c r="AI525" s="2"/>
      <c r="AJ525" s="2"/>
      <c r="AK525" s="2"/>
      <c r="AL525" s="2"/>
      <c r="AM525" s="2"/>
      <c r="AN525" s="2"/>
      <c r="AO525" s="2"/>
      <c r="AP525" s="2"/>
      <c r="AQ525" s="2"/>
      <c r="AR525" s="2"/>
      <c r="AS525" s="2"/>
      <c r="AT525" s="2"/>
      <c r="AU525" s="2"/>
      <c r="AV525" s="2"/>
      <c r="AW525" s="2"/>
      <c r="AX525" s="2"/>
      <c r="AY525" s="2"/>
      <c r="AZ525" s="2"/>
      <c r="BA525" s="2"/>
      <c r="BB525" s="2"/>
      <c r="BC525" s="2"/>
      <c r="BD525" s="2"/>
      <c r="BE525" s="2"/>
      <c r="BF525" s="2"/>
      <c r="BG525" s="2"/>
      <c r="BH525" s="2"/>
      <c r="BI525" s="2"/>
      <c r="BJ525" s="2"/>
      <c r="BK525" s="2"/>
      <c r="BL525" s="2"/>
      <c r="BM525" s="2"/>
      <c r="BN525" s="2"/>
      <c r="BO525" s="2"/>
      <c r="BP525" s="2"/>
      <c r="BQ525" s="2"/>
      <c r="BR525" s="2"/>
      <c r="BS525" s="2"/>
      <c r="BT525" s="2"/>
      <c r="BU525" s="2"/>
      <c r="BV525" s="2"/>
      <c r="BW525" s="2"/>
      <c r="BX525" s="2"/>
      <c r="BY525" s="2"/>
      <c r="BZ525" s="2"/>
      <c r="CA525" s="2"/>
      <c r="CB525" s="2"/>
      <c r="CC525" s="2"/>
      <c r="CD525" s="2"/>
      <c r="CE525" s="2"/>
      <c r="CF525" s="2"/>
      <c r="CG525" s="2"/>
      <c r="CH525" s="2"/>
      <c r="CI525" s="2"/>
      <c r="CJ525" s="2"/>
      <c r="CK525" s="2"/>
      <c r="CL525" s="2"/>
      <c r="CM525" s="2"/>
      <c r="CN525" s="2"/>
      <c r="CO525" s="2"/>
      <c r="CP525" s="2"/>
      <c r="CQ525" s="2"/>
      <c r="CR525" s="2"/>
      <c r="CS525" s="2"/>
      <c r="CT525" s="2"/>
      <c r="CU525" s="2"/>
      <c r="CV525" s="2"/>
      <c r="CW525" s="2"/>
      <c r="CX525" s="2"/>
      <c r="CY525" s="2"/>
      <c r="CZ525" s="2"/>
      <c r="DA525" s="2"/>
      <c r="DB525" s="2"/>
      <c r="DC525" s="2"/>
      <c r="DD525" s="2"/>
      <c r="DE525" s="2"/>
      <c r="DF525" s="2"/>
      <c r="DG525" s="2"/>
      <c r="DH525" s="2"/>
      <c r="DI525" s="2"/>
      <c r="DJ525" s="2"/>
      <c r="DK525" s="2"/>
      <c r="DL525" s="2"/>
      <c r="DM525" s="2"/>
      <c r="DN525" s="2"/>
      <c r="DO525" s="2"/>
      <c r="DP525" s="2"/>
      <c r="DQ525" s="2"/>
      <c r="DR525" s="2"/>
      <c r="DS525" s="2"/>
      <c r="DT525" s="2"/>
      <c r="DU525" s="2"/>
      <c r="DV525" s="2"/>
      <c r="DW525" s="2"/>
      <c r="DX525" s="2"/>
      <c r="DY525" s="2"/>
      <c r="DZ525" s="2"/>
      <c r="EA525" s="2"/>
      <c r="EB525" s="2"/>
      <c r="EC525" s="2"/>
      <c r="ED525" s="2"/>
      <c r="EE525" s="2"/>
      <c r="EF525" s="2"/>
      <c r="EG525" s="2"/>
      <c r="EH525" s="2"/>
      <c r="EI525" s="2"/>
      <c r="EJ525" s="2"/>
      <c r="EK525" s="2"/>
      <c r="EL525" s="2"/>
      <c r="EM525" s="2"/>
      <c r="EN525" s="2"/>
      <c r="EO525" s="2"/>
      <c r="EP525" s="2"/>
      <c r="EQ525" s="2"/>
      <c r="ER525" s="2"/>
      <c r="ES525" s="2"/>
      <c r="ET525" s="2"/>
      <c r="EU525" s="2"/>
      <c r="EV525" s="2"/>
      <c r="EW525" s="2"/>
      <c r="EX525" s="2"/>
      <c r="EY525" s="2"/>
      <c r="EZ525" s="2"/>
      <c r="FA525" s="2"/>
      <c r="FB525" s="2"/>
      <c r="FC525" s="2"/>
      <c r="FD525" s="2"/>
      <c r="FE525" s="2"/>
      <c r="FF525" s="2"/>
      <c r="FG525" s="2"/>
      <c r="FH525" s="2"/>
      <c r="FI525" s="2"/>
      <c r="FJ525" s="2"/>
      <c r="FK525" s="2"/>
      <c r="FL525" s="2"/>
      <c r="FM525" s="2"/>
      <c r="FN525" s="2"/>
      <c r="FO525" s="2"/>
      <c r="FP525" s="2"/>
      <c r="FQ525" s="2"/>
      <c r="FR525" s="2"/>
      <c r="FS525" s="2"/>
      <c r="FT525" s="2"/>
      <c r="FU525" s="2"/>
      <c r="FV525" s="2"/>
      <c r="FW525" s="2"/>
      <c r="FX525" s="2"/>
      <c r="FY525" s="2"/>
      <c r="FZ525" s="2"/>
      <c r="GA525" s="2"/>
      <c r="GB525" s="2"/>
      <c r="GC525" s="2"/>
      <c r="GD525" s="2"/>
      <c r="GE525" s="2"/>
      <c r="GF525" s="2"/>
      <c r="GG525" s="2"/>
      <c r="GH525" s="2"/>
      <c r="GI525" s="2"/>
      <c r="GJ525" s="2"/>
      <c r="GK525" s="2"/>
      <c r="GL525" s="2"/>
      <c r="GM525" s="2"/>
      <c r="GN525" s="2"/>
      <c r="GO525" s="2"/>
      <c r="GP525" s="2"/>
      <c r="GQ525" s="2"/>
      <c r="GR525" s="2"/>
      <c r="GS525" s="2"/>
      <c r="GT525" s="2"/>
      <c r="GU525" s="2"/>
      <c r="GV525" s="2"/>
      <c r="GW525" s="2"/>
      <c r="GX525" s="2"/>
      <c r="GY525" s="2"/>
      <c r="GZ525" s="2"/>
      <c r="HA525" s="2"/>
      <c r="HB525" s="2"/>
      <c r="HC525" s="2"/>
      <c r="HD525" s="2"/>
      <c r="HE525" s="2"/>
      <c r="HF525" s="2"/>
      <c r="HG525" s="2"/>
      <c r="HH525" s="2"/>
      <c r="HI525" s="2"/>
      <c r="HJ525" s="2"/>
      <c r="HK525" s="2"/>
      <c r="HL525" s="2"/>
      <c r="HM525" s="2"/>
      <c r="HN525" s="2"/>
      <c r="HO525" s="2"/>
      <c r="HP525" s="2"/>
      <c r="HQ525" s="2"/>
      <c r="HR525" s="2"/>
      <c r="HS525" s="2"/>
      <c r="HT525" s="2"/>
      <c r="HU525" s="2"/>
      <c r="HV525" s="2"/>
      <c r="HW525" s="2"/>
      <c r="HX525" s="2"/>
      <c r="HY525" s="2"/>
      <c r="HZ525" s="2"/>
      <c r="IA525" s="2"/>
      <c r="IB525" s="2"/>
      <c r="IC525" s="2"/>
    </row>
    <row r="526" spans="1:237" x14ac:dyDescent="0.2">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c r="AA526" s="2"/>
      <c r="AB526" s="2"/>
      <c r="AC526" s="2"/>
      <c r="AD526" s="2"/>
      <c r="AE526" s="2"/>
      <c r="AF526" s="2"/>
      <c r="AG526" s="2"/>
      <c r="AH526" s="2"/>
      <c r="AI526" s="2"/>
      <c r="AJ526" s="2"/>
      <c r="AK526" s="2"/>
      <c r="AL526" s="2"/>
      <c r="AM526" s="2"/>
      <c r="AN526" s="2"/>
      <c r="AO526" s="2"/>
      <c r="AP526" s="2"/>
      <c r="AQ526" s="2"/>
      <c r="AR526" s="2"/>
      <c r="AS526" s="2"/>
      <c r="AT526" s="2"/>
      <c r="AU526" s="2"/>
      <c r="AV526" s="2"/>
      <c r="AW526" s="2"/>
      <c r="AX526" s="2"/>
      <c r="AY526" s="2"/>
      <c r="AZ526" s="2"/>
      <c r="BA526" s="2"/>
      <c r="BB526" s="2"/>
      <c r="BC526" s="2"/>
      <c r="BD526" s="2"/>
      <c r="BE526" s="2"/>
      <c r="BF526" s="2"/>
      <c r="BG526" s="2"/>
      <c r="BH526" s="2"/>
      <c r="BI526" s="2"/>
      <c r="BJ526" s="2"/>
      <c r="BK526" s="2"/>
      <c r="BL526" s="2"/>
      <c r="BM526" s="2"/>
      <c r="BN526" s="2"/>
      <c r="BO526" s="2"/>
      <c r="BP526" s="2"/>
      <c r="BQ526" s="2"/>
      <c r="BR526" s="2"/>
      <c r="BS526" s="2"/>
      <c r="BT526" s="2"/>
      <c r="BU526" s="2"/>
      <c r="BV526" s="2"/>
      <c r="BW526" s="2"/>
      <c r="BX526" s="2"/>
      <c r="BY526" s="2"/>
      <c r="BZ526" s="2"/>
      <c r="CA526" s="2"/>
      <c r="CB526" s="2"/>
      <c r="CC526" s="2"/>
      <c r="CD526" s="2"/>
      <c r="CE526" s="2"/>
      <c r="CF526" s="2"/>
      <c r="CG526" s="2"/>
      <c r="CH526" s="2"/>
      <c r="CI526" s="2"/>
      <c r="CJ526" s="2"/>
      <c r="CK526" s="2"/>
      <c r="CL526" s="2"/>
      <c r="CM526" s="2"/>
      <c r="CN526" s="2"/>
      <c r="CO526" s="2"/>
      <c r="CP526" s="2"/>
      <c r="CQ526" s="2"/>
      <c r="CR526" s="2"/>
      <c r="CS526" s="2"/>
      <c r="CT526" s="2"/>
      <c r="CU526" s="2"/>
      <c r="CV526" s="2"/>
      <c r="CW526" s="2"/>
      <c r="CX526" s="2"/>
      <c r="CY526" s="2"/>
      <c r="CZ526" s="2"/>
      <c r="DA526" s="2"/>
      <c r="DB526" s="2"/>
      <c r="DC526" s="2"/>
      <c r="DD526" s="2"/>
      <c r="DE526" s="2"/>
      <c r="DF526" s="2"/>
      <c r="DG526" s="2"/>
      <c r="DH526" s="2"/>
      <c r="DI526" s="2"/>
      <c r="DJ526" s="2"/>
      <c r="DK526" s="2"/>
      <c r="DL526" s="2"/>
      <c r="DM526" s="2"/>
      <c r="DN526" s="2"/>
      <c r="DO526" s="2"/>
      <c r="DP526" s="2"/>
      <c r="DQ526" s="2"/>
      <c r="DR526" s="2"/>
      <c r="DS526" s="2"/>
      <c r="DT526" s="2"/>
      <c r="DU526" s="2"/>
      <c r="DV526" s="2"/>
      <c r="DW526" s="2"/>
      <c r="DX526" s="2"/>
      <c r="DY526" s="2"/>
      <c r="DZ526" s="2"/>
      <c r="EA526" s="2"/>
      <c r="EB526" s="2"/>
      <c r="EC526" s="2"/>
      <c r="ED526" s="2"/>
      <c r="EE526" s="2"/>
      <c r="EF526" s="2"/>
      <c r="EG526" s="2"/>
      <c r="EH526" s="2"/>
      <c r="EI526" s="2"/>
      <c r="EJ526" s="2"/>
      <c r="EK526" s="2"/>
      <c r="EL526" s="2"/>
      <c r="EM526" s="2"/>
      <c r="EN526" s="2"/>
      <c r="EO526" s="2"/>
      <c r="EP526" s="2"/>
      <c r="EQ526" s="2"/>
      <c r="ER526" s="2"/>
      <c r="ES526" s="2"/>
      <c r="ET526" s="2"/>
      <c r="EU526" s="2"/>
      <c r="EV526" s="2"/>
      <c r="EW526" s="2"/>
      <c r="EX526" s="2"/>
      <c r="EY526" s="2"/>
      <c r="EZ526" s="2"/>
      <c r="FA526" s="2"/>
      <c r="FB526" s="2"/>
      <c r="FC526" s="2"/>
      <c r="FD526" s="2"/>
      <c r="FE526" s="2"/>
      <c r="FF526" s="2"/>
      <c r="FG526" s="2"/>
      <c r="FH526" s="2"/>
      <c r="FI526" s="2"/>
      <c r="FJ526" s="2"/>
      <c r="FK526" s="2"/>
      <c r="FL526" s="2"/>
      <c r="FM526" s="2"/>
      <c r="FN526" s="2"/>
      <c r="FO526" s="2"/>
      <c r="FP526" s="2"/>
      <c r="FQ526" s="2"/>
      <c r="FR526" s="2"/>
      <c r="FS526" s="2"/>
      <c r="FT526" s="2"/>
      <c r="FU526" s="2"/>
      <c r="FV526" s="2"/>
      <c r="FW526" s="2"/>
      <c r="FX526" s="2"/>
      <c r="FY526" s="2"/>
      <c r="FZ526" s="2"/>
      <c r="GA526" s="2"/>
      <c r="GB526" s="2"/>
      <c r="GC526" s="2"/>
      <c r="GD526" s="2"/>
      <c r="GE526" s="2"/>
      <c r="GF526" s="2"/>
      <c r="GG526" s="2"/>
      <c r="GH526" s="2"/>
      <c r="GI526" s="2"/>
      <c r="GJ526" s="2"/>
      <c r="GK526" s="2"/>
      <c r="GL526" s="2"/>
      <c r="GM526" s="2"/>
      <c r="GN526" s="2"/>
      <c r="GO526" s="2"/>
      <c r="GP526" s="2"/>
      <c r="GQ526" s="2"/>
      <c r="GR526" s="2"/>
      <c r="GS526" s="2"/>
      <c r="GT526" s="2"/>
      <c r="GU526" s="2"/>
      <c r="GV526" s="2"/>
      <c r="GW526" s="2"/>
      <c r="GX526" s="2"/>
      <c r="GY526" s="2"/>
      <c r="GZ526" s="2"/>
      <c r="HA526" s="2"/>
      <c r="HB526" s="2"/>
      <c r="HC526" s="2"/>
      <c r="HD526" s="2"/>
      <c r="HE526" s="2"/>
      <c r="HF526" s="2"/>
      <c r="HG526" s="2"/>
      <c r="HH526" s="2"/>
      <c r="HI526" s="2"/>
      <c r="HJ526" s="2"/>
      <c r="HK526" s="2"/>
      <c r="HL526" s="2"/>
      <c r="HM526" s="2"/>
      <c r="HN526" s="2"/>
      <c r="HO526" s="2"/>
      <c r="HP526" s="2"/>
      <c r="HQ526" s="2"/>
      <c r="HR526" s="2"/>
      <c r="HS526" s="2"/>
      <c r="HT526" s="2"/>
      <c r="HU526" s="2"/>
      <c r="HV526" s="2"/>
      <c r="HW526" s="2"/>
      <c r="HX526" s="2"/>
      <c r="HY526" s="2"/>
      <c r="HZ526" s="2"/>
      <c r="IA526" s="2"/>
      <c r="IB526" s="2"/>
      <c r="IC526" s="2"/>
    </row>
    <row r="527" spans="1:237" x14ac:dyDescent="0.2">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c r="AA527" s="2"/>
      <c r="AB527" s="2"/>
      <c r="AC527" s="2"/>
      <c r="AD527" s="2"/>
      <c r="AE527" s="2"/>
      <c r="AF527" s="2"/>
      <c r="AG527" s="2"/>
      <c r="AH527" s="2"/>
      <c r="AI527" s="2"/>
      <c r="AJ527" s="2"/>
      <c r="AK527" s="2"/>
      <c r="AL527" s="2"/>
      <c r="AM527" s="2"/>
      <c r="AN527" s="2"/>
      <c r="AO527" s="2"/>
      <c r="AP527" s="2"/>
      <c r="AQ527" s="2"/>
      <c r="AR527" s="2"/>
      <c r="AS527" s="2"/>
      <c r="AT527" s="2"/>
      <c r="AU527" s="2"/>
      <c r="AV527" s="2"/>
      <c r="AW527" s="2"/>
      <c r="AX527" s="2"/>
      <c r="AY527" s="2"/>
      <c r="AZ527" s="2"/>
      <c r="BA527" s="2"/>
      <c r="BB527" s="2"/>
      <c r="BC527" s="2"/>
      <c r="BD527" s="2"/>
      <c r="BE527" s="2"/>
      <c r="BF527" s="2"/>
      <c r="BG527" s="2"/>
      <c r="BH527" s="2"/>
      <c r="BI527" s="2"/>
      <c r="BJ527" s="2"/>
      <c r="BK527" s="2"/>
      <c r="BL527" s="2"/>
      <c r="BM527" s="2"/>
      <c r="BN527" s="2"/>
      <c r="BO527" s="2"/>
      <c r="BP527" s="2"/>
      <c r="BQ527" s="2"/>
      <c r="BR527" s="2"/>
      <c r="BS527" s="2"/>
      <c r="BT527" s="2"/>
      <c r="BU527" s="2"/>
      <c r="BV527" s="2"/>
      <c r="BW527" s="2"/>
      <c r="BX527" s="2"/>
      <c r="BY527" s="2"/>
      <c r="BZ527" s="2"/>
      <c r="CA527" s="2"/>
      <c r="CB527" s="2"/>
      <c r="CC527" s="2"/>
      <c r="CD527" s="2"/>
      <c r="CE527" s="2"/>
      <c r="CF527" s="2"/>
      <c r="CG527" s="2"/>
      <c r="CH527" s="2"/>
      <c r="CI527" s="2"/>
      <c r="CJ527" s="2"/>
      <c r="CK527" s="2"/>
      <c r="CL527" s="2"/>
      <c r="CM527" s="2"/>
      <c r="CN527" s="2"/>
      <c r="CO527" s="2"/>
      <c r="CP527" s="2"/>
      <c r="CQ527" s="2"/>
      <c r="CR527" s="2"/>
      <c r="CS527" s="2"/>
      <c r="CT527" s="2"/>
      <c r="CU527" s="2"/>
      <c r="CV527" s="2"/>
      <c r="CW527" s="2"/>
      <c r="CX527" s="2"/>
      <c r="CY527" s="2"/>
      <c r="CZ527" s="2"/>
      <c r="DA527" s="2"/>
      <c r="DB527" s="2"/>
      <c r="DC527" s="2"/>
      <c r="DD527" s="2"/>
      <c r="DE527" s="2"/>
      <c r="DF527" s="2"/>
      <c r="DG527" s="2"/>
      <c r="DH527" s="2"/>
      <c r="DI527" s="2"/>
      <c r="DJ527" s="2"/>
      <c r="DK527" s="2"/>
      <c r="DL527" s="2"/>
      <c r="DM527" s="2"/>
      <c r="DN527" s="2"/>
      <c r="DO527" s="2"/>
      <c r="DP527" s="2"/>
      <c r="DQ527" s="2"/>
      <c r="DR527" s="2"/>
      <c r="DS527" s="2"/>
      <c r="DT527" s="2"/>
      <c r="DU527" s="2"/>
      <c r="DV527" s="2"/>
      <c r="DW527" s="2"/>
      <c r="DX527" s="2"/>
      <c r="DY527" s="2"/>
      <c r="DZ527" s="2"/>
      <c r="EA527" s="2"/>
      <c r="EB527" s="2"/>
      <c r="EC527" s="2"/>
      <c r="ED527" s="2"/>
      <c r="EE527" s="2"/>
      <c r="EF527" s="2"/>
      <c r="EG527" s="2"/>
      <c r="EH527" s="2"/>
      <c r="EI527" s="2"/>
      <c r="EJ527" s="2"/>
      <c r="EK527" s="2"/>
      <c r="EL527" s="2"/>
      <c r="EM527" s="2"/>
      <c r="EN527" s="2"/>
      <c r="EO527" s="2"/>
      <c r="EP527" s="2"/>
      <c r="EQ527" s="2"/>
      <c r="ER527" s="2"/>
      <c r="ES527" s="2"/>
      <c r="ET527" s="2"/>
      <c r="EU527" s="2"/>
      <c r="EV527" s="2"/>
      <c r="EW527" s="2"/>
      <c r="EX527" s="2"/>
      <c r="EY527" s="2"/>
      <c r="EZ527" s="2"/>
      <c r="FA527" s="2"/>
      <c r="FB527" s="2"/>
      <c r="FC527" s="2"/>
      <c r="FD527" s="2"/>
      <c r="FE527" s="2"/>
      <c r="FF527" s="2"/>
      <c r="FG527" s="2"/>
      <c r="FH527" s="2"/>
      <c r="FI527" s="2"/>
      <c r="FJ527" s="2"/>
      <c r="FK527" s="2"/>
      <c r="FL527" s="2"/>
      <c r="FM527" s="2"/>
      <c r="FN527" s="2"/>
      <c r="FO527" s="2"/>
      <c r="FP527" s="2"/>
      <c r="FQ527" s="2"/>
      <c r="FR527" s="2"/>
      <c r="FS527" s="2"/>
      <c r="FT527" s="2"/>
      <c r="FU527" s="2"/>
      <c r="FV527" s="2"/>
      <c r="FW527" s="2"/>
      <c r="FX527" s="2"/>
      <c r="FY527" s="2"/>
      <c r="FZ527" s="2"/>
      <c r="GA527" s="2"/>
      <c r="GB527" s="2"/>
      <c r="GC527" s="2"/>
      <c r="GD527" s="2"/>
      <c r="GE527" s="2"/>
      <c r="GF527" s="2"/>
      <c r="GG527" s="2"/>
      <c r="GH527" s="2"/>
      <c r="GI527" s="2"/>
      <c r="GJ527" s="2"/>
      <c r="GK527" s="2"/>
      <c r="GL527" s="2"/>
      <c r="GM527" s="2"/>
      <c r="GN527" s="2"/>
      <c r="GO527" s="2"/>
      <c r="GP527" s="2"/>
      <c r="GQ527" s="2"/>
      <c r="GR527" s="2"/>
      <c r="GS527" s="2"/>
      <c r="GT527" s="2"/>
      <c r="GU527" s="2"/>
      <c r="GV527" s="2"/>
      <c r="GW527" s="2"/>
      <c r="GX527" s="2"/>
      <c r="GY527" s="2"/>
      <c r="GZ527" s="2"/>
      <c r="HA527" s="2"/>
      <c r="HB527" s="2"/>
      <c r="HC527" s="2"/>
      <c r="HD527" s="2"/>
      <c r="HE527" s="2"/>
      <c r="HF527" s="2"/>
      <c r="HG527" s="2"/>
      <c r="HH527" s="2"/>
      <c r="HI527" s="2"/>
      <c r="HJ527" s="2"/>
      <c r="HK527" s="2"/>
      <c r="HL527" s="2"/>
      <c r="HM527" s="2"/>
      <c r="HN527" s="2"/>
      <c r="HO527" s="2"/>
      <c r="HP527" s="2"/>
      <c r="HQ527" s="2"/>
      <c r="HR527" s="2"/>
      <c r="HS527" s="2"/>
      <c r="HT527" s="2"/>
      <c r="HU527" s="2"/>
      <c r="HV527" s="2"/>
      <c r="HW527" s="2"/>
      <c r="HX527" s="2"/>
      <c r="HY527" s="2"/>
      <c r="HZ527" s="2"/>
      <c r="IA527" s="2"/>
      <c r="IB527" s="2"/>
      <c r="IC527" s="2"/>
    </row>
    <row r="528" spans="1:237" x14ac:dyDescent="0.2">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c r="AA528" s="2"/>
      <c r="AB528" s="2"/>
      <c r="AC528" s="2"/>
      <c r="AD528" s="2"/>
      <c r="AE528" s="2"/>
      <c r="AF528" s="2"/>
      <c r="AG528" s="2"/>
      <c r="AH528" s="2"/>
      <c r="AI528" s="2"/>
      <c r="AJ528" s="2"/>
      <c r="AK528" s="2"/>
      <c r="AL528" s="2"/>
      <c r="AM528" s="2"/>
      <c r="AN528" s="2"/>
      <c r="AO528" s="2"/>
      <c r="AP528" s="2"/>
      <c r="AQ528" s="2"/>
      <c r="AR528" s="2"/>
      <c r="AS528" s="2"/>
      <c r="AT528" s="2"/>
      <c r="AU528" s="2"/>
      <c r="AV528" s="2"/>
      <c r="AW528" s="2"/>
      <c r="AX528" s="2"/>
      <c r="AY528" s="2"/>
      <c r="AZ528" s="2"/>
      <c r="BA528" s="2"/>
      <c r="BB528" s="2"/>
      <c r="BC528" s="2"/>
      <c r="BD528" s="2"/>
      <c r="BE528" s="2"/>
      <c r="BF528" s="2"/>
      <c r="BG528" s="2"/>
      <c r="BH528" s="2"/>
      <c r="BI528" s="2"/>
      <c r="BJ528" s="2"/>
      <c r="BK528" s="2"/>
      <c r="BL528" s="2"/>
      <c r="BM528" s="2"/>
      <c r="BN528" s="2"/>
      <c r="BO528" s="2"/>
      <c r="BP528" s="2"/>
      <c r="BQ528" s="2"/>
      <c r="BR528" s="2"/>
      <c r="BS528" s="2"/>
      <c r="BT528" s="2"/>
      <c r="BU528" s="2"/>
      <c r="BV528" s="2"/>
      <c r="BW528" s="2"/>
      <c r="BX528" s="2"/>
      <c r="BY528" s="2"/>
      <c r="BZ528" s="2"/>
      <c r="CA528" s="2"/>
      <c r="CB528" s="2"/>
      <c r="CC528" s="2"/>
      <c r="CD528" s="2"/>
      <c r="CE528" s="2"/>
      <c r="CF528" s="2"/>
      <c r="CG528" s="2"/>
      <c r="CH528" s="2"/>
      <c r="CI528" s="2"/>
      <c r="CJ528" s="2"/>
      <c r="CK528" s="2"/>
      <c r="CL528" s="2"/>
      <c r="CM528" s="2"/>
      <c r="CN528" s="2"/>
      <c r="CO528" s="2"/>
      <c r="CP528" s="2"/>
      <c r="CQ528" s="2"/>
      <c r="CR528" s="2"/>
      <c r="CS528" s="2"/>
      <c r="CT528" s="2"/>
      <c r="CU528" s="2"/>
      <c r="CV528" s="2"/>
      <c r="CW528" s="2"/>
      <c r="CX528" s="2"/>
      <c r="CY528" s="2"/>
      <c r="CZ528" s="2"/>
      <c r="DA528" s="2"/>
      <c r="DB528" s="2"/>
      <c r="DC528" s="2"/>
      <c r="DD528" s="2"/>
      <c r="DE528" s="2"/>
      <c r="DF528" s="2"/>
      <c r="DG528" s="2"/>
      <c r="DH528" s="2"/>
      <c r="DI528" s="2"/>
      <c r="DJ528" s="2"/>
      <c r="DK528" s="2"/>
      <c r="DL528" s="2"/>
      <c r="DM528" s="2"/>
      <c r="DN528" s="2"/>
      <c r="DO528" s="2"/>
      <c r="DP528" s="2"/>
      <c r="DQ528" s="2"/>
      <c r="DR528" s="2"/>
      <c r="DS528" s="2"/>
      <c r="DT528" s="2"/>
      <c r="DU528" s="2"/>
      <c r="DV528" s="2"/>
      <c r="DW528" s="2"/>
      <c r="DX528" s="2"/>
      <c r="DY528" s="2"/>
      <c r="DZ528" s="2"/>
      <c r="EA528" s="2"/>
      <c r="EB528" s="2"/>
      <c r="EC528" s="2"/>
      <c r="ED528" s="2"/>
      <c r="EE528" s="2"/>
      <c r="EF528" s="2"/>
      <c r="EG528" s="2"/>
      <c r="EH528" s="2"/>
      <c r="EI528" s="2"/>
      <c r="EJ528" s="2"/>
      <c r="EK528" s="2"/>
      <c r="EL528" s="2"/>
      <c r="EM528" s="2"/>
      <c r="EN528" s="2"/>
      <c r="EO528" s="2"/>
      <c r="EP528" s="2"/>
      <c r="EQ528" s="2"/>
      <c r="ER528" s="2"/>
      <c r="ES528" s="2"/>
      <c r="ET528" s="2"/>
      <c r="EU528" s="2"/>
      <c r="EV528" s="2"/>
      <c r="EW528" s="2"/>
      <c r="EX528" s="2"/>
      <c r="EY528" s="2"/>
      <c r="EZ528" s="2"/>
      <c r="FA528" s="2"/>
      <c r="FB528" s="2"/>
      <c r="FC528" s="2"/>
      <c r="FD528" s="2"/>
      <c r="FE528" s="2"/>
      <c r="FF528" s="2"/>
      <c r="FG528" s="2"/>
      <c r="FH528" s="2"/>
      <c r="FI528" s="2"/>
      <c r="FJ528" s="2"/>
      <c r="FK528" s="2"/>
      <c r="FL528" s="2"/>
      <c r="FM528" s="2"/>
      <c r="FN528" s="2"/>
      <c r="FO528" s="2"/>
      <c r="FP528" s="2"/>
      <c r="FQ528" s="2"/>
      <c r="FR528" s="2"/>
      <c r="FS528" s="2"/>
      <c r="FT528" s="2"/>
      <c r="FU528" s="2"/>
      <c r="FV528" s="2"/>
      <c r="FW528" s="2"/>
      <c r="FX528" s="2"/>
      <c r="FY528" s="2"/>
      <c r="FZ528" s="2"/>
      <c r="GA528" s="2"/>
      <c r="GB528" s="2"/>
      <c r="GC528" s="2"/>
      <c r="GD528" s="2"/>
      <c r="GE528" s="2"/>
      <c r="GF528" s="2"/>
      <c r="GG528" s="2"/>
      <c r="GH528" s="2"/>
      <c r="GI528" s="2"/>
      <c r="GJ528" s="2"/>
      <c r="GK528" s="2"/>
      <c r="GL528" s="2"/>
      <c r="GM528" s="2"/>
      <c r="GN528" s="2"/>
      <c r="GO528" s="2"/>
      <c r="GP528" s="2"/>
      <c r="GQ528" s="2"/>
      <c r="GR528" s="2"/>
      <c r="GS528" s="2"/>
      <c r="GT528" s="2"/>
      <c r="GU528" s="2"/>
      <c r="GV528" s="2"/>
      <c r="GW528" s="2"/>
      <c r="GX528" s="2"/>
      <c r="GY528" s="2"/>
      <c r="GZ528" s="2"/>
      <c r="HA528" s="2"/>
      <c r="HB528" s="2"/>
      <c r="HC528" s="2"/>
      <c r="HD528" s="2"/>
      <c r="HE528" s="2"/>
      <c r="HF528" s="2"/>
      <c r="HG528" s="2"/>
      <c r="HH528" s="2"/>
      <c r="HI528" s="2"/>
      <c r="HJ528" s="2"/>
      <c r="HK528" s="2"/>
      <c r="HL528" s="2"/>
      <c r="HM528" s="2"/>
      <c r="HN528" s="2"/>
      <c r="HO528" s="2"/>
      <c r="HP528" s="2"/>
      <c r="HQ528" s="2"/>
      <c r="HR528" s="2"/>
      <c r="HS528" s="2"/>
      <c r="HT528" s="2"/>
      <c r="HU528" s="2"/>
      <c r="HV528" s="2"/>
      <c r="HW528" s="2"/>
      <c r="HX528" s="2"/>
      <c r="HY528" s="2"/>
      <c r="HZ528" s="2"/>
      <c r="IA528" s="2"/>
      <c r="IB528" s="2"/>
      <c r="IC528" s="2"/>
    </row>
    <row r="529" spans="1:237" x14ac:dyDescent="0.2">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c r="AA529" s="2"/>
      <c r="AB529" s="2"/>
      <c r="AC529" s="2"/>
      <c r="AD529" s="2"/>
      <c r="AE529" s="2"/>
      <c r="AF529" s="2"/>
      <c r="AG529" s="2"/>
      <c r="AH529" s="2"/>
      <c r="AI529" s="2"/>
      <c r="AJ529" s="2"/>
      <c r="AK529" s="2"/>
      <c r="AL529" s="2"/>
      <c r="AM529" s="2"/>
      <c r="AN529" s="2"/>
      <c r="AO529" s="2"/>
      <c r="AP529" s="2"/>
      <c r="AQ529" s="2"/>
      <c r="AR529" s="2"/>
      <c r="AS529" s="2"/>
      <c r="AT529" s="2"/>
      <c r="AU529" s="2"/>
      <c r="AV529" s="2"/>
      <c r="AW529" s="2"/>
      <c r="AX529" s="2"/>
      <c r="AY529" s="2"/>
      <c r="AZ529" s="2"/>
      <c r="BA529" s="2"/>
      <c r="BB529" s="2"/>
      <c r="BC529" s="2"/>
      <c r="BD529" s="2"/>
      <c r="BE529" s="2"/>
      <c r="BF529" s="2"/>
      <c r="BG529" s="2"/>
      <c r="BH529" s="2"/>
      <c r="BI529" s="2"/>
      <c r="BJ529" s="2"/>
      <c r="BK529" s="2"/>
      <c r="BL529" s="2"/>
      <c r="BM529" s="2"/>
      <c r="BN529" s="2"/>
      <c r="BO529" s="2"/>
      <c r="BP529" s="2"/>
      <c r="BQ529" s="2"/>
      <c r="BR529" s="2"/>
      <c r="BS529" s="2"/>
      <c r="BT529" s="2"/>
      <c r="BU529" s="2"/>
      <c r="BV529" s="2"/>
      <c r="BW529" s="2"/>
      <c r="BX529" s="2"/>
      <c r="BY529" s="2"/>
      <c r="BZ529" s="2"/>
      <c r="CA529" s="2"/>
      <c r="CB529" s="2"/>
      <c r="CC529" s="2"/>
      <c r="CD529" s="2"/>
      <c r="CE529" s="2"/>
      <c r="CF529" s="2"/>
      <c r="CG529" s="2"/>
      <c r="CH529" s="2"/>
      <c r="CI529" s="2"/>
      <c r="CJ529" s="2"/>
      <c r="CK529" s="2"/>
      <c r="CL529" s="2"/>
      <c r="CM529" s="2"/>
      <c r="CN529" s="2"/>
      <c r="CO529" s="2"/>
      <c r="CP529" s="2"/>
      <c r="CQ529" s="2"/>
      <c r="CR529" s="2"/>
      <c r="CS529" s="2"/>
      <c r="CT529" s="2"/>
      <c r="CU529" s="2"/>
      <c r="CV529" s="2"/>
      <c r="CW529" s="2"/>
      <c r="CX529" s="2"/>
      <c r="CY529" s="2"/>
      <c r="CZ529" s="2"/>
      <c r="DA529" s="2"/>
      <c r="DB529" s="2"/>
      <c r="DC529" s="2"/>
      <c r="DD529" s="2"/>
      <c r="DE529" s="2"/>
      <c r="DF529" s="2"/>
      <c r="DG529" s="2"/>
      <c r="DH529" s="2"/>
      <c r="DI529" s="2"/>
      <c r="DJ529" s="2"/>
      <c r="DK529" s="2"/>
      <c r="DL529" s="2"/>
      <c r="DM529" s="2"/>
      <c r="DN529" s="2"/>
      <c r="DO529" s="2"/>
      <c r="DP529" s="2"/>
      <c r="DQ529" s="2"/>
      <c r="DR529" s="2"/>
      <c r="DS529" s="2"/>
      <c r="DT529" s="2"/>
      <c r="DU529" s="2"/>
      <c r="DV529" s="2"/>
      <c r="DW529" s="2"/>
      <c r="DX529" s="2"/>
      <c r="DY529" s="2"/>
      <c r="DZ529" s="2"/>
      <c r="EA529" s="2"/>
      <c r="EB529" s="2"/>
      <c r="EC529" s="2"/>
      <c r="ED529" s="2"/>
      <c r="EE529" s="2"/>
      <c r="EF529" s="2"/>
      <c r="EG529" s="2"/>
      <c r="EH529" s="2"/>
      <c r="EI529" s="2"/>
      <c r="EJ529" s="2"/>
      <c r="EK529" s="2"/>
      <c r="EL529" s="2"/>
      <c r="EM529" s="2"/>
      <c r="EN529" s="2"/>
      <c r="EO529" s="2"/>
      <c r="EP529" s="2"/>
      <c r="EQ529" s="2"/>
      <c r="ER529" s="2"/>
      <c r="ES529" s="2"/>
      <c r="ET529" s="2"/>
      <c r="EU529" s="2"/>
      <c r="EV529" s="2"/>
      <c r="EW529" s="2"/>
      <c r="EX529" s="2"/>
      <c r="EY529" s="2"/>
      <c r="EZ529" s="2"/>
      <c r="FA529" s="2"/>
      <c r="FB529" s="2"/>
      <c r="FC529" s="2"/>
      <c r="FD529" s="2"/>
      <c r="FE529" s="2"/>
      <c r="FF529" s="2"/>
      <c r="FG529" s="2"/>
      <c r="FH529" s="2"/>
      <c r="FI529" s="2"/>
      <c r="FJ529" s="2"/>
      <c r="FK529" s="2"/>
      <c r="FL529" s="2"/>
      <c r="FM529" s="2"/>
      <c r="FN529" s="2"/>
      <c r="FO529" s="2"/>
      <c r="FP529" s="2"/>
      <c r="FQ529" s="2"/>
      <c r="FR529" s="2"/>
      <c r="FS529" s="2"/>
      <c r="FT529" s="2"/>
      <c r="FU529" s="2"/>
      <c r="FV529" s="2"/>
      <c r="FW529" s="2"/>
      <c r="FX529" s="2"/>
      <c r="FY529" s="2"/>
      <c r="FZ529" s="2"/>
      <c r="GA529" s="2"/>
      <c r="GB529" s="2"/>
      <c r="GC529" s="2"/>
      <c r="GD529" s="2"/>
      <c r="GE529" s="2"/>
      <c r="GF529" s="2"/>
      <c r="GG529" s="2"/>
      <c r="GH529" s="2"/>
      <c r="GI529" s="2"/>
      <c r="GJ529" s="2"/>
      <c r="GK529" s="2"/>
      <c r="GL529" s="2"/>
      <c r="GM529" s="2"/>
      <c r="GN529" s="2"/>
      <c r="GO529" s="2"/>
      <c r="GP529" s="2"/>
      <c r="GQ529" s="2"/>
      <c r="GR529" s="2"/>
      <c r="GS529" s="2"/>
      <c r="GT529" s="2"/>
      <c r="GU529" s="2"/>
      <c r="GV529" s="2"/>
      <c r="GW529" s="2"/>
      <c r="GX529" s="2"/>
      <c r="GY529" s="2"/>
      <c r="GZ529" s="2"/>
      <c r="HA529" s="2"/>
      <c r="HB529" s="2"/>
      <c r="HC529" s="2"/>
      <c r="HD529" s="2"/>
      <c r="HE529" s="2"/>
      <c r="HF529" s="2"/>
      <c r="HG529" s="2"/>
      <c r="HH529" s="2"/>
      <c r="HI529" s="2"/>
      <c r="HJ529" s="2"/>
      <c r="HK529" s="2"/>
      <c r="HL529" s="2"/>
      <c r="HM529" s="2"/>
      <c r="HN529" s="2"/>
      <c r="HO529" s="2"/>
      <c r="HP529" s="2"/>
      <c r="HQ529" s="2"/>
      <c r="HR529" s="2"/>
      <c r="HS529" s="2"/>
      <c r="HT529" s="2"/>
      <c r="HU529" s="2"/>
      <c r="HV529" s="2"/>
      <c r="HW529" s="2"/>
      <c r="HX529" s="2"/>
      <c r="HY529" s="2"/>
      <c r="HZ529" s="2"/>
      <c r="IA529" s="2"/>
      <c r="IB529" s="2"/>
      <c r="IC529" s="2"/>
    </row>
    <row r="530" spans="1:237" x14ac:dyDescent="0.2">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c r="AA530" s="2"/>
      <c r="AB530" s="2"/>
      <c r="AC530" s="2"/>
      <c r="AD530" s="2"/>
      <c r="AE530" s="2"/>
      <c r="AF530" s="2"/>
      <c r="AG530" s="2"/>
      <c r="AH530" s="2"/>
      <c r="AI530" s="2"/>
      <c r="AJ530" s="2"/>
      <c r="AK530" s="2"/>
      <c r="AL530" s="2"/>
      <c r="AM530" s="2"/>
      <c r="AN530" s="2"/>
      <c r="AO530" s="2"/>
      <c r="AP530" s="2"/>
      <c r="AQ530" s="2"/>
      <c r="AR530" s="2"/>
      <c r="AS530" s="2"/>
      <c r="AT530" s="2"/>
      <c r="AU530" s="2"/>
      <c r="AV530" s="2"/>
      <c r="AW530" s="2"/>
      <c r="AX530" s="2"/>
      <c r="AY530" s="2"/>
      <c r="AZ530" s="2"/>
      <c r="BA530" s="2"/>
      <c r="BB530" s="2"/>
      <c r="BC530" s="2"/>
      <c r="BD530" s="2"/>
      <c r="BE530" s="2"/>
      <c r="BF530" s="2"/>
      <c r="BG530" s="2"/>
      <c r="BH530" s="2"/>
      <c r="BI530" s="2"/>
      <c r="BJ530" s="2"/>
      <c r="BK530" s="2"/>
      <c r="BL530" s="2"/>
      <c r="BM530" s="2"/>
      <c r="BN530" s="2"/>
      <c r="BO530" s="2"/>
      <c r="BP530" s="2"/>
      <c r="BQ530" s="2"/>
      <c r="BR530" s="2"/>
      <c r="BS530" s="2"/>
      <c r="BT530" s="2"/>
      <c r="BU530" s="2"/>
      <c r="BV530" s="2"/>
      <c r="BW530" s="2"/>
      <c r="BX530" s="2"/>
      <c r="BY530" s="2"/>
      <c r="BZ530" s="2"/>
      <c r="CA530" s="2"/>
      <c r="CB530" s="2"/>
      <c r="CC530" s="2"/>
      <c r="CD530" s="2"/>
      <c r="CE530" s="2"/>
      <c r="CF530" s="2"/>
      <c r="CG530" s="2"/>
      <c r="CH530" s="2"/>
      <c r="CI530" s="2"/>
      <c r="CJ530" s="2"/>
      <c r="CK530" s="2"/>
      <c r="CL530" s="2"/>
      <c r="CM530" s="2"/>
      <c r="CN530" s="2"/>
      <c r="CO530" s="2"/>
      <c r="CP530" s="2"/>
      <c r="CQ530" s="2"/>
      <c r="CR530" s="2"/>
      <c r="CS530" s="2"/>
      <c r="CT530" s="2"/>
      <c r="CU530" s="2"/>
      <c r="CV530" s="2"/>
      <c r="CW530" s="2"/>
      <c r="CX530" s="2"/>
      <c r="CY530" s="2"/>
      <c r="CZ530" s="2"/>
      <c r="DA530" s="2"/>
      <c r="DB530" s="2"/>
      <c r="DC530" s="2"/>
      <c r="DD530" s="2"/>
      <c r="DE530" s="2"/>
      <c r="DF530" s="2"/>
      <c r="DG530" s="2"/>
      <c r="DH530" s="2"/>
      <c r="DI530" s="2"/>
      <c r="DJ530" s="2"/>
      <c r="DK530" s="2"/>
      <c r="DL530" s="2"/>
      <c r="DM530" s="2"/>
      <c r="DN530" s="2"/>
      <c r="DO530" s="2"/>
      <c r="DP530" s="2"/>
      <c r="DQ530" s="2"/>
      <c r="DR530" s="2"/>
      <c r="DS530" s="2"/>
      <c r="DT530" s="2"/>
      <c r="DU530" s="2"/>
      <c r="DV530" s="2"/>
      <c r="DW530" s="2"/>
      <c r="DX530" s="2"/>
      <c r="DY530" s="2"/>
      <c r="DZ530" s="2"/>
      <c r="EA530" s="2"/>
      <c r="EB530" s="2"/>
      <c r="EC530" s="2"/>
      <c r="ED530" s="2"/>
      <c r="EE530" s="2"/>
      <c r="EF530" s="2"/>
      <c r="EG530" s="2"/>
      <c r="EH530" s="2"/>
      <c r="EI530" s="2"/>
      <c r="EJ530" s="2"/>
      <c r="EK530" s="2"/>
      <c r="EL530" s="2"/>
      <c r="EM530" s="2"/>
      <c r="EN530" s="2"/>
      <c r="EO530" s="2"/>
      <c r="EP530" s="2"/>
      <c r="EQ530" s="2"/>
      <c r="ER530" s="2"/>
      <c r="ES530" s="2"/>
      <c r="ET530" s="2"/>
      <c r="EU530" s="2"/>
      <c r="EV530" s="2"/>
      <c r="EW530" s="2"/>
      <c r="EX530" s="2"/>
      <c r="EY530" s="2"/>
      <c r="EZ530" s="2"/>
      <c r="FA530" s="2"/>
      <c r="FB530" s="2"/>
      <c r="FC530" s="2"/>
      <c r="FD530" s="2"/>
      <c r="FE530" s="2"/>
      <c r="FF530" s="2"/>
      <c r="FG530" s="2"/>
      <c r="FH530" s="2"/>
      <c r="FI530" s="2"/>
      <c r="FJ530" s="2"/>
      <c r="FK530" s="2"/>
      <c r="FL530" s="2"/>
      <c r="FM530" s="2"/>
      <c r="FN530" s="2"/>
      <c r="FO530" s="2"/>
      <c r="FP530" s="2"/>
      <c r="FQ530" s="2"/>
      <c r="FR530" s="2"/>
      <c r="FS530" s="2"/>
      <c r="FT530" s="2"/>
      <c r="FU530" s="2"/>
      <c r="FV530" s="2"/>
      <c r="FW530" s="2"/>
      <c r="FX530" s="2"/>
      <c r="FY530" s="2"/>
      <c r="FZ530" s="2"/>
      <c r="GA530" s="2"/>
      <c r="GB530" s="2"/>
      <c r="GC530" s="2"/>
      <c r="GD530" s="2"/>
      <c r="GE530" s="2"/>
      <c r="GF530" s="2"/>
      <c r="GG530" s="2"/>
      <c r="GH530" s="2"/>
      <c r="GI530" s="2"/>
      <c r="GJ530" s="2"/>
      <c r="GK530" s="2"/>
      <c r="GL530" s="2"/>
      <c r="GM530" s="2"/>
      <c r="GN530" s="2"/>
      <c r="GO530" s="2"/>
      <c r="GP530" s="2"/>
      <c r="GQ530" s="2"/>
      <c r="GR530" s="2"/>
      <c r="GS530" s="2"/>
      <c r="GT530" s="2"/>
      <c r="GU530" s="2"/>
      <c r="GV530" s="2"/>
      <c r="GW530" s="2"/>
      <c r="GX530" s="2"/>
      <c r="GY530" s="2"/>
      <c r="GZ530" s="2"/>
      <c r="HA530" s="2"/>
      <c r="HB530" s="2"/>
      <c r="HC530" s="2"/>
      <c r="HD530" s="2"/>
      <c r="HE530" s="2"/>
      <c r="HF530" s="2"/>
      <c r="HG530" s="2"/>
      <c r="HH530" s="2"/>
      <c r="HI530" s="2"/>
      <c r="HJ530" s="2"/>
      <c r="HK530" s="2"/>
      <c r="HL530" s="2"/>
      <c r="HM530" s="2"/>
      <c r="HN530" s="2"/>
      <c r="HO530" s="2"/>
      <c r="HP530" s="2"/>
      <c r="HQ530" s="2"/>
      <c r="HR530" s="2"/>
      <c r="HS530" s="2"/>
      <c r="HT530" s="2"/>
      <c r="HU530" s="2"/>
      <c r="HV530" s="2"/>
      <c r="HW530" s="2"/>
      <c r="HX530" s="2"/>
      <c r="HY530" s="2"/>
      <c r="HZ530" s="2"/>
      <c r="IA530" s="2"/>
      <c r="IB530" s="2"/>
      <c r="IC530" s="2"/>
    </row>
    <row r="531" spans="1:237" x14ac:dyDescent="0.2">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c r="AA531" s="2"/>
      <c r="AB531" s="2"/>
      <c r="AC531" s="2"/>
      <c r="AD531" s="2"/>
      <c r="AE531" s="2"/>
      <c r="AF531" s="2"/>
      <c r="AG531" s="2"/>
      <c r="AH531" s="2"/>
      <c r="AI531" s="2"/>
      <c r="AJ531" s="2"/>
      <c r="AK531" s="2"/>
      <c r="AL531" s="2"/>
      <c r="AM531" s="2"/>
      <c r="AN531" s="2"/>
      <c r="AO531" s="2"/>
      <c r="AP531" s="2"/>
      <c r="AQ531" s="2"/>
      <c r="AR531" s="2"/>
      <c r="AS531" s="2"/>
      <c r="AT531" s="2"/>
      <c r="AU531" s="2"/>
      <c r="AV531" s="2"/>
      <c r="AW531" s="2"/>
      <c r="AX531" s="2"/>
      <c r="AY531" s="2"/>
      <c r="AZ531" s="2"/>
      <c r="BA531" s="2"/>
      <c r="BB531" s="2"/>
      <c r="BC531" s="2"/>
      <c r="BD531" s="2"/>
      <c r="BE531" s="2"/>
      <c r="BF531" s="2"/>
      <c r="BG531" s="2"/>
      <c r="BH531" s="2"/>
      <c r="BI531" s="2"/>
      <c r="BJ531" s="2"/>
      <c r="BK531" s="2"/>
      <c r="BL531" s="2"/>
      <c r="BM531" s="2"/>
      <c r="BN531" s="2"/>
      <c r="BO531" s="2"/>
      <c r="BP531" s="2"/>
      <c r="BQ531" s="2"/>
      <c r="BR531" s="2"/>
      <c r="BS531" s="2"/>
      <c r="BT531" s="2"/>
      <c r="BU531" s="2"/>
      <c r="BV531" s="2"/>
      <c r="BW531" s="2"/>
      <c r="BX531" s="2"/>
      <c r="BY531" s="2"/>
      <c r="BZ531" s="2"/>
      <c r="CA531" s="2"/>
      <c r="CB531" s="2"/>
      <c r="CC531" s="2"/>
      <c r="CD531" s="2"/>
      <c r="CE531" s="2"/>
      <c r="CF531" s="2"/>
      <c r="CG531" s="2"/>
      <c r="CH531" s="2"/>
      <c r="CI531" s="2"/>
      <c r="CJ531" s="2"/>
      <c r="CK531" s="2"/>
      <c r="CL531" s="2"/>
      <c r="CM531" s="2"/>
      <c r="CN531" s="2"/>
      <c r="CO531" s="2"/>
      <c r="CP531" s="2"/>
      <c r="CQ531" s="2"/>
      <c r="CR531" s="2"/>
      <c r="CS531" s="2"/>
      <c r="CT531" s="2"/>
      <c r="CU531" s="2"/>
      <c r="CV531" s="2"/>
      <c r="CW531" s="2"/>
      <c r="CX531" s="2"/>
      <c r="CY531" s="2"/>
      <c r="CZ531" s="2"/>
      <c r="DA531" s="2"/>
      <c r="DB531" s="2"/>
      <c r="DC531" s="2"/>
      <c r="DD531" s="2"/>
      <c r="DE531" s="2"/>
      <c r="DF531" s="2"/>
      <c r="DG531" s="2"/>
      <c r="DH531" s="2"/>
      <c r="DI531" s="2"/>
      <c r="DJ531" s="2"/>
      <c r="DK531" s="2"/>
      <c r="DL531" s="2"/>
      <c r="DM531" s="2"/>
      <c r="DN531" s="2"/>
      <c r="DO531" s="2"/>
      <c r="DP531" s="2"/>
      <c r="DQ531" s="2"/>
      <c r="DR531" s="2"/>
      <c r="DS531" s="2"/>
      <c r="DT531" s="2"/>
      <c r="DU531" s="2"/>
      <c r="DV531" s="2"/>
      <c r="DW531" s="2"/>
      <c r="DX531" s="2"/>
      <c r="DY531" s="2"/>
      <c r="DZ531" s="2"/>
      <c r="EA531" s="2"/>
      <c r="EB531" s="2"/>
      <c r="EC531" s="2"/>
      <c r="ED531" s="2"/>
      <c r="EE531" s="2"/>
      <c r="EF531" s="2"/>
      <c r="EG531" s="2"/>
      <c r="EH531" s="2"/>
      <c r="EI531" s="2"/>
      <c r="EJ531" s="2"/>
      <c r="EK531" s="2"/>
      <c r="EL531" s="2"/>
      <c r="EM531" s="2"/>
      <c r="EN531" s="2"/>
      <c r="EO531" s="2"/>
      <c r="EP531" s="2"/>
      <c r="EQ531" s="2"/>
      <c r="ER531" s="2"/>
      <c r="ES531" s="2"/>
      <c r="ET531" s="2"/>
      <c r="EU531" s="2"/>
      <c r="EV531" s="2"/>
      <c r="EW531" s="2"/>
      <c r="EX531" s="2"/>
      <c r="EY531" s="2"/>
      <c r="EZ531" s="2"/>
      <c r="FA531" s="2"/>
      <c r="FB531" s="2"/>
      <c r="FC531" s="2"/>
      <c r="FD531" s="2"/>
      <c r="FE531" s="2"/>
      <c r="FF531" s="2"/>
      <c r="FG531" s="2"/>
      <c r="FH531" s="2"/>
      <c r="FI531" s="2"/>
      <c r="FJ531" s="2"/>
      <c r="FK531" s="2"/>
      <c r="FL531" s="2"/>
      <c r="FM531" s="2"/>
      <c r="FN531" s="2"/>
      <c r="FO531" s="2"/>
      <c r="FP531" s="2"/>
      <c r="FQ531" s="2"/>
      <c r="FR531" s="2"/>
      <c r="FS531" s="2"/>
      <c r="FT531" s="2"/>
      <c r="FU531" s="2"/>
      <c r="FV531" s="2"/>
      <c r="FW531" s="2"/>
      <c r="FX531" s="2"/>
      <c r="FY531" s="2"/>
      <c r="FZ531" s="2"/>
      <c r="GA531" s="2"/>
      <c r="GB531" s="2"/>
      <c r="GC531" s="2"/>
      <c r="GD531" s="2"/>
      <c r="GE531" s="2"/>
      <c r="GF531" s="2"/>
      <c r="GG531" s="2"/>
      <c r="GH531" s="2"/>
      <c r="GI531" s="2"/>
      <c r="GJ531" s="2"/>
      <c r="GK531" s="2"/>
      <c r="GL531" s="2"/>
      <c r="GM531" s="2"/>
      <c r="GN531" s="2"/>
      <c r="GO531" s="2"/>
      <c r="GP531" s="2"/>
      <c r="GQ531" s="2"/>
      <c r="GR531" s="2"/>
      <c r="GS531" s="2"/>
      <c r="GT531" s="2"/>
      <c r="GU531" s="2"/>
      <c r="GV531" s="2"/>
      <c r="GW531" s="2"/>
      <c r="GX531" s="2"/>
      <c r="GY531" s="2"/>
      <c r="GZ531" s="2"/>
      <c r="HA531" s="2"/>
      <c r="HB531" s="2"/>
      <c r="HC531" s="2"/>
      <c r="HD531" s="2"/>
      <c r="HE531" s="2"/>
      <c r="HF531" s="2"/>
      <c r="HG531" s="2"/>
      <c r="HH531" s="2"/>
      <c r="HI531" s="2"/>
      <c r="HJ531" s="2"/>
      <c r="HK531" s="2"/>
      <c r="HL531" s="2"/>
      <c r="HM531" s="2"/>
      <c r="HN531" s="2"/>
      <c r="HO531" s="2"/>
      <c r="HP531" s="2"/>
      <c r="HQ531" s="2"/>
      <c r="HR531" s="2"/>
      <c r="HS531" s="2"/>
      <c r="HT531" s="2"/>
      <c r="HU531" s="2"/>
      <c r="HV531" s="2"/>
      <c r="HW531" s="2"/>
      <c r="HX531" s="2"/>
      <c r="HY531" s="2"/>
      <c r="HZ531" s="2"/>
      <c r="IA531" s="2"/>
      <c r="IB531" s="2"/>
      <c r="IC531" s="2"/>
    </row>
    <row r="532" spans="1:237" x14ac:dyDescent="0.2">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c r="AA532" s="2"/>
      <c r="AB532" s="2"/>
      <c r="AC532" s="2"/>
      <c r="AD532" s="2"/>
      <c r="AE532" s="2"/>
      <c r="AF532" s="2"/>
      <c r="AG532" s="2"/>
      <c r="AH532" s="2"/>
      <c r="AI532" s="2"/>
      <c r="AJ532" s="2"/>
      <c r="AK532" s="2"/>
      <c r="AL532" s="2"/>
      <c r="AM532" s="2"/>
      <c r="AN532" s="2"/>
      <c r="AO532" s="2"/>
      <c r="AP532" s="2"/>
      <c r="AQ532" s="2"/>
      <c r="AR532" s="2"/>
      <c r="AS532" s="2"/>
      <c r="AT532" s="2"/>
      <c r="AU532" s="2"/>
      <c r="AV532" s="2"/>
      <c r="AW532" s="2"/>
      <c r="AX532" s="2"/>
      <c r="AY532" s="2"/>
      <c r="AZ532" s="2"/>
      <c r="BA532" s="2"/>
      <c r="BB532" s="2"/>
      <c r="BC532" s="2"/>
      <c r="BD532" s="2"/>
      <c r="BE532" s="2"/>
      <c r="BF532" s="2"/>
      <c r="BG532" s="2"/>
      <c r="BH532" s="2"/>
      <c r="BI532" s="2"/>
      <c r="BJ532" s="2"/>
      <c r="BK532" s="2"/>
      <c r="BL532" s="2"/>
      <c r="BM532" s="2"/>
      <c r="BN532" s="2"/>
      <c r="BO532" s="2"/>
      <c r="BP532" s="2"/>
      <c r="BQ532" s="2"/>
      <c r="BR532" s="2"/>
      <c r="BS532" s="2"/>
      <c r="BT532" s="2"/>
      <c r="BU532" s="2"/>
      <c r="BV532" s="2"/>
      <c r="BW532" s="2"/>
      <c r="BX532" s="2"/>
      <c r="BY532" s="2"/>
      <c r="BZ532" s="2"/>
      <c r="CA532" s="2"/>
      <c r="CB532" s="2"/>
      <c r="CC532" s="2"/>
      <c r="CD532" s="2"/>
      <c r="CE532" s="2"/>
      <c r="CF532" s="2"/>
      <c r="CG532" s="2"/>
      <c r="CH532" s="2"/>
      <c r="CI532" s="2"/>
      <c r="CJ532" s="2"/>
      <c r="CK532" s="2"/>
      <c r="CL532" s="2"/>
      <c r="CM532" s="2"/>
      <c r="CN532" s="2"/>
      <c r="CO532" s="2"/>
      <c r="CP532" s="2"/>
      <c r="CQ532" s="2"/>
      <c r="CR532" s="2"/>
      <c r="CS532" s="2"/>
      <c r="CT532" s="2"/>
      <c r="CU532" s="2"/>
      <c r="CV532" s="2"/>
      <c r="CW532" s="2"/>
      <c r="CX532" s="2"/>
      <c r="CY532" s="2"/>
      <c r="CZ532" s="2"/>
      <c r="DA532" s="2"/>
      <c r="DB532" s="2"/>
      <c r="DC532" s="2"/>
      <c r="DD532" s="2"/>
      <c r="DE532" s="2"/>
      <c r="DF532" s="2"/>
      <c r="DG532" s="2"/>
      <c r="DH532" s="2"/>
      <c r="DI532" s="2"/>
      <c r="DJ532" s="2"/>
      <c r="DK532" s="2"/>
      <c r="DL532" s="2"/>
      <c r="DM532" s="2"/>
      <c r="DN532" s="2"/>
      <c r="DO532" s="2"/>
      <c r="DP532" s="2"/>
      <c r="DQ532" s="2"/>
      <c r="DR532" s="2"/>
      <c r="DS532" s="2"/>
      <c r="DT532" s="2"/>
      <c r="DU532" s="2"/>
      <c r="DV532" s="2"/>
      <c r="DW532" s="2"/>
      <c r="DX532" s="2"/>
      <c r="DY532" s="2"/>
      <c r="DZ532" s="2"/>
      <c r="EA532" s="2"/>
      <c r="EB532" s="2"/>
      <c r="EC532" s="2"/>
      <c r="ED532" s="2"/>
      <c r="EE532" s="2"/>
      <c r="EF532" s="2"/>
      <c r="EG532" s="2"/>
      <c r="EH532" s="2"/>
      <c r="EI532" s="2"/>
      <c r="EJ532" s="2"/>
      <c r="EK532" s="2"/>
      <c r="EL532" s="2"/>
      <c r="EM532" s="2"/>
      <c r="EN532" s="2"/>
      <c r="EO532" s="2"/>
      <c r="EP532" s="2"/>
      <c r="EQ532" s="2"/>
      <c r="ER532" s="2"/>
      <c r="ES532" s="2"/>
      <c r="ET532" s="2"/>
      <c r="EU532" s="2"/>
      <c r="EV532" s="2"/>
      <c r="EW532" s="2"/>
      <c r="EX532" s="2"/>
      <c r="EY532" s="2"/>
      <c r="EZ532" s="2"/>
      <c r="FA532" s="2"/>
      <c r="FB532" s="2"/>
      <c r="FC532" s="2"/>
      <c r="FD532" s="2"/>
      <c r="FE532" s="2"/>
      <c r="FF532" s="2"/>
      <c r="FG532" s="2"/>
      <c r="FH532" s="2"/>
      <c r="FI532" s="2"/>
      <c r="FJ532" s="2"/>
      <c r="FK532" s="2"/>
      <c r="FL532" s="2"/>
      <c r="FM532" s="2"/>
      <c r="FN532" s="2"/>
      <c r="FO532" s="2"/>
      <c r="FP532" s="2"/>
      <c r="FQ532" s="2"/>
      <c r="FR532" s="2"/>
      <c r="FS532" s="2"/>
      <c r="FT532" s="2"/>
      <c r="FU532" s="2"/>
      <c r="FV532" s="2"/>
      <c r="FW532" s="2"/>
      <c r="FX532" s="2"/>
      <c r="FY532" s="2"/>
      <c r="FZ532" s="2"/>
      <c r="GA532" s="2"/>
      <c r="GB532" s="2"/>
      <c r="GC532" s="2"/>
      <c r="GD532" s="2"/>
      <c r="GE532" s="2"/>
      <c r="GF532" s="2"/>
      <c r="GG532" s="2"/>
      <c r="GH532" s="2"/>
      <c r="GI532" s="2"/>
      <c r="GJ532" s="2"/>
      <c r="GK532" s="2"/>
      <c r="GL532" s="2"/>
      <c r="GM532" s="2"/>
      <c r="GN532" s="2"/>
      <c r="GO532" s="2"/>
      <c r="GP532" s="2"/>
      <c r="GQ532" s="2"/>
      <c r="GR532" s="2"/>
      <c r="GS532" s="2"/>
      <c r="GT532" s="2"/>
      <c r="GU532" s="2"/>
      <c r="GV532" s="2"/>
      <c r="GW532" s="2"/>
      <c r="GX532" s="2"/>
      <c r="GY532" s="2"/>
      <c r="GZ532" s="2"/>
      <c r="HA532" s="2"/>
      <c r="HB532" s="2"/>
      <c r="HC532" s="2"/>
      <c r="HD532" s="2"/>
      <c r="HE532" s="2"/>
      <c r="HF532" s="2"/>
      <c r="HG532" s="2"/>
      <c r="HH532" s="2"/>
      <c r="HI532" s="2"/>
      <c r="HJ532" s="2"/>
      <c r="HK532" s="2"/>
      <c r="HL532" s="2"/>
      <c r="HM532" s="2"/>
      <c r="HN532" s="2"/>
      <c r="HO532" s="2"/>
      <c r="HP532" s="2"/>
      <c r="HQ532" s="2"/>
      <c r="HR532" s="2"/>
      <c r="HS532" s="2"/>
      <c r="HT532" s="2"/>
      <c r="HU532" s="2"/>
      <c r="HV532" s="2"/>
      <c r="HW532" s="2"/>
      <c r="HX532" s="2"/>
      <c r="HY532" s="2"/>
      <c r="HZ532" s="2"/>
      <c r="IA532" s="2"/>
      <c r="IB532" s="2"/>
      <c r="IC532" s="2"/>
    </row>
    <row r="533" spans="1:237" x14ac:dyDescent="0.2">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c r="AA533" s="2"/>
      <c r="AB533" s="2"/>
      <c r="AC533" s="2"/>
      <c r="AD533" s="2"/>
      <c r="AE533" s="2"/>
      <c r="AF533" s="2"/>
      <c r="AG533" s="2"/>
      <c r="AH533" s="2"/>
      <c r="AI533" s="2"/>
      <c r="AJ533" s="2"/>
      <c r="AK533" s="2"/>
      <c r="AL533" s="2"/>
      <c r="AM533" s="2"/>
      <c r="AN533" s="2"/>
      <c r="AO533" s="2"/>
      <c r="AP533" s="2"/>
      <c r="AQ533" s="2"/>
      <c r="AR533" s="2"/>
      <c r="AS533" s="2"/>
      <c r="AT533" s="2"/>
      <c r="AU533" s="2"/>
      <c r="AV533" s="2"/>
      <c r="AW533" s="2"/>
      <c r="AX533" s="2"/>
      <c r="AY533" s="2"/>
      <c r="AZ533" s="2"/>
      <c r="BA533" s="2"/>
      <c r="BB533" s="2"/>
      <c r="BC533" s="2"/>
      <c r="BD533" s="2"/>
      <c r="BE533" s="2"/>
      <c r="BF533" s="2"/>
      <c r="BG533" s="2"/>
      <c r="BH533" s="2"/>
      <c r="BI533" s="2"/>
      <c r="BJ533" s="2"/>
      <c r="BK533" s="2"/>
      <c r="BL533" s="2"/>
      <c r="BM533" s="2"/>
      <c r="BN533" s="2"/>
      <c r="BO533" s="2"/>
      <c r="BP533" s="2"/>
      <c r="BQ533" s="2"/>
      <c r="BR533" s="2"/>
      <c r="BS533" s="2"/>
      <c r="BT533" s="2"/>
      <c r="BU533" s="2"/>
      <c r="BV533" s="2"/>
      <c r="BW533" s="2"/>
      <c r="BX533" s="2"/>
      <c r="BY533" s="2"/>
      <c r="BZ533" s="2"/>
      <c r="CA533" s="2"/>
      <c r="CB533" s="2"/>
      <c r="CC533" s="2"/>
      <c r="CD533" s="2"/>
      <c r="CE533" s="2"/>
      <c r="CF533" s="2"/>
      <c r="CG533" s="2"/>
      <c r="CH533" s="2"/>
      <c r="CI533" s="2"/>
      <c r="CJ533" s="2"/>
      <c r="CK533" s="2"/>
      <c r="CL533" s="2"/>
      <c r="CM533" s="2"/>
      <c r="CN533" s="2"/>
      <c r="CO533" s="2"/>
      <c r="CP533" s="2"/>
      <c r="CQ533" s="2"/>
      <c r="CR533" s="2"/>
      <c r="CS533" s="2"/>
      <c r="CT533" s="2"/>
      <c r="CU533" s="2"/>
      <c r="CV533" s="2"/>
      <c r="CW533" s="2"/>
      <c r="CX533" s="2"/>
      <c r="CY533" s="2"/>
      <c r="CZ533" s="2"/>
      <c r="DA533" s="2"/>
      <c r="DB533" s="2"/>
      <c r="DC533" s="2"/>
      <c r="DD533" s="2"/>
      <c r="DE533" s="2"/>
      <c r="DF533" s="2"/>
      <c r="DG533" s="2"/>
      <c r="DH533" s="2"/>
      <c r="DI533" s="2"/>
      <c r="DJ533" s="2"/>
      <c r="DK533" s="2"/>
      <c r="DL533" s="2"/>
      <c r="DM533" s="2"/>
      <c r="DN533" s="2"/>
      <c r="DO533" s="2"/>
      <c r="DP533" s="2"/>
      <c r="DQ533" s="2"/>
      <c r="DR533" s="2"/>
      <c r="DS533" s="2"/>
      <c r="DT533" s="2"/>
      <c r="DU533" s="2"/>
      <c r="DV533" s="2"/>
      <c r="DW533" s="2"/>
      <c r="DX533" s="2"/>
      <c r="DY533" s="2"/>
      <c r="DZ533" s="2"/>
      <c r="EA533" s="2"/>
      <c r="EB533" s="2"/>
      <c r="EC533" s="2"/>
      <c r="ED533" s="2"/>
      <c r="EE533" s="2"/>
      <c r="EF533" s="2"/>
      <c r="EG533" s="2"/>
      <c r="EH533" s="2"/>
      <c r="EI533" s="2"/>
      <c r="EJ533" s="2"/>
      <c r="EK533" s="2"/>
      <c r="EL533" s="2"/>
      <c r="EM533" s="2"/>
      <c r="EN533" s="2"/>
      <c r="EO533" s="2"/>
      <c r="EP533" s="2"/>
      <c r="EQ533" s="2"/>
      <c r="ER533" s="2"/>
      <c r="ES533" s="2"/>
      <c r="ET533" s="2"/>
      <c r="EU533" s="2"/>
      <c r="EV533" s="2"/>
      <c r="EW533" s="2"/>
      <c r="EX533" s="2"/>
      <c r="EY533" s="2"/>
      <c r="EZ533" s="2"/>
      <c r="FA533" s="2"/>
      <c r="FB533" s="2"/>
      <c r="FC533" s="2"/>
      <c r="FD533" s="2"/>
      <c r="FE533" s="2"/>
      <c r="FF533" s="2"/>
      <c r="FG533" s="2"/>
      <c r="FH533" s="2"/>
      <c r="FI533" s="2"/>
      <c r="FJ533" s="2"/>
      <c r="FK533" s="2"/>
      <c r="FL533" s="2"/>
      <c r="FM533" s="2"/>
      <c r="FN533" s="2"/>
      <c r="FO533" s="2"/>
      <c r="FP533" s="2"/>
      <c r="FQ533" s="2"/>
      <c r="FR533" s="2"/>
      <c r="FS533" s="2"/>
      <c r="FT533" s="2"/>
      <c r="FU533" s="2"/>
      <c r="FV533" s="2"/>
      <c r="FW533" s="2"/>
      <c r="FX533" s="2"/>
      <c r="FY533" s="2"/>
      <c r="FZ533" s="2"/>
      <c r="GA533" s="2"/>
      <c r="GB533" s="2"/>
      <c r="GC533" s="2"/>
      <c r="GD533" s="2"/>
      <c r="GE533" s="2"/>
      <c r="GF533" s="2"/>
      <c r="GG533" s="2"/>
      <c r="GH533" s="2"/>
      <c r="GI533" s="2"/>
      <c r="GJ533" s="2"/>
      <c r="GK533" s="2"/>
      <c r="GL533" s="2"/>
      <c r="GM533" s="2"/>
      <c r="GN533" s="2"/>
      <c r="GO533" s="2"/>
      <c r="GP533" s="2"/>
      <c r="GQ533" s="2"/>
      <c r="GR533" s="2"/>
      <c r="GS533" s="2"/>
      <c r="GT533" s="2"/>
      <c r="GU533" s="2"/>
      <c r="GV533" s="2"/>
      <c r="GW533" s="2"/>
      <c r="GX533" s="2"/>
      <c r="GY533" s="2"/>
      <c r="GZ533" s="2"/>
      <c r="HA533" s="2"/>
      <c r="HB533" s="2"/>
      <c r="HC533" s="2"/>
      <c r="HD533" s="2"/>
      <c r="HE533" s="2"/>
      <c r="HF533" s="2"/>
      <c r="HG533" s="2"/>
      <c r="HH533" s="2"/>
      <c r="HI533" s="2"/>
      <c r="HJ533" s="2"/>
      <c r="HK533" s="2"/>
      <c r="HL533" s="2"/>
      <c r="HM533" s="2"/>
      <c r="HN533" s="2"/>
      <c r="HO533" s="2"/>
      <c r="HP533" s="2"/>
      <c r="HQ533" s="2"/>
      <c r="HR533" s="2"/>
      <c r="HS533" s="2"/>
      <c r="HT533" s="2"/>
      <c r="HU533" s="2"/>
      <c r="HV533" s="2"/>
      <c r="HW533" s="2"/>
      <c r="HX533" s="2"/>
      <c r="HY533" s="2"/>
      <c r="HZ533" s="2"/>
      <c r="IA533" s="2"/>
      <c r="IB533" s="2"/>
      <c r="IC533" s="2"/>
    </row>
    <row r="534" spans="1:237" x14ac:dyDescent="0.2">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c r="AA534" s="2"/>
      <c r="AB534" s="2"/>
      <c r="AC534" s="2"/>
      <c r="AD534" s="2"/>
      <c r="AE534" s="2"/>
      <c r="AF534" s="2"/>
      <c r="AG534" s="2"/>
      <c r="AH534" s="2"/>
      <c r="AI534" s="2"/>
      <c r="AJ534" s="2"/>
      <c r="AK534" s="2"/>
      <c r="AL534" s="2"/>
      <c r="AM534" s="2"/>
      <c r="AN534" s="2"/>
      <c r="AO534" s="2"/>
      <c r="AP534" s="2"/>
      <c r="AQ534" s="2"/>
      <c r="AR534" s="2"/>
      <c r="AS534" s="2"/>
      <c r="AT534" s="2"/>
      <c r="AU534" s="2"/>
      <c r="AV534" s="2"/>
      <c r="AW534" s="2"/>
      <c r="AX534" s="2"/>
      <c r="AY534" s="2"/>
      <c r="AZ534" s="2"/>
      <c r="BA534" s="2"/>
      <c r="BB534" s="2"/>
      <c r="BC534" s="2"/>
      <c r="BD534" s="2"/>
      <c r="BE534" s="2"/>
      <c r="BF534" s="2"/>
      <c r="BG534" s="2"/>
      <c r="BH534" s="2"/>
      <c r="BI534" s="2"/>
      <c r="BJ534" s="2"/>
      <c r="BK534" s="2"/>
      <c r="BL534" s="2"/>
      <c r="BM534" s="2"/>
      <c r="BN534" s="2"/>
      <c r="BO534" s="2"/>
      <c r="BP534" s="2"/>
      <c r="BQ534" s="2"/>
      <c r="BR534" s="2"/>
      <c r="BS534" s="2"/>
      <c r="BT534" s="2"/>
      <c r="BU534" s="2"/>
      <c r="BV534" s="2"/>
      <c r="BW534" s="2"/>
      <c r="BX534" s="2"/>
      <c r="BY534" s="2"/>
      <c r="BZ534" s="2"/>
      <c r="CA534" s="2"/>
      <c r="CB534" s="2"/>
      <c r="CC534" s="2"/>
      <c r="CD534" s="2"/>
      <c r="CE534" s="2"/>
      <c r="CF534" s="2"/>
      <c r="CG534" s="2"/>
      <c r="CH534" s="2"/>
      <c r="CI534" s="2"/>
      <c r="CJ534" s="2"/>
      <c r="CK534" s="2"/>
      <c r="CL534" s="2"/>
      <c r="CM534" s="2"/>
      <c r="CN534" s="2"/>
      <c r="CO534" s="2"/>
      <c r="CP534" s="2"/>
      <c r="CQ534" s="2"/>
      <c r="CR534" s="2"/>
      <c r="CS534" s="2"/>
      <c r="CT534" s="2"/>
      <c r="CU534" s="2"/>
      <c r="CV534" s="2"/>
      <c r="CW534" s="2"/>
      <c r="CX534" s="2"/>
      <c r="CY534" s="2"/>
      <c r="CZ534" s="2"/>
      <c r="DA534" s="2"/>
      <c r="DB534" s="2"/>
      <c r="DC534" s="2"/>
      <c r="DD534" s="2"/>
      <c r="DE534" s="2"/>
      <c r="DF534" s="2"/>
      <c r="DG534" s="2"/>
      <c r="DH534" s="2"/>
      <c r="DI534" s="2"/>
      <c r="DJ534" s="2"/>
      <c r="DK534" s="2"/>
      <c r="DL534" s="2"/>
      <c r="DM534" s="2"/>
      <c r="DN534" s="2"/>
      <c r="DO534" s="2"/>
      <c r="DP534" s="2"/>
      <c r="DQ534" s="2"/>
      <c r="DR534" s="2"/>
      <c r="DS534" s="2"/>
      <c r="DT534" s="2"/>
      <c r="DU534" s="2"/>
      <c r="DV534" s="2"/>
      <c r="DW534" s="2"/>
      <c r="DX534" s="2"/>
      <c r="DY534" s="2"/>
      <c r="DZ534" s="2"/>
      <c r="EA534" s="2"/>
      <c r="EB534" s="2"/>
      <c r="EC534" s="2"/>
      <c r="ED534" s="2"/>
      <c r="EE534" s="2"/>
      <c r="EF534" s="2"/>
      <c r="EG534" s="2"/>
      <c r="EH534" s="2"/>
      <c r="EI534" s="2"/>
      <c r="EJ534" s="2"/>
      <c r="EK534" s="2"/>
      <c r="EL534" s="2"/>
      <c r="EM534" s="2"/>
      <c r="EN534" s="2"/>
      <c r="EO534" s="2"/>
      <c r="EP534" s="2"/>
      <c r="EQ534" s="2"/>
      <c r="ER534" s="2"/>
      <c r="ES534" s="2"/>
      <c r="ET534" s="2"/>
      <c r="EU534" s="2"/>
      <c r="EV534" s="2"/>
      <c r="EW534" s="2"/>
      <c r="EX534" s="2"/>
      <c r="EY534" s="2"/>
      <c r="EZ534" s="2"/>
      <c r="FA534" s="2"/>
      <c r="FB534" s="2"/>
      <c r="FC534" s="2"/>
      <c r="FD534" s="2"/>
      <c r="FE534" s="2"/>
      <c r="FF534" s="2"/>
      <c r="FG534" s="2"/>
      <c r="FH534" s="2"/>
      <c r="FI534" s="2"/>
      <c r="FJ534" s="2"/>
      <c r="FK534" s="2"/>
      <c r="FL534" s="2"/>
      <c r="FM534" s="2"/>
      <c r="FN534" s="2"/>
      <c r="FO534" s="2"/>
      <c r="FP534" s="2"/>
      <c r="FQ534" s="2"/>
      <c r="FR534" s="2"/>
      <c r="FS534" s="2"/>
      <c r="FT534" s="2"/>
      <c r="FU534" s="2"/>
      <c r="FV534" s="2"/>
      <c r="FW534" s="2"/>
      <c r="FX534" s="2"/>
      <c r="FY534" s="2"/>
      <c r="FZ534" s="2"/>
      <c r="GA534" s="2"/>
      <c r="GB534" s="2"/>
      <c r="GC534" s="2"/>
      <c r="GD534" s="2"/>
      <c r="GE534" s="2"/>
      <c r="GF534" s="2"/>
      <c r="GG534" s="2"/>
      <c r="GH534" s="2"/>
      <c r="GI534" s="2"/>
      <c r="GJ534" s="2"/>
      <c r="GK534" s="2"/>
      <c r="GL534" s="2"/>
      <c r="GM534" s="2"/>
      <c r="GN534" s="2"/>
      <c r="GO534" s="2"/>
      <c r="GP534" s="2"/>
      <c r="GQ534" s="2"/>
      <c r="GR534" s="2"/>
      <c r="GS534" s="2"/>
      <c r="GT534" s="2"/>
      <c r="GU534" s="2"/>
      <c r="GV534" s="2"/>
      <c r="GW534" s="2"/>
      <c r="GX534" s="2"/>
      <c r="GY534" s="2"/>
      <c r="GZ534" s="2"/>
      <c r="HA534" s="2"/>
      <c r="HB534" s="2"/>
      <c r="HC534" s="2"/>
      <c r="HD534" s="2"/>
      <c r="HE534" s="2"/>
      <c r="HF534" s="2"/>
      <c r="HG534" s="2"/>
      <c r="HH534" s="2"/>
      <c r="HI534" s="2"/>
      <c r="HJ534" s="2"/>
      <c r="HK534" s="2"/>
      <c r="HL534" s="2"/>
      <c r="HM534" s="2"/>
      <c r="HN534" s="2"/>
      <c r="HO534" s="2"/>
      <c r="HP534" s="2"/>
      <c r="HQ534" s="2"/>
      <c r="HR534" s="2"/>
      <c r="HS534" s="2"/>
      <c r="HT534" s="2"/>
      <c r="HU534" s="2"/>
      <c r="HV534" s="2"/>
      <c r="HW534" s="2"/>
      <c r="HX534" s="2"/>
      <c r="HY534" s="2"/>
      <c r="HZ534" s="2"/>
      <c r="IA534" s="2"/>
      <c r="IB534" s="2"/>
      <c r="IC534" s="2"/>
    </row>
    <row r="535" spans="1:237" x14ac:dyDescent="0.2">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c r="AA535" s="2"/>
      <c r="AB535" s="2"/>
      <c r="AC535" s="2"/>
      <c r="AD535" s="2"/>
      <c r="AE535" s="2"/>
      <c r="AF535" s="2"/>
      <c r="AG535" s="2"/>
      <c r="AH535" s="2"/>
      <c r="AI535" s="2"/>
      <c r="AJ535" s="2"/>
      <c r="AK535" s="2"/>
      <c r="AL535" s="2"/>
      <c r="AM535" s="2"/>
      <c r="AN535" s="2"/>
      <c r="AO535" s="2"/>
      <c r="AP535" s="2"/>
      <c r="AQ535" s="2"/>
      <c r="AR535" s="2"/>
      <c r="AS535" s="2"/>
      <c r="AT535" s="2"/>
      <c r="AU535" s="2"/>
      <c r="AV535" s="2"/>
      <c r="AW535" s="2"/>
      <c r="AX535" s="2"/>
      <c r="AY535" s="2"/>
      <c r="AZ535" s="2"/>
      <c r="BA535" s="2"/>
      <c r="BB535" s="2"/>
      <c r="BC535" s="2"/>
      <c r="BD535" s="2"/>
      <c r="BE535" s="2"/>
      <c r="BF535" s="2"/>
      <c r="BG535" s="2"/>
      <c r="BH535" s="2"/>
      <c r="BI535" s="2"/>
      <c r="BJ535" s="2"/>
      <c r="BK535" s="2"/>
      <c r="BL535" s="2"/>
      <c r="BM535" s="2"/>
      <c r="BN535" s="2"/>
      <c r="BO535" s="2"/>
      <c r="BP535" s="2"/>
      <c r="BQ535" s="2"/>
      <c r="BR535" s="2"/>
      <c r="BS535" s="2"/>
      <c r="BT535" s="2"/>
      <c r="BU535" s="2"/>
      <c r="BV535" s="2"/>
      <c r="BW535" s="2"/>
      <c r="BX535" s="2"/>
      <c r="BY535" s="2"/>
      <c r="BZ535" s="2"/>
      <c r="CA535" s="2"/>
      <c r="CB535" s="2"/>
      <c r="CC535" s="2"/>
      <c r="CD535" s="2"/>
      <c r="CE535" s="2"/>
      <c r="CF535" s="2"/>
      <c r="CG535" s="2"/>
      <c r="CH535" s="2"/>
      <c r="CI535" s="2"/>
      <c r="CJ535" s="2"/>
      <c r="CK535" s="2"/>
      <c r="CL535" s="2"/>
      <c r="CM535" s="2"/>
      <c r="CN535" s="2"/>
      <c r="CO535" s="2"/>
      <c r="CP535" s="2"/>
      <c r="CQ535" s="2"/>
      <c r="CR535" s="2"/>
      <c r="CS535" s="2"/>
      <c r="CT535" s="2"/>
      <c r="CU535" s="2"/>
      <c r="CV535" s="2"/>
      <c r="CW535" s="2"/>
      <c r="CX535" s="2"/>
      <c r="CY535" s="2"/>
      <c r="CZ535" s="2"/>
      <c r="DA535" s="2"/>
      <c r="DB535" s="2"/>
      <c r="DC535" s="2"/>
      <c r="DD535" s="2"/>
      <c r="DE535" s="2"/>
      <c r="DF535" s="2"/>
      <c r="DG535" s="2"/>
      <c r="DH535" s="2"/>
      <c r="DI535" s="2"/>
      <c r="DJ535" s="2"/>
      <c r="DK535" s="2"/>
      <c r="DL535" s="2"/>
      <c r="DM535" s="2"/>
      <c r="DN535" s="2"/>
      <c r="DO535" s="2"/>
      <c r="DP535" s="2"/>
      <c r="DQ535" s="2"/>
      <c r="DR535" s="2"/>
      <c r="DS535" s="2"/>
      <c r="DT535" s="2"/>
      <c r="DU535" s="2"/>
      <c r="DV535" s="2"/>
      <c r="DW535" s="2"/>
      <c r="DX535" s="2"/>
      <c r="DY535" s="2"/>
      <c r="DZ535" s="2"/>
      <c r="EA535" s="2"/>
      <c r="EB535" s="2"/>
      <c r="EC535" s="2"/>
      <c r="ED535" s="2"/>
      <c r="EE535" s="2"/>
      <c r="EF535" s="2"/>
      <c r="EG535" s="2"/>
      <c r="EH535" s="2"/>
      <c r="EI535" s="2"/>
      <c r="EJ535" s="2"/>
      <c r="EK535" s="2"/>
      <c r="EL535" s="2"/>
      <c r="EM535" s="2"/>
      <c r="EN535" s="2"/>
      <c r="EO535" s="2"/>
      <c r="EP535" s="2"/>
      <c r="EQ535" s="2"/>
      <c r="ER535" s="2"/>
      <c r="ES535" s="2"/>
      <c r="ET535" s="2"/>
      <c r="EU535" s="2"/>
      <c r="EV535" s="2"/>
      <c r="EW535" s="2"/>
      <c r="EX535" s="2"/>
      <c r="EY535" s="2"/>
      <c r="EZ535" s="2"/>
      <c r="FA535" s="2"/>
      <c r="FB535" s="2"/>
      <c r="FC535" s="2"/>
      <c r="FD535" s="2"/>
      <c r="FE535" s="2"/>
      <c r="FF535" s="2"/>
      <c r="FG535" s="2"/>
      <c r="FH535" s="2"/>
      <c r="FI535" s="2"/>
      <c r="FJ535" s="2"/>
      <c r="FK535" s="2"/>
      <c r="FL535" s="2"/>
      <c r="FM535" s="2"/>
      <c r="FN535" s="2"/>
      <c r="FO535" s="2"/>
      <c r="FP535" s="2"/>
      <c r="FQ535" s="2"/>
      <c r="FR535" s="2"/>
      <c r="FS535" s="2"/>
      <c r="FT535" s="2"/>
      <c r="FU535" s="2"/>
      <c r="FV535" s="2"/>
      <c r="FW535" s="2"/>
      <c r="FX535" s="2"/>
      <c r="FY535" s="2"/>
      <c r="FZ535" s="2"/>
      <c r="GA535" s="2"/>
      <c r="GB535" s="2"/>
      <c r="GC535" s="2"/>
      <c r="GD535" s="2"/>
      <c r="GE535" s="2"/>
      <c r="GF535" s="2"/>
      <c r="GG535" s="2"/>
      <c r="GH535" s="2"/>
      <c r="GI535" s="2"/>
      <c r="GJ535" s="2"/>
      <c r="GK535" s="2"/>
      <c r="GL535" s="2"/>
      <c r="GM535" s="2"/>
      <c r="GN535" s="2"/>
      <c r="GO535" s="2"/>
      <c r="GP535" s="2"/>
      <c r="GQ535" s="2"/>
      <c r="GR535" s="2"/>
      <c r="GS535" s="2"/>
      <c r="GT535" s="2"/>
      <c r="GU535" s="2"/>
      <c r="GV535" s="2"/>
      <c r="GW535" s="2"/>
      <c r="GX535" s="2"/>
      <c r="GY535" s="2"/>
      <c r="GZ535" s="2"/>
      <c r="HA535" s="2"/>
      <c r="HB535" s="2"/>
      <c r="HC535" s="2"/>
      <c r="HD535" s="2"/>
      <c r="HE535" s="2"/>
      <c r="HF535" s="2"/>
      <c r="HG535" s="2"/>
      <c r="HH535" s="2"/>
      <c r="HI535" s="2"/>
      <c r="HJ535" s="2"/>
      <c r="HK535" s="2"/>
      <c r="HL535" s="2"/>
      <c r="HM535" s="2"/>
      <c r="HN535" s="2"/>
      <c r="HO535" s="2"/>
      <c r="HP535" s="2"/>
      <c r="HQ535" s="2"/>
      <c r="HR535" s="2"/>
      <c r="HS535" s="2"/>
      <c r="HT535" s="2"/>
      <c r="HU535" s="2"/>
      <c r="HV535" s="2"/>
      <c r="HW535" s="2"/>
      <c r="HX535" s="2"/>
      <c r="HY535" s="2"/>
      <c r="HZ535" s="2"/>
      <c r="IA535" s="2"/>
      <c r="IB535" s="2"/>
      <c r="IC535" s="2"/>
    </row>
    <row r="536" spans="1:237" x14ac:dyDescent="0.2">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c r="AA536" s="2"/>
      <c r="AB536" s="2"/>
      <c r="AC536" s="2"/>
      <c r="AD536" s="2"/>
      <c r="AE536" s="2"/>
      <c r="AF536" s="2"/>
      <c r="AG536" s="2"/>
      <c r="AH536" s="2"/>
      <c r="AI536" s="2"/>
      <c r="AJ536" s="2"/>
      <c r="AK536" s="2"/>
      <c r="AL536" s="2"/>
      <c r="AM536" s="2"/>
      <c r="AN536" s="2"/>
      <c r="AO536" s="2"/>
      <c r="AP536" s="2"/>
      <c r="AQ536" s="2"/>
      <c r="AR536" s="2"/>
      <c r="AS536" s="2"/>
      <c r="AT536" s="2"/>
      <c r="AU536" s="2"/>
      <c r="AV536" s="2"/>
      <c r="AW536" s="2"/>
      <c r="AX536" s="2"/>
      <c r="AY536" s="2"/>
      <c r="AZ536" s="2"/>
      <c r="BA536" s="2"/>
      <c r="BB536" s="2"/>
      <c r="BC536" s="2"/>
      <c r="BD536" s="2"/>
      <c r="BE536" s="2"/>
      <c r="BF536" s="2"/>
      <c r="BG536" s="2"/>
      <c r="BH536" s="2"/>
      <c r="BI536" s="2"/>
      <c r="BJ536" s="2"/>
      <c r="BK536" s="2"/>
      <c r="BL536" s="2"/>
      <c r="BM536" s="2"/>
      <c r="BN536" s="2"/>
      <c r="BO536" s="2"/>
      <c r="BP536" s="2"/>
      <c r="BQ536" s="2"/>
      <c r="BR536" s="2"/>
      <c r="BS536" s="2"/>
      <c r="BT536" s="2"/>
      <c r="BU536" s="2"/>
      <c r="BV536" s="2"/>
      <c r="BW536" s="2"/>
      <c r="BX536" s="2"/>
      <c r="BY536" s="2"/>
      <c r="BZ536" s="2"/>
      <c r="CA536" s="2"/>
      <c r="CB536" s="2"/>
      <c r="CC536" s="2"/>
      <c r="CD536" s="2"/>
      <c r="CE536" s="2"/>
      <c r="CF536" s="2"/>
      <c r="CG536" s="2"/>
      <c r="CH536" s="2"/>
      <c r="CI536" s="2"/>
      <c r="CJ536" s="2"/>
      <c r="CK536" s="2"/>
      <c r="CL536" s="2"/>
      <c r="CM536" s="2"/>
      <c r="CN536" s="2"/>
      <c r="CO536" s="2"/>
      <c r="CP536" s="2"/>
      <c r="CQ536" s="2"/>
      <c r="CR536" s="2"/>
      <c r="CS536" s="2"/>
      <c r="CT536" s="2"/>
      <c r="CU536" s="2"/>
      <c r="CV536" s="2"/>
      <c r="CW536" s="2"/>
      <c r="CX536" s="2"/>
      <c r="CY536" s="2"/>
      <c r="CZ536" s="2"/>
      <c r="DA536" s="2"/>
      <c r="DB536" s="2"/>
      <c r="DC536" s="2"/>
      <c r="DD536" s="2"/>
      <c r="DE536" s="2"/>
      <c r="DF536" s="2"/>
      <c r="DG536" s="2"/>
      <c r="DH536" s="2"/>
      <c r="DI536" s="2"/>
      <c r="DJ536" s="2"/>
      <c r="DK536" s="2"/>
      <c r="DL536" s="2"/>
      <c r="DM536" s="2"/>
      <c r="DN536" s="2"/>
      <c r="DO536" s="2"/>
      <c r="DP536" s="2"/>
      <c r="DQ536" s="2"/>
      <c r="DR536" s="2"/>
      <c r="DS536" s="2"/>
      <c r="DT536" s="2"/>
      <c r="DU536" s="2"/>
      <c r="DV536" s="2"/>
      <c r="DW536" s="2"/>
      <c r="DX536" s="2"/>
      <c r="DY536" s="2"/>
      <c r="DZ536" s="2"/>
      <c r="EA536" s="2"/>
      <c r="EB536" s="2"/>
      <c r="EC536" s="2"/>
      <c r="ED536" s="2"/>
      <c r="EE536" s="2"/>
      <c r="EF536" s="2"/>
      <c r="EG536" s="2"/>
      <c r="EH536" s="2"/>
      <c r="EI536" s="2"/>
      <c r="EJ536" s="2"/>
      <c r="EK536" s="2"/>
      <c r="EL536" s="2"/>
      <c r="EM536" s="2"/>
      <c r="EN536" s="2"/>
      <c r="EO536" s="2"/>
      <c r="EP536" s="2"/>
      <c r="EQ536" s="2"/>
      <c r="ER536" s="2"/>
      <c r="ES536" s="2"/>
      <c r="ET536" s="2"/>
      <c r="EU536" s="2"/>
      <c r="EV536" s="2"/>
      <c r="EW536" s="2"/>
      <c r="EX536" s="2"/>
      <c r="EY536" s="2"/>
      <c r="EZ536" s="2"/>
      <c r="FA536" s="2"/>
      <c r="FB536" s="2"/>
      <c r="FC536" s="2"/>
      <c r="FD536" s="2"/>
      <c r="FE536" s="2"/>
      <c r="FF536" s="2"/>
      <c r="FG536" s="2"/>
      <c r="FH536" s="2"/>
      <c r="FI536" s="2"/>
      <c r="FJ536" s="2"/>
      <c r="FK536" s="2"/>
      <c r="FL536" s="2"/>
      <c r="FM536" s="2"/>
      <c r="FN536" s="2"/>
      <c r="FO536" s="2"/>
      <c r="FP536" s="2"/>
      <c r="FQ536" s="2"/>
      <c r="FR536" s="2"/>
      <c r="FS536" s="2"/>
      <c r="FT536" s="2"/>
      <c r="FU536" s="2"/>
      <c r="FV536" s="2"/>
      <c r="FW536" s="2"/>
      <c r="FX536" s="2"/>
      <c r="FY536" s="2"/>
      <c r="FZ536" s="2"/>
      <c r="GA536" s="2"/>
      <c r="GB536" s="2"/>
      <c r="GC536" s="2"/>
      <c r="GD536" s="2"/>
      <c r="GE536" s="2"/>
      <c r="GF536" s="2"/>
      <c r="GG536" s="2"/>
      <c r="GH536" s="2"/>
      <c r="GI536" s="2"/>
      <c r="GJ536" s="2"/>
      <c r="GK536" s="2"/>
      <c r="GL536" s="2"/>
      <c r="GM536" s="2"/>
      <c r="GN536" s="2"/>
      <c r="GO536" s="2"/>
      <c r="GP536" s="2"/>
      <c r="GQ536" s="2"/>
      <c r="GR536" s="2"/>
      <c r="GS536" s="2"/>
      <c r="GT536" s="2"/>
      <c r="GU536" s="2"/>
      <c r="GV536" s="2"/>
      <c r="GW536" s="2"/>
      <c r="GX536" s="2"/>
      <c r="GY536" s="2"/>
      <c r="GZ536" s="2"/>
      <c r="HA536" s="2"/>
      <c r="HB536" s="2"/>
      <c r="HC536" s="2"/>
      <c r="HD536" s="2"/>
      <c r="HE536" s="2"/>
      <c r="HF536" s="2"/>
      <c r="HG536" s="2"/>
      <c r="HH536" s="2"/>
      <c r="HI536" s="2"/>
      <c r="HJ536" s="2"/>
      <c r="HK536" s="2"/>
      <c r="HL536" s="2"/>
      <c r="HM536" s="2"/>
      <c r="HN536" s="2"/>
      <c r="HO536" s="2"/>
      <c r="HP536" s="2"/>
      <c r="HQ536" s="2"/>
      <c r="HR536" s="2"/>
      <c r="HS536" s="2"/>
      <c r="HT536" s="2"/>
      <c r="HU536" s="2"/>
      <c r="HV536" s="2"/>
      <c r="HW536" s="2"/>
      <c r="HX536" s="2"/>
      <c r="HY536" s="2"/>
      <c r="HZ536" s="2"/>
      <c r="IA536" s="2"/>
      <c r="IB536" s="2"/>
      <c r="IC536" s="2"/>
    </row>
    <row r="537" spans="1:237" x14ac:dyDescent="0.2">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c r="AA537" s="2"/>
      <c r="AB537" s="2"/>
      <c r="AC537" s="2"/>
      <c r="AD537" s="2"/>
      <c r="AE537" s="2"/>
      <c r="AF537" s="2"/>
      <c r="AG537" s="2"/>
      <c r="AH537" s="2"/>
      <c r="AI537" s="2"/>
      <c r="AJ537" s="2"/>
      <c r="AK537" s="2"/>
      <c r="AL537" s="2"/>
      <c r="AM537" s="2"/>
      <c r="AN537" s="2"/>
      <c r="AO537" s="2"/>
      <c r="AP537" s="2"/>
      <c r="AQ537" s="2"/>
      <c r="AR537" s="2"/>
      <c r="AS537" s="2"/>
      <c r="AT537" s="2"/>
      <c r="AU537" s="2"/>
      <c r="AV537" s="2"/>
      <c r="AW537" s="2"/>
      <c r="AX537" s="2"/>
      <c r="AY537" s="2"/>
      <c r="AZ537" s="2"/>
      <c r="BA537" s="2"/>
      <c r="BB537" s="2"/>
      <c r="BC537" s="2"/>
      <c r="BD537" s="2"/>
      <c r="BE537" s="2"/>
      <c r="BF537" s="2"/>
      <c r="BG537" s="2"/>
      <c r="BH537" s="2"/>
      <c r="BI537" s="2"/>
      <c r="BJ537" s="2"/>
      <c r="BK537" s="2"/>
      <c r="BL537" s="2"/>
      <c r="BM537" s="2"/>
      <c r="BN537" s="2"/>
      <c r="BO537" s="2"/>
      <c r="BP537" s="2"/>
      <c r="BQ537" s="2"/>
      <c r="BR537" s="2"/>
      <c r="BS537" s="2"/>
      <c r="BT537" s="2"/>
      <c r="BU537" s="2"/>
      <c r="BV537" s="2"/>
      <c r="BW537" s="2"/>
      <c r="BX537" s="2"/>
      <c r="BY537" s="2"/>
      <c r="BZ537" s="2"/>
      <c r="CA537" s="2"/>
      <c r="CB537" s="2"/>
      <c r="CC537" s="2"/>
      <c r="CD537" s="2"/>
      <c r="CE537" s="2"/>
      <c r="CF537" s="2"/>
      <c r="CG537" s="2"/>
      <c r="CH537" s="2"/>
      <c r="CI537" s="2"/>
      <c r="CJ537" s="2"/>
      <c r="CK537" s="2"/>
      <c r="CL537" s="2"/>
      <c r="CM537" s="2"/>
      <c r="CN537" s="2"/>
      <c r="CO537" s="2"/>
      <c r="CP537" s="2"/>
      <c r="CQ537" s="2"/>
      <c r="CR537" s="2"/>
      <c r="CS537" s="2"/>
      <c r="CT537" s="2"/>
      <c r="CU537" s="2"/>
      <c r="CV537" s="2"/>
      <c r="CW537" s="2"/>
      <c r="CX537" s="2"/>
      <c r="CY537" s="2"/>
      <c r="CZ537" s="2"/>
      <c r="DA537" s="2"/>
      <c r="DB537" s="2"/>
      <c r="DC537" s="2"/>
      <c r="DD537" s="2"/>
      <c r="DE537" s="2"/>
      <c r="DF537" s="2"/>
      <c r="DG537" s="2"/>
      <c r="DH537" s="2"/>
      <c r="DI537" s="2"/>
      <c r="DJ537" s="2"/>
      <c r="DK537" s="2"/>
      <c r="DL537" s="2"/>
      <c r="DM537" s="2"/>
      <c r="DN537" s="2"/>
      <c r="DO537" s="2"/>
      <c r="DP537" s="2"/>
      <c r="DQ537" s="2"/>
      <c r="DR537" s="2"/>
      <c r="DS537" s="2"/>
      <c r="DT537" s="2"/>
      <c r="DU537" s="2"/>
      <c r="DV537" s="2"/>
      <c r="DW537" s="2"/>
      <c r="DX537" s="2"/>
      <c r="DY537" s="2"/>
      <c r="DZ537" s="2"/>
      <c r="EA537" s="2"/>
      <c r="EB537" s="2"/>
      <c r="EC537" s="2"/>
      <c r="ED537" s="2"/>
      <c r="EE537" s="2"/>
      <c r="EF537" s="2"/>
      <c r="EG537" s="2"/>
      <c r="EH537" s="2"/>
      <c r="EI537" s="2"/>
      <c r="EJ537" s="2"/>
      <c r="EK537" s="2"/>
      <c r="EL537" s="2"/>
      <c r="EM537" s="2"/>
      <c r="EN537" s="2"/>
      <c r="EO537" s="2"/>
      <c r="EP537" s="2"/>
      <c r="EQ537" s="2"/>
      <c r="ER537" s="2"/>
      <c r="ES537" s="2"/>
      <c r="ET537" s="2"/>
      <c r="EU537" s="2"/>
      <c r="EV537" s="2"/>
      <c r="EW537" s="2"/>
      <c r="EX537" s="2"/>
      <c r="EY537" s="2"/>
      <c r="EZ537" s="2"/>
      <c r="FA537" s="2"/>
      <c r="FB537" s="2"/>
      <c r="FC537" s="2"/>
      <c r="FD537" s="2"/>
      <c r="FE537" s="2"/>
      <c r="FF537" s="2"/>
      <c r="FG537" s="2"/>
      <c r="FH537" s="2"/>
      <c r="FI537" s="2"/>
      <c r="FJ537" s="2"/>
      <c r="FK537" s="2"/>
      <c r="FL537" s="2"/>
      <c r="FM537" s="2"/>
      <c r="FN537" s="2"/>
      <c r="FO537" s="2"/>
      <c r="FP537" s="2"/>
      <c r="FQ537" s="2"/>
      <c r="FR537" s="2"/>
      <c r="FS537" s="2"/>
      <c r="FT537" s="2"/>
      <c r="FU537" s="2"/>
      <c r="FV537" s="2"/>
      <c r="FW537" s="2"/>
      <c r="FX537" s="2"/>
      <c r="FY537" s="2"/>
      <c r="FZ537" s="2"/>
      <c r="GA537" s="2"/>
      <c r="GB537" s="2"/>
      <c r="GC537" s="2"/>
      <c r="GD537" s="2"/>
      <c r="GE537" s="2"/>
      <c r="GF537" s="2"/>
      <c r="GG537" s="2"/>
      <c r="GH537" s="2"/>
      <c r="GI537" s="2"/>
      <c r="GJ537" s="2"/>
      <c r="GK537" s="2"/>
      <c r="GL537" s="2"/>
      <c r="GM537" s="2"/>
      <c r="GN537" s="2"/>
      <c r="GO537" s="2"/>
      <c r="GP537" s="2"/>
      <c r="GQ537" s="2"/>
      <c r="GR537" s="2"/>
      <c r="GS537" s="2"/>
      <c r="GT537" s="2"/>
      <c r="GU537" s="2"/>
      <c r="GV537" s="2"/>
      <c r="GW537" s="2"/>
      <c r="GX537" s="2"/>
      <c r="GY537" s="2"/>
      <c r="GZ537" s="2"/>
      <c r="HA537" s="2"/>
      <c r="HB537" s="2"/>
      <c r="HC537" s="2"/>
      <c r="HD537" s="2"/>
      <c r="HE537" s="2"/>
      <c r="HF537" s="2"/>
      <c r="HG537" s="2"/>
      <c r="HH537" s="2"/>
      <c r="HI537" s="2"/>
      <c r="HJ537" s="2"/>
      <c r="HK537" s="2"/>
      <c r="HL537" s="2"/>
      <c r="HM537" s="2"/>
      <c r="HN537" s="2"/>
      <c r="HO537" s="2"/>
      <c r="HP537" s="2"/>
      <c r="HQ537" s="2"/>
      <c r="HR537" s="2"/>
      <c r="HS537" s="2"/>
      <c r="HT537" s="2"/>
      <c r="HU537" s="2"/>
      <c r="HV537" s="2"/>
      <c r="HW537" s="2"/>
      <c r="HX537" s="2"/>
      <c r="HY537" s="2"/>
      <c r="HZ537" s="2"/>
      <c r="IA537" s="2"/>
      <c r="IB537" s="2"/>
      <c r="IC537" s="2"/>
    </row>
    <row r="538" spans="1:237" x14ac:dyDescent="0.2">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c r="AA538" s="2"/>
      <c r="AB538" s="2"/>
      <c r="AC538" s="2"/>
      <c r="AD538" s="2"/>
      <c r="AE538" s="2"/>
      <c r="AF538" s="2"/>
      <c r="AG538" s="2"/>
      <c r="AH538" s="2"/>
      <c r="AI538" s="2"/>
      <c r="AJ538" s="2"/>
      <c r="AK538" s="2"/>
      <c r="AL538" s="2"/>
      <c r="AM538" s="2"/>
      <c r="AN538" s="2"/>
      <c r="AO538" s="2"/>
      <c r="AP538" s="2"/>
      <c r="AQ538" s="2"/>
      <c r="AR538" s="2"/>
      <c r="AS538" s="2"/>
      <c r="AT538" s="2"/>
      <c r="AU538" s="2"/>
      <c r="AV538" s="2"/>
      <c r="AW538" s="2"/>
      <c r="AX538" s="2"/>
      <c r="AY538" s="2"/>
      <c r="AZ538" s="2"/>
      <c r="BA538" s="2"/>
      <c r="BB538" s="2"/>
      <c r="BC538" s="2"/>
      <c r="BD538" s="2"/>
      <c r="BE538" s="2"/>
      <c r="BF538" s="2"/>
      <c r="BG538" s="2"/>
      <c r="BH538" s="2"/>
      <c r="BI538" s="2"/>
      <c r="BJ538" s="2"/>
      <c r="BK538" s="2"/>
      <c r="BL538" s="2"/>
      <c r="BM538" s="2"/>
      <c r="BN538" s="2"/>
      <c r="BO538" s="2"/>
      <c r="BP538" s="2"/>
      <c r="BQ538" s="2"/>
      <c r="BR538" s="2"/>
      <c r="BS538" s="2"/>
      <c r="BT538" s="2"/>
      <c r="BU538" s="2"/>
      <c r="BV538" s="2"/>
      <c r="BW538" s="2"/>
      <c r="BX538" s="2"/>
      <c r="BY538" s="2"/>
      <c r="BZ538" s="2"/>
      <c r="CA538" s="2"/>
      <c r="CB538" s="2"/>
      <c r="CC538" s="2"/>
      <c r="CD538" s="2"/>
      <c r="CE538" s="2"/>
      <c r="CF538" s="2"/>
      <c r="CG538" s="2"/>
      <c r="CH538" s="2"/>
      <c r="CI538" s="2"/>
      <c r="CJ538" s="2"/>
      <c r="CK538" s="2"/>
      <c r="CL538" s="2"/>
      <c r="CM538" s="2"/>
      <c r="CN538" s="2"/>
      <c r="CO538" s="2"/>
      <c r="CP538" s="2"/>
      <c r="CQ538" s="2"/>
      <c r="CR538" s="2"/>
      <c r="CS538" s="2"/>
      <c r="CT538" s="2"/>
      <c r="CU538" s="2"/>
      <c r="CV538" s="2"/>
      <c r="CW538" s="2"/>
      <c r="CX538" s="2"/>
      <c r="CY538" s="2"/>
      <c r="CZ538" s="2"/>
      <c r="DA538" s="2"/>
      <c r="DB538" s="2"/>
      <c r="DC538" s="2"/>
      <c r="DD538" s="2"/>
      <c r="DE538" s="2"/>
      <c r="DF538" s="2"/>
      <c r="DG538" s="2"/>
      <c r="DH538" s="2"/>
      <c r="DI538" s="2"/>
      <c r="DJ538" s="2"/>
      <c r="DK538" s="2"/>
      <c r="DL538" s="2"/>
      <c r="DM538" s="2"/>
      <c r="DN538" s="2"/>
      <c r="DO538" s="2"/>
      <c r="DP538" s="2"/>
      <c r="DQ538" s="2"/>
      <c r="DR538" s="2"/>
      <c r="DS538" s="2"/>
      <c r="DT538" s="2"/>
      <c r="DU538" s="2"/>
      <c r="DV538" s="2"/>
      <c r="DW538" s="2"/>
      <c r="DX538" s="2"/>
      <c r="DY538" s="2"/>
      <c r="DZ538" s="2"/>
      <c r="EA538" s="2"/>
      <c r="EB538" s="2"/>
      <c r="EC538" s="2"/>
      <c r="ED538" s="2"/>
      <c r="EE538" s="2"/>
      <c r="EF538" s="2"/>
      <c r="EG538" s="2"/>
      <c r="EH538" s="2"/>
      <c r="EI538" s="2"/>
      <c r="EJ538" s="2"/>
      <c r="EK538" s="2"/>
      <c r="EL538" s="2"/>
      <c r="EM538" s="2"/>
      <c r="EN538" s="2"/>
      <c r="EO538" s="2"/>
      <c r="EP538" s="2"/>
      <c r="EQ538" s="2"/>
      <c r="ER538" s="2"/>
      <c r="ES538" s="2"/>
      <c r="ET538" s="2"/>
      <c r="EU538" s="2"/>
      <c r="EV538" s="2"/>
      <c r="EW538" s="2"/>
      <c r="EX538" s="2"/>
      <c r="EY538" s="2"/>
      <c r="EZ538" s="2"/>
      <c r="FA538" s="2"/>
      <c r="FB538" s="2"/>
      <c r="FC538" s="2"/>
      <c r="FD538" s="2"/>
      <c r="FE538" s="2"/>
      <c r="FF538" s="2"/>
      <c r="FG538" s="2"/>
      <c r="FH538" s="2"/>
      <c r="FI538" s="2"/>
      <c r="FJ538" s="2"/>
      <c r="FK538" s="2"/>
      <c r="FL538" s="2"/>
      <c r="FM538" s="2"/>
      <c r="FN538" s="2"/>
      <c r="FO538" s="2"/>
      <c r="FP538" s="2"/>
      <c r="FQ538" s="2"/>
      <c r="FR538" s="2"/>
      <c r="FS538" s="2"/>
      <c r="FT538" s="2"/>
      <c r="FU538" s="2"/>
      <c r="FV538" s="2"/>
      <c r="FW538" s="2"/>
      <c r="FX538" s="2"/>
      <c r="FY538" s="2"/>
      <c r="FZ538" s="2"/>
      <c r="GA538" s="2"/>
      <c r="GB538" s="2"/>
      <c r="GC538" s="2"/>
      <c r="GD538" s="2"/>
      <c r="GE538" s="2"/>
      <c r="GF538" s="2"/>
      <c r="GG538" s="2"/>
      <c r="GH538" s="2"/>
      <c r="GI538" s="2"/>
      <c r="GJ538" s="2"/>
      <c r="GK538" s="2"/>
      <c r="GL538" s="2"/>
      <c r="GM538" s="2"/>
      <c r="GN538" s="2"/>
      <c r="GO538" s="2"/>
      <c r="GP538" s="2"/>
      <c r="GQ538" s="2"/>
      <c r="GR538" s="2"/>
      <c r="GS538" s="2"/>
      <c r="GT538" s="2"/>
      <c r="GU538" s="2"/>
      <c r="GV538" s="2"/>
      <c r="GW538" s="2"/>
      <c r="GX538" s="2"/>
      <c r="GY538" s="2"/>
      <c r="GZ538" s="2"/>
      <c r="HA538" s="2"/>
      <c r="HB538" s="2"/>
      <c r="HC538" s="2"/>
      <c r="HD538" s="2"/>
      <c r="HE538" s="2"/>
      <c r="HF538" s="2"/>
      <c r="HG538" s="2"/>
      <c r="HH538" s="2"/>
      <c r="HI538" s="2"/>
      <c r="HJ538" s="2"/>
      <c r="HK538" s="2"/>
      <c r="HL538" s="2"/>
      <c r="HM538" s="2"/>
      <c r="HN538" s="2"/>
      <c r="HO538" s="2"/>
      <c r="HP538" s="2"/>
      <c r="HQ538" s="2"/>
      <c r="HR538" s="2"/>
      <c r="HS538" s="2"/>
      <c r="HT538" s="2"/>
      <c r="HU538" s="2"/>
      <c r="HV538" s="2"/>
      <c r="HW538" s="2"/>
      <c r="HX538" s="2"/>
      <c r="HY538" s="2"/>
      <c r="HZ538" s="2"/>
      <c r="IA538" s="2"/>
      <c r="IB538" s="2"/>
      <c r="IC538" s="2"/>
    </row>
    <row r="539" spans="1:237" x14ac:dyDescent="0.2">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c r="AA539" s="2"/>
      <c r="AB539" s="2"/>
      <c r="AC539" s="2"/>
      <c r="AD539" s="2"/>
      <c r="AE539" s="2"/>
      <c r="AF539" s="2"/>
      <c r="AG539" s="2"/>
      <c r="AH539" s="2"/>
      <c r="AI539" s="2"/>
      <c r="AJ539" s="2"/>
      <c r="AK539" s="2"/>
      <c r="AL539" s="2"/>
      <c r="AM539" s="2"/>
      <c r="AN539" s="2"/>
      <c r="AO539" s="2"/>
      <c r="AP539" s="2"/>
      <c r="AQ539" s="2"/>
      <c r="AR539" s="2"/>
      <c r="AS539" s="2"/>
      <c r="AT539" s="2"/>
      <c r="AU539" s="2"/>
      <c r="AV539" s="2"/>
      <c r="AW539" s="2"/>
      <c r="AX539" s="2"/>
      <c r="AY539" s="2"/>
      <c r="AZ539" s="2"/>
      <c r="BA539" s="2"/>
      <c r="BB539" s="2"/>
      <c r="BC539" s="2"/>
      <c r="BD539" s="2"/>
      <c r="BE539" s="2"/>
      <c r="BF539" s="2"/>
      <c r="BG539" s="2"/>
      <c r="BH539" s="2"/>
      <c r="BI539" s="2"/>
      <c r="BJ539" s="2"/>
      <c r="BK539" s="2"/>
      <c r="BL539" s="2"/>
      <c r="BM539" s="2"/>
      <c r="BN539" s="2"/>
      <c r="BO539" s="2"/>
      <c r="BP539" s="2"/>
      <c r="BQ539" s="2"/>
      <c r="BR539" s="2"/>
      <c r="BS539" s="2"/>
      <c r="BT539" s="2"/>
      <c r="BU539" s="2"/>
      <c r="BV539" s="2"/>
      <c r="BW539" s="2"/>
      <c r="BX539" s="2"/>
      <c r="BY539" s="2"/>
      <c r="BZ539" s="2"/>
      <c r="CA539" s="2"/>
      <c r="CB539" s="2"/>
      <c r="CC539" s="2"/>
      <c r="CD539" s="2"/>
      <c r="CE539" s="2"/>
      <c r="CF539" s="2"/>
      <c r="CG539" s="2"/>
      <c r="CH539" s="2"/>
      <c r="CI539" s="2"/>
      <c r="CJ539" s="2"/>
      <c r="CK539" s="2"/>
      <c r="CL539" s="2"/>
      <c r="CM539" s="2"/>
      <c r="CN539" s="2"/>
      <c r="CO539" s="2"/>
      <c r="CP539" s="2"/>
      <c r="CQ539" s="2"/>
      <c r="CR539" s="2"/>
      <c r="CS539" s="2"/>
      <c r="CT539" s="2"/>
      <c r="CU539" s="2"/>
      <c r="CV539" s="2"/>
      <c r="CW539" s="2"/>
      <c r="CX539" s="2"/>
      <c r="CY539" s="2"/>
      <c r="CZ539" s="2"/>
      <c r="DA539" s="2"/>
      <c r="DB539" s="2"/>
      <c r="DC539" s="2"/>
      <c r="DD539" s="2"/>
      <c r="DE539" s="2"/>
      <c r="DF539" s="2"/>
      <c r="DG539" s="2"/>
      <c r="DH539" s="2"/>
      <c r="DI539" s="2"/>
      <c r="DJ539" s="2"/>
      <c r="DK539" s="2"/>
      <c r="DL539" s="2"/>
      <c r="DM539" s="2"/>
      <c r="DN539" s="2"/>
      <c r="DO539" s="2"/>
      <c r="DP539" s="2"/>
      <c r="DQ539" s="2"/>
      <c r="DR539" s="2"/>
      <c r="DS539" s="2"/>
      <c r="DT539" s="2"/>
      <c r="DU539" s="2"/>
      <c r="DV539" s="2"/>
      <c r="DW539" s="2"/>
      <c r="DX539" s="2"/>
      <c r="DY539" s="2"/>
      <c r="DZ539" s="2"/>
      <c r="EA539" s="2"/>
      <c r="EB539" s="2"/>
      <c r="EC539" s="2"/>
      <c r="ED539" s="2"/>
      <c r="EE539" s="2"/>
      <c r="EF539" s="2"/>
      <c r="EG539" s="2"/>
      <c r="EH539" s="2"/>
      <c r="EI539" s="2"/>
      <c r="EJ539" s="2"/>
      <c r="EK539" s="2"/>
      <c r="EL539" s="2"/>
      <c r="EM539" s="2"/>
      <c r="EN539" s="2"/>
      <c r="EO539" s="2"/>
      <c r="EP539" s="2"/>
      <c r="EQ539" s="2"/>
      <c r="ER539" s="2"/>
      <c r="ES539" s="2"/>
      <c r="ET539" s="2"/>
      <c r="EU539" s="2"/>
      <c r="EV539" s="2"/>
      <c r="EW539" s="2"/>
      <c r="EX539" s="2"/>
      <c r="EY539" s="2"/>
      <c r="EZ539" s="2"/>
      <c r="FA539" s="2"/>
      <c r="FB539" s="2"/>
      <c r="FC539" s="2"/>
      <c r="FD539" s="2"/>
      <c r="FE539" s="2"/>
      <c r="FF539" s="2"/>
      <c r="FG539" s="2"/>
      <c r="FH539" s="2"/>
      <c r="FI539" s="2"/>
      <c r="FJ539" s="2"/>
      <c r="FK539" s="2"/>
      <c r="FL539" s="2"/>
      <c r="FM539" s="2"/>
      <c r="FN539" s="2"/>
      <c r="FO539" s="2"/>
      <c r="FP539" s="2"/>
      <c r="FQ539" s="2"/>
      <c r="FR539" s="2"/>
      <c r="FS539" s="2"/>
      <c r="FT539" s="2"/>
      <c r="FU539" s="2"/>
      <c r="FV539" s="2"/>
      <c r="FW539" s="2"/>
      <c r="FX539" s="2"/>
      <c r="FY539" s="2"/>
      <c r="FZ539" s="2"/>
      <c r="GA539" s="2"/>
      <c r="GB539" s="2"/>
      <c r="GC539" s="2"/>
      <c r="GD539" s="2"/>
      <c r="GE539" s="2"/>
      <c r="GF539" s="2"/>
      <c r="GG539" s="2"/>
      <c r="GH539" s="2"/>
      <c r="GI539" s="2"/>
      <c r="GJ539" s="2"/>
      <c r="GK539" s="2"/>
      <c r="GL539" s="2"/>
      <c r="GM539" s="2"/>
      <c r="GN539" s="2"/>
      <c r="GO539" s="2"/>
      <c r="GP539" s="2"/>
      <c r="GQ539" s="2"/>
      <c r="GR539" s="2"/>
      <c r="GS539" s="2"/>
      <c r="GT539" s="2"/>
      <c r="GU539" s="2"/>
      <c r="GV539" s="2"/>
      <c r="GW539" s="2"/>
      <c r="GX539" s="2"/>
      <c r="GY539" s="2"/>
      <c r="GZ539" s="2"/>
      <c r="HA539" s="2"/>
      <c r="HB539" s="2"/>
      <c r="HC539" s="2"/>
      <c r="HD539" s="2"/>
      <c r="HE539" s="2"/>
      <c r="HF539" s="2"/>
      <c r="HG539" s="2"/>
      <c r="HH539" s="2"/>
      <c r="HI539" s="2"/>
      <c r="HJ539" s="2"/>
      <c r="HK539" s="2"/>
      <c r="HL539" s="2"/>
      <c r="HM539" s="2"/>
      <c r="HN539" s="2"/>
      <c r="HO539" s="2"/>
      <c r="HP539" s="2"/>
      <c r="HQ539" s="2"/>
      <c r="HR539" s="2"/>
      <c r="HS539" s="2"/>
      <c r="HT539" s="2"/>
      <c r="HU539" s="2"/>
      <c r="HV539" s="2"/>
      <c r="HW539" s="2"/>
      <c r="HX539" s="2"/>
      <c r="HY539" s="2"/>
      <c r="HZ539" s="2"/>
      <c r="IA539" s="2"/>
      <c r="IB539" s="2"/>
      <c r="IC539" s="2"/>
    </row>
    <row r="540" spans="1:237" x14ac:dyDescent="0.2">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c r="AA540" s="2"/>
      <c r="AB540" s="2"/>
      <c r="AC540" s="2"/>
      <c r="AD540" s="2"/>
      <c r="AE540" s="2"/>
      <c r="AF540" s="2"/>
      <c r="AG540" s="2"/>
      <c r="AH540" s="2"/>
      <c r="AI540" s="2"/>
      <c r="AJ540" s="2"/>
      <c r="AK540" s="2"/>
      <c r="AL540" s="2"/>
      <c r="AM540" s="2"/>
      <c r="AN540" s="2"/>
      <c r="AO540" s="2"/>
      <c r="AP540" s="2"/>
      <c r="AQ540" s="2"/>
      <c r="AR540" s="2"/>
      <c r="AS540" s="2"/>
      <c r="AT540" s="2"/>
      <c r="AU540" s="2"/>
      <c r="AV540" s="2"/>
      <c r="AW540" s="2"/>
      <c r="AX540" s="2"/>
      <c r="AY540" s="2"/>
      <c r="AZ540" s="2"/>
      <c r="BA540" s="2"/>
      <c r="BB540" s="2"/>
      <c r="BC540" s="2"/>
      <c r="BD540" s="2"/>
      <c r="BE540" s="2"/>
      <c r="BF540" s="2"/>
      <c r="BG540" s="2"/>
      <c r="BH540" s="2"/>
      <c r="BI540" s="2"/>
      <c r="BJ540" s="2"/>
      <c r="BK540" s="2"/>
      <c r="BL540" s="2"/>
      <c r="BM540" s="2"/>
      <c r="BN540" s="2"/>
      <c r="BO540" s="2"/>
      <c r="BP540" s="2"/>
      <c r="BQ540" s="2"/>
      <c r="BR540" s="2"/>
      <c r="BS540" s="2"/>
      <c r="BT540" s="2"/>
      <c r="BU540" s="2"/>
      <c r="BV540" s="2"/>
      <c r="BW540" s="2"/>
      <c r="BX540" s="2"/>
      <c r="BY540" s="2"/>
      <c r="BZ540" s="2"/>
      <c r="CA540" s="2"/>
      <c r="CB540" s="2"/>
      <c r="CC540" s="2"/>
      <c r="CD540" s="2"/>
      <c r="CE540" s="2"/>
      <c r="CF540" s="2"/>
      <c r="CG540" s="2"/>
      <c r="CH540" s="2"/>
      <c r="CI540" s="2"/>
      <c r="CJ540" s="2"/>
      <c r="CK540" s="2"/>
      <c r="CL540" s="2"/>
      <c r="CM540" s="2"/>
      <c r="CN540" s="2"/>
      <c r="CO540" s="2"/>
      <c r="CP540" s="2"/>
      <c r="CQ540" s="2"/>
      <c r="CR540" s="2"/>
      <c r="CS540" s="2"/>
      <c r="CT540" s="2"/>
      <c r="CU540" s="2"/>
      <c r="CV540" s="2"/>
      <c r="CW540" s="2"/>
      <c r="CX540" s="2"/>
      <c r="CY540" s="2"/>
      <c r="CZ540" s="2"/>
      <c r="DA540" s="2"/>
      <c r="DB540" s="2"/>
      <c r="DC540" s="2"/>
      <c r="DD540" s="2"/>
      <c r="DE540" s="2"/>
      <c r="DF540" s="2"/>
      <c r="DG540" s="2"/>
      <c r="DH540" s="2"/>
      <c r="DI540" s="2"/>
      <c r="DJ540" s="2"/>
      <c r="DK540" s="2"/>
      <c r="DL540" s="2"/>
      <c r="DM540" s="2"/>
      <c r="DN540" s="2"/>
      <c r="DO540" s="2"/>
      <c r="DP540" s="2"/>
      <c r="DQ540" s="2"/>
      <c r="DR540" s="2"/>
      <c r="DS540" s="2"/>
      <c r="DT540" s="2"/>
      <c r="DU540" s="2"/>
      <c r="DV540" s="2"/>
      <c r="DW540" s="2"/>
      <c r="DX540" s="2"/>
      <c r="DY540" s="2"/>
      <c r="DZ540" s="2"/>
      <c r="EA540" s="2"/>
      <c r="EB540" s="2"/>
      <c r="EC540" s="2"/>
      <c r="ED540" s="2"/>
      <c r="EE540" s="2"/>
      <c r="EF540" s="2"/>
      <c r="EG540" s="2"/>
      <c r="EH540" s="2"/>
      <c r="EI540" s="2"/>
      <c r="EJ540" s="2"/>
      <c r="EK540" s="2"/>
      <c r="EL540" s="2"/>
      <c r="EM540" s="2"/>
      <c r="EN540" s="2"/>
      <c r="EO540" s="2"/>
      <c r="EP540" s="2"/>
      <c r="EQ540" s="2"/>
      <c r="ER540" s="2"/>
      <c r="ES540" s="2"/>
      <c r="ET540" s="2"/>
      <c r="EU540" s="2"/>
      <c r="EV540" s="2"/>
      <c r="EW540" s="2"/>
      <c r="EX540" s="2"/>
      <c r="EY540" s="2"/>
      <c r="EZ540" s="2"/>
      <c r="FA540" s="2"/>
      <c r="FB540" s="2"/>
      <c r="FC540" s="2"/>
      <c r="FD540" s="2"/>
      <c r="FE540" s="2"/>
      <c r="FF540" s="2"/>
      <c r="FG540" s="2"/>
      <c r="FH540" s="2"/>
      <c r="FI540" s="2"/>
      <c r="FJ540" s="2"/>
      <c r="FK540" s="2"/>
      <c r="FL540" s="2"/>
      <c r="FM540" s="2"/>
      <c r="FN540" s="2"/>
      <c r="FO540" s="2"/>
      <c r="FP540" s="2"/>
      <c r="FQ540" s="2"/>
      <c r="FR540" s="2"/>
      <c r="FS540" s="2"/>
      <c r="FT540" s="2"/>
      <c r="FU540" s="2"/>
      <c r="FV540" s="2"/>
      <c r="FW540" s="2"/>
      <c r="FX540" s="2"/>
      <c r="FY540" s="2"/>
      <c r="FZ540" s="2"/>
      <c r="GA540" s="2"/>
      <c r="GB540" s="2"/>
      <c r="GC540" s="2"/>
      <c r="GD540" s="2"/>
      <c r="GE540" s="2"/>
      <c r="GF540" s="2"/>
      <c r="GG540" s="2"/>
      <c r="GH540" s="2"/>
      <c r="GI540" s="2"/>
      <c r="GJ540" s="2"/>
      <c r="GK540" s="2"/>
      <c r="GL540" s="2"/>
      <c r="GM540" s="2"/>
      <c r="GN540" s="2"/>
      <c r="GO540" s="2"/>
      <c r="GP540" s="2"/>
      <c r="GQ540" s="2"/>
      <c r="GR540" s="2"/>
      <c r="GS540" s="2"/>
      <c r="GT540" s="2"/>
      <c r="GU540" s="2"/>
      <c r="GV540" s="2"/>
      <c r="GW540" s="2"/>
      <c r="GX540" s="2"/>
      <c r="GY540" s="2"/>
      <c r="GZ540" s="2"/>
      <c r="HA540" s="2"/>
      <c r="HB540" s="2"/>
      <c r="HC540" s="2"/>
      <c r="HD540" s="2"/>
      <c r="HE540" s="2"/>
      <c r="HF540" s="2"/>
      <c r="HG540" s="2"/>
      <c r="HH540" s="2"/>
      <c r="HI540" s="2"/>
      <c r="HJ540" s="2"/>
      <c r="HK540" s="2"/>
      <c r="HL540" s="2"/>
      <c r="HM540" s="2"/>
      <c r="HN540" s="2"/>
      <c r="HO540" s="2"/>
      <c r="HP540" s="2"/>
      <c r="HQ540" s="2"/>
      <c r="HR540" s="2"/>
      <c r="HS540" s="2"/>
      <c r="HT540" s="2"/>
      <c r="HU540" s="2"/>
      <c r="HV540" s="2"/>
      <c r="HW540" s="2"/>
      <c r="HX540" s="2"/>
      <c r="HY540" s="2"/>
      <c r="HZ540" s="2"/>
      <c r="IA540" s="2"/>
      <c r="IB540" s="2"/>
      <c r="IC540" s="2"/>
    </row>
    <row r="541" spans="1:237" x14ac:dyDescent="0.2">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c r="AA541" s="2"/>
      <c r="AB541" s="2"/>
      <c r="AC541" s="2"/>
      <c r="AD541" s="2"/>
      <c r="AE541" s="2"/>
      <c r="AF541" s="2"/>
      <c r="AG541" s="2"/>
      <c r="AH541" s="2"/>
      <c r="AI541" s="2"/>
      <c r="AJ541" s="2"/>
      <c r="AK541" s="2"/>
      <c r="AL541" s="2"/>
      <c r="AM541" s="2"/>
      <c r="AN541" s="2"/>
      <c r="AO541" s="2"/>
      <c r="AP541" s="2"/>
      <c r="AQ541" s="2"/>
      <c r="AR541" s="2"/>
      <c r="AS541" s="2"/>
      <c r="AT541" s="2"/>
      <c r="AU541" s="2"/>
      <c r="AV541" s="2"/>
      <c r="AW541" s="2"/>
      <c r="AX541" s="2"/>
      <c r="AY541" s="2"/>
      <c r="AZ541" s="2"/>
      <c r="BA541" s="2"/>
      <c r="BB541" s="2"/>
      <c r="BC541" s="2"/>
      <c r="BD541" s="2"/>
      <c r="BE541" s="2"/>
      <c r="BF541" s="2"/>
      <c r="BG541" s="2"/>
      <c r="BH541" s="2"/>
      <c r="BI541" s="2"/>
      <c r="BJ541" s="2"/>
      <c r="BK541" s="2"/>
      <c r="BL541" s="2"/>
      <c r="BM541" s="2"/>
      <c r="BN541" s="2"/>
      <c r="BO541" s="2"/>
      <c r="BP541" s="2"/>
      <c r="BQ541" s="2"/>
      <c r="BR541" s="2"/>
      <c r="BS541" s="2"/>
      <c r="BT541" s="2"/>
      <c r="BU541" s="2"/>
      <c r="BV541" s="2"/>
      <c r="BW541" s="2"/>
      <c r="BX541" s="2"/>
      <c r="BY541" s="2"/>
      <c r="BZ541" s="2"/>
      <c r="CA541" s="2"/>
      <c r="CB541" s="2"/>
      <c r="CC541" s="2"/>
      <c r="CD541" s="2"/>
      <c r="CE541" s="2"/>
      <c r="CF541" s="2"/>
      <c r="CG541" s="2"/>
      <c r="CH541" s="2"/>
      <c r="CI541" s="2"/>
      <c r="CJ541" s="2"/>
      <c r="CK541" s="2"/>
      <c r="CL541" s="2"/>
      <c r="CM541" s="2"/>
      <c r="CN541" s="2"/>
      <c r="CO541" s="2"/>
      <c r="CP541" s="2"/>
      <c r="CQ541" s="2"/>
      <c r="CR541" s="2"/>
      <c r="CS541" s="2"/>
      <c r="CT541" s="2"/>
      <c r="CU541" s="2"/>
      <c r="CV541" s="2"/>
      <c r="CW541" s="2"/>
      <c r="CX541" s="2"/>
      <c r="CY541" s="2"/>
      <c r="CZ541" s="2"/>
      <c r="DA541" s="2"/>
      <c r="DB541" s="2"/>
      <c r="DC541" s="2"/>
      <c r="DD541" s="2"/>
      <c r="DE541" s="2"/>
      <c r="DF541" s="2"/>
      <c r="DG541" s="2"/>
      <c r="DH541" s="2"/>
      <c r="DI541" s="2"/>
      <c r="DJ541" s="2"/>
      <c r="DK541" s="2"/>
      <c r="DL541" s="2"/>
      <c r="DM541" s="2"/>
      <c r="DN541" s="2"/>
      <c r="DO541" s="2"/>
      <c r="DP541" s="2"/>
      <c r="DQ541" s="2"/>
      <c r="DR541" s="2"/>
      <c r="DS541" s="2"/>
      <c r="DT541" s="2"/>
      <c r="DU541" s="2"/>
      <c r="DV541" s="2"/>
      <c r="DW541" s="2"/>
      <c r="DX541" s="2"/>
      <c r="DY541" s="2"/>
      <c r="DZ541" s="2"/>
      <c r="EA541" s="2"/>
      <c r="EB541" s="2"/>
      <c r="EC541" s="2"/>
      <c r="ED541" s="2"/>
      <c r="EE541" s="2"/>
      <c r="EF541" s="2"/>
      <c r="EG541" s="2"/>
      <c r="EH541" s="2"/>
      <c r="EI541" s="2"/>
      <c r="EJ541" s="2"/>
      <c r="EK541" s="2"/>
      <c r="EL541" s="2"/>
      <c r="EM541" s="2"/>
      <c r="EN541" s="2"/>
      <c r="EO541" s="2"/>
      <c r="EP541" s="2"/>
      <c r="EQ541" s="2"/>
      <c r="ER541" s="2"/>
      <c r="ES541" s="2"/>
      <c r="ET541" s="2"/>
      <c r="EU541" s="2"/>
      <c r="EV541" s="2"/>
      <c r="EW541" s="2"/>
      <c r="EX541" s="2"/>
      <c r="EY541" s="2"/>
      <c r="EZ541" s="2"/>
      <c r="FA541" s="2"/>
      <c r="FB541" s="2"/>
      <c r="FC541" s="2"/>
      <c r="FD541" s="2"/>
      <c r="FE541" s="2"/>
      <c r="FF541" s="2"/>
      <c r="FG541" s="2"/>
      <c r="FH541" s="2"/>
      <c r="FI541" s="2"/>
      <c r="FJ541" s="2"/>
      <c r="FK541" s="2"/>
      <c r="FL541" s="2"/>
      <c r="FM541" s="2"/>
      <c r="FN541" s="2"/>
      <c r="FO541" s="2"/>
      <c r="FP541" s="2"/>
      <c r="FQ541" s="2"/>
      <c r="FR541" s="2"/>
      <c r="FS541" s="2"/>
      <c r="FT541" s="2"/>
      <c r="FU541" s="2"/>
      <c r="FV541" s="2"/>
      <c r="FW541" s="2"/>
      <c r="FX541" s="2"/>
      <c r="FY541" s="2"/>
      <c r="FZ541" s="2"/>
      <c r="GA541" s="2"/>
      <c r="GB541" s="2"/>
      <c r="GC541" s="2"/>
      <c r="GD541" s="2"/>
      <c r="GE541" s="2"/>
      <c r="GF541" s="2"/>
      <c r="GG541" s="2"/>
      <c r="GH541" s="2"/>
      <c r="GI541" s="2"/>
      <c r="GJ541" s="2"/>
      <c r="GK541" s="2"/>
      <c r="GL541" s="2"/>
      <c r="GM541" s="2"/>
      <c r="GN541" s="2"/>
      <c r="GO541" s="2"/>
      <c r="GP541" s="2"/>
      <c r="GQ541" s="2"/>
      <c r="GR541" s="2"/>
      <c r="GS541" s="2"/>
      <c r="GT541" s="2"/>
      <c r="GU541" s="2"/>
      <c r="GV541" s="2"/>
      <c r="GW541" s="2"/>
      <c r="GX541" s="2"/>
      <c r="GY541" s="2"/>
      <c r="GZ541" s="2"/>
      <c r="HA541" s="2"/>
      <c r="HB541" s="2"/>
      <c r="HC541" s="2"/>
      <c r="HD541" s="2"/>
      <c r="HE541" s="2"/>
      <c r="HF541" s="2"/>
      <c r="HG541" s="2"/>
      <c r="HH541" s="2"/>
      <c r="HI541" s="2"/>
      <c r="HJ541" s="2"/>
      <c r="HK541" s="2"/>
      <c r="HL541" s="2"/>
      <c r="HM541" s="2"/>
      <c r="HN541" s="2"/>
      <c r="HO541" s="2"/>
      <c r="HP541" s="2"/>
      <c r="HQ541" s="2"/>
      <c r="HR541" s="2"/>
      <c r="HS541" s="2"/>
      <c r="HT541" s="2"/>
      <c r="HU541" s="2"/>
      <c r="HV541" s="2"/>
      <c r="HW541" s="2"/>
      <c r="HX541" s="2"/>
      <c r="HY541" s="2"/>
      <c r="HZ541" s="2"/>
      <c r="IA541" s="2"/>
      <c r="IB541" s="2"/>
      <c r="IC541" s="2"/>
    </row>
    <row r="542" spans="1:237" x14ac:dyDescent="0.2">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c r="AA542" s="2"/>
      <c r="AB542" s="2"/>
      <c r="AC542" s="2"/>
      <c r="AD542" s="2"/>
      <c r="AE542" s="2"/>
      <c r="AF542" s="2"/>
      <c r="AG542" s="2"/>
      <c r="AH542" s="2"/>
      <c r="AI542" s="2"/>
      <c r="AJ542" s="2"/>
      <c r="AK542" s="2"/>
      <c r="AL542" s="2"/>
      <c r="AM542" s="2"/>
      <c r="AN542" s="2"/>
      <c r="AO542" s="2"/>
      <c r="AP542" s="2"/>
      <c r="AQ542" s="2"/>
      <c r="AR542" s="2"/>
      <c r="AS542" s="2"/>
      <c r="AT542" s="2"/>
      <c r="AU542" s="2"/>
      <c r="AV542" s="2"/>
      <c r="AW542" s="2"/>
      <c r="AX542" s="2"/>
      <c r="AY542" s="2"/>
      <c r="AZ542" s="2"/>
      <c r="BA542" s="2"/>
      <c r="BB542" s="2"/>
      <c r="BC542" s="2"/>
      <c r="BD542" s="2"/>
      <c r="BE542" s="2"/>
      <c r="BF542" s="2"/>
      <c r="BG542" s="2"/>
      <c r="BH542" s="2"/>
      <c r="BI542" s="2"/>
      <c r="BJ542" s="2"/>
      <c r="BK542" s="2"/>
      <c r="BL542" s="2"/>
      <c r="BM542" s="2"/>
      <c r="BN542" s="2"/>
      <c r="BO542" s="2"/>
      <c r="BP542" s="2"/>
      <c r="BQ542" s="2"/>
      <c r="BR542" s="2"/>
      <c r="BS542" s="2"/>
      <c r="BT542" s="2"/>
      <c r="BU542" s="2"/>
      <c r="BV542" s="2"/>
      <c r="BW542" s="2"/>
      <c r="BX542" s="2"/>
      <c r="BY542" s="2"/>
      <c r="BZ542" s="2"/>
      <c r="CA542" s="2"/>
      <c r="CB542" s="2"/>
      <c r="CC542" s="2"/>
      <c r="CD542" s="2"/>
      <c r="CE542" s="2"/>
      <c r="CF542" s="2"/>
      <c r="CG542" s="2"/>
      <c r="CH542" s="2"/>
      <c r="CI542" s="2"/>
      <c r="CJ542" s="2"/>
      <c r="CK542" s="2"/>
      <c r="CL542" s="2"/>
      <c r="CM542" s="2"/>
      <c r="CN542" s="2"/>
      <c r="CO542" s="2"/>
      <c r="CP542" s="2"/>
      <c r="CQ542" s="2"/>
      <c r="CR542" s="2"/>
      <c r="CS542" s="2"/>
      <c r="CT542" s="2"/>
      <c r="CU542" s="2"/>
      <c r="CV542" s="2"/>
      <c r="CW542" s="2"/>
      <c r="CX542" s="2"/>
      <c r="CY542" s="2"/>
      <c r="CZ542" s="2"/>
      <c r="DA542" s="2"/>
      <c r="DB542" s="2"/>
      <c r="DC542" s="2"/>
      <c r="DD542" s="2"/>
      <c r="DE542" s="2"/>
      <c r="DF542" s="2"/>
      <c r="DG542" s="2"/>
      <c r="DH542" s="2"/>
      <c r="DI542" s="2"/>
      <c r="DJ542" s="2"/>
      <c r="DK542" s="2"/>
      <c r="DL542" s="2"/>
      <c r="DM542" s="2"/>
      <c r="DN542" s="2"/>
      <c r="DO542" s="2"/>
      <c r="DP542" s="2"/>
      <c r="DQ542" s="2"/>
      <c r="DR542" s="2"/>
      <c r="DS542" s="2"/>
      <c r="DT542" s="2"/>
      <c r="DU542" s="2"/>
      <c r="DV542" s="2"/>
      <c r="DW542" s="2"/>
      <c r="DX542" s="2"/>
      <c r="DY542" s="2"/>
      <c r="DZ542" s="2"/>
      <c r="EA542" s="2"/>
      <c r="EB542" s="2"/>
      <c r="EC542" s="2"/>
      <c r="ED542" s="2"/>
      <c r="EE542" s="2"/>
      <c r="EF542" s="2"/>
      <c r="EG542" s="2"/>
      <c r="EH542" s="2"/>
      <c r="EI542" s="2"/>
      <c r="EJ542" s="2"/>
      <c r="EK542" s="2"/>
      <c r="EL542" s="2"/>
      <c r="EM542" s="2"/>
      <c r="EN542" s="2"/>
      <c r="EO542" s="2"/>
      <c r="EP542" s="2"/>
      <c r="EQ542" s="2"/>
      <c r="ER542" s="2"/>
      <c r="ES542" s="2"/>
      <c r="ET542" s="2"/>
      <c r="EU542" s="2"/>
      <c r="EV542" s="2"/>
      <c r="EW542" s="2"/>
      <c r="EX542" s="2"/>
      <c r="EY542" s="2"/>
      <c r="EZ542" s="2"/>
      <c r="FA542" s="2"/>
      <c r="FB542" s="2"/>
      <c r="FC542" s="2"/>
      <c r="FD542" s="2"/>
      <c r="FE542" s="2"/>
      <c r="FF542" s="2"/>
      <c r="FG542" s="2"/>
      <c r="FH542" s="2"/>
      <c r="FI542" s="2"/>
      <c r="FJ542" s="2"/>
      <c r="FK542" s="2"/>
      <c r="FL542" s="2"/>
      <c r="FM542" s="2"/>
      <c r="FN542" s="2"/>
      <c r="FO542" s="2"/>
      <c r="FP542" s="2"/>
      <c r="FQ542" s="2"/>
      <c r="FR542" s="2"/>
      <c r="FS542" s="2"/>
      <c r="FT542" s="2"/>
      <c r="FU542" s="2"/>
      <c r="FV542" s="2"/>
      <c r="FW542" s="2"/>
      <c r="FX542" s="2"/>
      <c r="FY542" s="2"/>
      <c r="FZ542" s="2"/>
      <c r="GA542" s="2"/>
      <c r="GB542" s="2"/>
      <c r="GC542" s="2"/>
      <c r="GD542" s="2"/>
      <c r="GE542" s="2"/>
      <c r="GF542" s="2"/>
      <c r="GG542" s="2"/>
      <c r="GH542" s="2"/>
      <c r="GI542" s="2"/>
      <c r="GJ542" s="2"/>
      <c r="GK542" s="2"/>
      <c r="GL542" s="2"/>
      <c r="GM542" s="2"/>
      <c r="GN542" s="2"/>
      <c r="GO542" s="2"/>
      <c r="GP542" s="2"/>
      <c r="GQ542" s="2"/>
      <c r="GR542" s="2"/>
      <c r="GS542" s="2"/>
      <c r="GT542" s="2"/>
      <c r="GU542" s="2"/>
      <c r="GV542" s="2"/>
      <c r="GW542" s="2"/>
      <c r="GX542" s="2"/>
      <c r="GY542" s="2"/>
      <c r="GZ542" s="2"/>
      <c r="HA542" s="2"/>
      <c r="HB542" s="2"/>
      <c r="HC542" s="2"/>
      <c r="HD542" s="2"/>
      <c r="HE542" s="2"/>
      <c r="HF542" s="2"/>
      <c r="HG542" s="2"/>
      <c r="HH542" s="2"/>
      <c r="HI542" s="2"/>
      <c r="HJ542" s="2"/>
      <c r="HK542" s="2"/>
      <c r="HL542" s="2"/>
      <c r="HM542" s="2"/>
      <c r="HN542" s="2"/>
      <c r="HO542" s="2"/>
      <c r="HP542" s="2"/>
      <c r="HQ542" s="2"/>
      <c r="HR542" s="2"/>
      <c r="HS542" s="2"/>
      <c r="HT542" s="2"/>
      <c r="HU542" s="2"/>
      <c r="HV542" s="2"/>
      <c r="HW542" s="2"/>
      <c r="HX542" s="2"/>
      <c r="HY542" s="2"/>
      <c r="HZ542" s="2"/>
      <c r="IA542" s="2"/>
      <c r="IB542" s="2"/>
      <c r="IC542" s="2"/>
    </row>
    <row r="543" spans="1:237" x14ac:dyDescent="0.2">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c r="AA543" s="2"/>
      <c r="AB543" s="2"/>
      <c r="AC543" s="2"/>
      <c r="AD543" s="2"/>
      <c r="AE543" s="2"/>
      <c r="AF543" s="2"/>
      <c r="AG543" s="2"/>
      <c r="AH543" s="2"/>
      <c r="AI543" s="2"/>
      <c r="AJ543" s="2"/>
      <c r="AK543" s="2"/>
      <c r="AL543" s="2"/>
      <c r="AM543" s="2"/>
      <c r="AN543" s="2"/>
      <c r="AO543" s="2"/>
      <c r="AP543" s="2"/>
      <c r="AQ543" s="2"/>
      <c r="AR543" s="2"/>
      <c r="AS543" s="2"/>
      <c r="AT543" s="2"/>
      <c r="AU543" s="2"/>
      <c r="AV543" s="2"/>
      <c r="AW543" s="2"/>
      <c r="AX543" s="2"/>
      <c r="AY543" s="2"/>
      <c r="AZ543" s="2"/>
      <c r="BA543" s="2"/>
      <c r="BB543" s="2"/>
      <c r="BC543" s="2"/>
      <c r="BD543" s="2"/>
      <c r="BE543" s="2"/>
      <c r="BF543" s="2"/>
      <c r="BG543" s="2"/>
      <c r="BH543" s="2"/>
      <c r="BI543" s="2"/>
      <c r="BJ543" s="2"/>
      <c r="BK543" s="2"/>
      <c r="BL543" s="2"/>
      <c r="BM543" s="2"/>
      <c r="BN543" s="2"/>
      <c r="BO543" s="2"/>
      <c r="BP543" s="2"/>
      <c r="BQ543" s="2"/>
      <c r="BR543" s="2"/>
      <c r="BS543" s="2"/>
      <c r="BT543" s="2"/>
      <c r="BU543" s="2"/>
      <c r="BV543" s="2"/>
      <c r="BW543" s="2"/>
      <c r="BX543" s="2"/>
      <c r="BY543" s="2"/>
      <c r="BZ543" s="2"/>
      <c r="CA543" s="2"/>
      <c r="CB543" s="2"/>
      <c r="CC543" s="2"/>
      <c r="CD543" s="2"/>
      <c r="CE543" s="2"/>
      <c r="CF543" s="2"/>
      <c r="CG543" s="2"/>
      <c r="CH543" s="2"/>
      <c r="CI543" s="2"/>
      <c r="CJ543" s="2"/>
      <c r="CK543" s="2"/>
      <c r="CL543" s="2"/>
      <c r="CM543" s="2"/>
      <c r="CN543" s="2"/>
      <c r="CO543" s="2"/>
      <c r="CP543" s="2"/>
      <c r="CQ543" s="2"/>
      <c r="CR543" s="2"/>
      <c r="CS543" s="2"/>
      <c r="CT543" s="2"/>
      <c r="CU543" s="2"/>
      <c r="CV543" s="2"/>
      <c r="CW543" s="2"/>
      <c r="CX543" s="2"/>
      <c r="CY543" s="2"/>
      <c r="CZ543" s="2"/>
      <c r="DA543" s="2"/>
      <c r="DB543" s="2"/>
      <c r="DC543" s="2"/>
      <c r="DD543" s="2"/>
      <c r="DE543" s="2"/>
      <c r="DF543" s="2"/>
      <c r="DG543" s="2"/>
      <c r="DH543" s="2"/>
      <c r="DI543" s="2"/>
      <c r="DJ543" s="2"/>
      <c r="DK543" s="2"/>
      <c r="DL543" s="2"/>
      <c r="DM543" s="2"/>
      <c r="DN543" s="2"/>
      <c r="DO543" s="2"/>
      <c r="DP543" s="2"/>
      <c r="DQ543" s="2"/>
      <c r="DR543" s="2"/>
      <c r="DS543" s="2"/>
      <c r="DT543" s="2"/>
      <c r="DU543" s="2"/>
      <c r="DV543" s="2"/>
      <c r="DW543" s="2"/>
      <c r="DX543" s="2"/>
      <c r="DY543" s="2"/>
      <c r="DZ543" s="2"/>
      <c r="EA543" s="2"/>
      <c r="EB543" s="2"/>
      <c r="EC543" s="2"/>
      <c r="ED543" s="2"/>
      <c r="EE543" s="2"/>
      <c r="EF543" s="2"/>
      <c r="EG543" s="2"/>
      <c r="EH543" s="2"/>
      <c r="EI543" s="2"/>
      <c r="EJ543" s="2"/>
      <c r="EK543" s="2"/>
      <c r="EL543" s="2"/>
      <c r="EM543" s="2"/>
      <c r="EN543" s="2"/>
      <c r="EO543" s="2"/>
      <c r="EP543" s="2"/>
      <c r="EQ543" s="2"/>
      <c r="ER543" s="2"/>
      <c r="ES543" s="2"/>
      <c r="ET543" s="2"/>
      <c r="EU543" s="2"/>
      <c r="EV543" s="2"/>
      <c r="EW543" s="2"/>
      <c r="EX543" s="2"/>
      <c r="EY543" s="2"/>
      <c r="EZ543" s="2"/>
      <c r="FA543" s="2"/>
      <c r="FB543" s="2"/>
      <c r="FC543" s="2"/>
      <c r="FD543" s="2"/>
      <c r="FE543" s="2"/>
      <c r="FF543" s="2"/>
      <c r="FG543" s="2"/>
      <c r="FH543" s="2"/>
      <c r="FI543" s="2"/>
      <c r="FJ543" s="2"/>
      <c r="FK543" s="2"/>
      <c r="FL543" s="2"/>
      <c r="FM543" s="2"/>
      <c r="FN543" s="2"/>
      <c r="FO543" s="2"/>
      <c r="FP543" s="2"/>
      <c r="FQ543" s="2"/>
      <c r="FR543" s="2"/>
      <c r="FS543" s="2"/>
      <c r="FT543" s="2"/>
      <c r="FU543" s="2"/>
      <c r="FV543" s="2"/>
      <c r="FW543" s="2"/>
      <c r="FX543" s="2"/>
      <c r="FY543" s="2"/>
      <c r="FZ543" s="2"/>
      <c r="GA543" s="2"/>
      <c r="GB543" s="2"/>
      <c r="GC543" s="2"/>
      <c r="GD543" s="2"/>
      <c r="GE543" s="2"/>
      <c r="GF543" s="2"/>
      <c r="GG543" s="2"/>
      <c r="GH543" s="2"/>
      <c r="GI543" s="2"/>
      <c r="GJ543" s="2"/>
      <c r="GK543" s="2"/>
      <c r="GL543" s="2"/>
      <c r="GM543" s="2"/>
      <c r="GN543" s="2"/>
      <c r="GO543" s="2"/>
      <c r="GP543" s="2"/>
      <c r="GQ543" s="2"/>
      <c r="GR543" s="2"/>
      <c r="GS543" s="2"/>
      <c r="GT543" s="2"/>
      <c r="GU543" s="2"/>
      <c r="GV543" s="2"/>
      <c r="GW543" s="2"/>
      <c r="GX543" s="2"/>
      <c r="GY543" s="2"/>
      <c r="GZ543" s="2"/>
      <c r="HA543" s="2"/>
      <c r="HB543" s="2"/>
      <c r="HC543" s="2"/>
      <c r="HD543" s="2"/>
      <c r="HE543" s="2"/>
      <c r="HF543" s="2"/>
      <c r="HG543" s="2"/>
      <c r="HH543" s="2"/>
      <c r="HI543" s="2"/>
      <c r="HJ543" s="2"/>
      <c r="HK543" s="2"/>
      <c r="HL543" s="2"/>
      <c r="HM543" s="2"/>
      <c r="HN543" s="2"/>
      <c r="HO543" s="2"/>
      <c r="HP543" s="2"/>
      <c r="HQ543" s="2"/>
      <c r="HR543" s="2"/>
      <c r="HS543" s="2"/>
      <c r="HT543" s="2"/>
      <c r="HU543" s="2"/>
      <c r="HV543" s="2"/>
      <c r="HW543" s="2"/>
      <c r="HX543" s="2"/>
      <c r="HY543" s="2"/>
      <c r="HZ543" s="2"/>
      <c r="IA543" s="2"/>
      <c r="IB543" s="2"/>
      <c r="IC543" s="2"/>
    </row>
    <row r="544" spans="1:237" x14ac:dyDescent="0.2">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c r="AA544" s="2"/>
      <c r="AB544" s="2"/>
      <c r="AC544" s="2"/>
      <c r="AD544" s="2"/>
      <c r="AE544" s="2"/>
      <c r="AF544" s="2"/>
      <c r="AG544" s="2"/>
      <c r="AH544" s="2"/>
      <c r="AI544" s="2"/>
      <c r="AJ544" s="2"/>
      <c r="AK544" s="2"/>
      <c r="AL544" s="2"/>
      <c r="AM544" s="2"/>
      <c r="AN544" s="2"/>
      <c r="AO544" s="2"/>
      <c r="AP544" s="2"/>
      <c r="AQ544" s="2"/>
      <c r="AR544" s="2"/>
      <c r="AS544" s="2"/>
      <c r="AT544" s="2"/>
      <c r="AU544" s="2"/>
      <c r="AV544" s="2"/>
      <c r="AW544" s="2"/>
      <c r="AX544" s="2"/>
      <c r="AY544" s="2"/>
      <c r="AZ544" s="2"/>
      <c r="BA544" s="2"/>
      <c r="BB544" s="2"/>
      <c r="BC544" s="2"/>
      <c r="BD544" s="2"/>
      <c r="BE544" s="2"/>
      <c r="BF544" s="2"/>
      <c r="BG544" s="2"/>
      <c r="BH544" s="2"/>
      <c r="BI544" s="2"/>
      <c r="BJ544" s="2"/>
      <c r="BK544" s="2"/>
      <c r="BL544" s="2"/>
      <c r="BM544" s="2"/>
      <c r="BN544" s="2"/>
      <c r="BO544" s="2"/>
      <c r="BP544" s="2"/>
      <c r="BQ544" s="2"/>
      <c r="BR544" s="2"/>
      <c r="BS544" s="2"/>
      <c r="BT544" s="2"/>
      <c r="BU544" s="2"/>
      <c r="BV544" s="2"/>
      <c r="BW544" s="2"/>
      <c r="BX544" s="2"/>
      <c r="BY544" s="2"/>
      <c r="BZ544" s="2"/>
      <c r="CA544" s="2"/>
      <c r="CB544" s="2"/>
      <c r="CC544" s="2"/>
      <c r="CD544" s="2"/>
      <c r="CE544" s="2"/>
      <c r="CF544" s="2"/>
      <c r="CG544" s="2"/>
      <c r="CH544" s="2"/>
      <c r="CI544" s="2"/>
      <c r="CJ544" s="2"/>
      <c r="CK544" s="2"/>
      <c r="CL544" s="2"/>
      <c r="CM544" s="2"/>
      <c r="CN544" s="2"/>
      <c r="CO544" s="2"/>
      <c r="CP544" s="2"/>
      <c r="CQ544" s="2"/>
      <c r="CR544" s="2"/>
      <c r="CS544" s="2"/>
      <c r="CT544" s="2"/>
      <c r="CU544" s="2"/>
      <c r="CV544" s="2"/>
      <c r="CW544" s="2"/>
      <c r="CX544" s="2"/>
      <c r="CY544" s="2"/>
      <c r="CZ544" s="2"/>
      <c r="DA544" s="2"/>
      <c r="DB544" s="2"/>
      <c r="DC544" s="2"/>
      <c r="DD544" s="2"/>
      <c r="DE544" s="2"/>
      <c r="DF544" s="2"/>
      <c r="DG544" s="2"/>
      <c r="DH544" s="2"/>
      <c r="DI544" s="2"/>
      <c r="DJ544" s="2"/>
      <c r="DK544" s="2"/>
      <c r="DL544" s="2"/>
      <c r="DM544" s="2"/>
      <c r="DN544" s="2"/>
      <c r="DO544" s="2"/>
      <c r="DP544" s="2"/>
      <c r="DQ544" s="2"/>
      <c r="DR544" s="2"/>
      <c r="DS544" s="2"/>
      <c r="DT544" s="2"/>
      <c r="DU544" s="2"/>
      <c r="DV544" s="2"/>
      <c r="DW544" s="2"/>
      <c r="DX544" s="2"/>
      <c r="DY544" s="2"/>
      <c r="DZ544" s="2"/>
      <c r="EA544" s="2"/>
      <c r="EB544" s="2"/>
      <c r="EC544" s="2"/>
      <c r="ED544" s="2"/>
      <c r="EE544" s="2"/>
      <c r="EF544" s="2"/>
      <c r="EG544" s="2"/>
      <c r="EH544" s="2"/>
      <c r="EI544" s="2"/>
      <c r="EJ544" s="2"/>
      <c r="EK544" s="2"/>
      <c r="EL544" s="2"/>
      <c r="EM544" s="2"/>
      <c r="EN544" s="2"/>
      <c r="EO544" s="2"/>
      <c r="EP544" s="2"/>
      <c r="EQ544" s="2"/>
      <c r="ER544" s="2"/>
      <c r="ES544" s="2"/>
      <c r="ET544" s="2"/>
      <c r="EU544" s="2"/>
      <c r="EV544" s="2"/>
      <c r="EW544" s="2"/>
      <c r="EX544" s="2"/>
      <c r="EY544" s="2"/>
      <c r="EZ544" s="2"/>
      <c r="FA544" s="2"/>
      <c r="FB544" s="2"/>
      <c r="FC544" s="2"/>
      <c r="FD544" s="2"/>
      <c r="FE544" s="2"/>
      <c r="FF544" s="2"/>
      <c r="FG544" s="2"/>
      <c r="FH544" s="2"/>
      <c r="FI544" s="2"/>
      <c r="FJ544" s="2"/>
      <c r="FK544" s="2"/>
      <c r="FL544" s="2"/>
      <c r="FM544" s="2"/>
      <c r="FN544" s="2"/>
      <c r="FO544" s="2"/>
      <c r="FP544" s="2"/>
      <c r="FQ544" s="2"/>
      <c r="FR544" s="2"/>
      <c r="FS544" s="2"/>
      <c r="FT544" s="2"/>
      <c r="FU544" s="2"/>
      <c r="FV544" s="2"/>
      <c r="FW544" s="2"/>
      <c r="FX544" s="2"/>
      <c r="FY544" s="2"/>
      <c r="FZ544" s="2"/>
      <c r="GA544" s="2"/>
      <c r="GB544" s="2"/>
      <c r="GC544" s="2"/>
      <c r="GD544" s="2"/>
      <c r="GE544" s="2"/>
      <c r="GF544" s="2"/>
      <c r="GG544" s="2"/>
      <c r="GH544" s="2"/>
      <c r="GI544" s="2"/>
      <c r="GJ544" s="2"/>
      <c r="GK544" s="2"/>
      <c r="GL544" s="2"/>
      <c r="GM544" s="2"/>
      <c r="GN544" s="2"/>
      <c r="GO544" s="2"/>
      <c r="GP544" s="2"/>
      <c r="GQ544" s="2"/>
      <c r="GR544" s="2"/>
      <c r="GS544" s="2"/>
      <c r="GT544" s="2"/>
      <c r="GU544" s="2"/>
      <c r="GV544" s="2"/>
      <c r="GW544" s="2"/>
      <c r="GX544" s="2"/>
      <c r="GY544" s="2"/>
      <c r="GZ544" s="2"/>
      <c r="HA544" s="2"/>
      <c r="HB544" s="2"/>
      <c r="HC544" s="2"/>
      <c r="HD544" s="2"/>
      <c r="HE544" s="2"/>
      <c r="HF544" s="2"/>
      <c r="HG544" s="2"/>
      <c r="HH544" s="2"/>
      <c r="HI544" s="2"/>
      <c r="HJ544" s="2"/>
      <c r="HK544" s="2"/>
      <c r="HL544" s="2"/>
      <c r="HM544" s="2"/>
      <c r="HN544" s="2"/>
      <c r="HO544" s="2"/>
      <c r="HP544" s="2"/>
      <c r="HQ544" s="2"/>
      <c r="HR544" s="2"/>
      <c r="HS544" s="2"/>
      <c r="HT544" s="2"/>
      <c r="HU544" s="2"/>
      <c r="HV544" s="2"/>
      <c r="HW544" s="2"/>
      <c r="HX544" s="2"/>
      <c r="HY544" s="2"/>
      <c r="HZ544" s="2"/>
      <c r="IA544" s="2"/>
      <c r="IB544" s="2"/>
      <c r="IC544" s="2"/>
    </row>
    <row r="545" spans="1:237" x14ac:dyDescent="0.2">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c r="AA545" s="2"/>
      <c r="AB545" s="2"/>
      <c r="AC545" s="2"/>
      <c r="AD545" s="2"/>
      <c r="AE545" s="2"/>
      <c r="AF545" s="2"/>
      <c r="AG545" s="2"/>
      <c r="AH545" s="2"/>
      <c r="AI545" s="2"/>
      <c r="AJ545" s="2"/>
      <c r="AK545" s="2"/>
      <c r="AL545" s="2"/>
      <c r="AM545" s="2"/>
      <c r="AN545" s="2"/>
      <c r="AO545" s="2"/>
      <c r="AP545" s="2"/>
      <c r="AQ545" s="2"/>
      <c r="AR545" s="2"/>
      <c r="AS545" s="2"/>
      <c r="AT545" s="2"/>
      <c r="AU545" s="2"/>
      <c r="AV545" s="2"/>
      <c r="AW545" s="2"/>
      <c r="AX545" s="2"/>
      <c r="AY545" s="2"/>
      <c r="AZ545" s="2"/>
      <c r="BA545" s="2"/>
      <c r="BB545" s="2"/>
      <c r="BC545" s="2"/>
      <c r="BD545" s="2"/>
      <c r="BE545" s="2"/>
      <c r="BF545" s="2"/>
      <c r="BG545" s="2"/>
      <c r="BH545" s="2"/>
      <c r="BI545" s="2"/>
      <c r="BJ545" s="2"/>
      <c r="BK545" s="2"/>
      <c r="BL545" s="2"/>
      <c r="BM545" s="2"/>
      <c r="BN545" s="2"/>
      <c r="BO545" s="2"/>
      <c r="BP545" s="2"/>
      <c r="BQ545" s="2"/>
      <c r="BR545" s="2"/>
      <c r="BS545" s="2"/>
      <c r="BT545" s="2"/>
      <c r="BU545" s="2"/>
      <c r="BV545" s="2"/>
      <c r="BW545" s="2"/>
      <c r="BX545" s="2"/>
      <c r="BY545" s="2"/>
      <c r="BZ545" s="2"/>
      <c r="CA545" s="2"/>
      <c r="CB545" s="2"/>
      <c r="CC545" s="2"/>
      <c r="CD545" s="2"/>
      <c r="CE545" s="2"/>
      <c r="CF545" s="2"/>
      <c r="CG545" s="2"/>
      <c r="CH545" s="2"/>
      <c r="CI545" s="2"/>
      <c r="CJ545" s="2"/>
      <c r="CK545" s="2"/>
      <c r="CL545" s="2"/>
      <c r="CM545" s="2"/>
      <c r="CN545" s="2"/>
      <c r="CO545" s="2"/>
      <c r="CP545" s="2"/>
      <c r="CQ545" s="2"/>
      <c r="CR545" s="2"/>
      <c r="CS545" s="2"/>
      <c r="CT545" s="2"/>
      <c r="CU545" s="2"/>
      <c r="CV545" s="2"/>
      <c r="CW545" s="2"/>
      <c r="CX545" s="2"/>
      <c r="CY545" s="2"/>
      <c r="CZ545" s="2"/>
      <c r="DA545" s="2"/>
      <c r="DB545" s="2"/>
      <c r="DC545" s="2"/>
      <c r="DD545" s="2"/>
      <c r="DE545" s="2"/>
      <c r="DF545" s="2"/>
      <c r="DG545" s="2"/>
      <c r="DH545" s="2"/>
      <c r="DI545" s="2"/>
      <c r="DJ545" s="2"/>
      <c r="DK545" s="2"/>
      <c r="DL545" s="2"/>
      <c r="DM545" s="2"/>
      <c r="DN545" s="2"/>
      <c r="DO545" s="2"/>
      <c r="DP545" s="2"/>
      <c r="DQ545" s="2"/>
      <c r="DR545" s="2"/>
      <c r="DS545" s="2"/>
      <c r="DT545" s="2"/>
      <c r="DU545" s="2"/>
      <c r="DV545" s="2"/>
      <c r="DW545" s="2"/>
      <c r="DX545" s="2"/>
      <c r="DY545" s="2"/>
      <c r="DZ545" s="2"/>
      <c r="EA545" s="2"/>
      <c r="EB545" s="2"/>
      <c r="EC545" s="2"/>
      <c r="ED545" s="2"/>
      <c r="EE545" s="2"/>
      <c r="EF545" s="2"/>
      <c r="EG545" s="2"/>
      <c r="EH545" s="2"/>
      <c r="EI545" s="2"/>
      <c r="EJ545" s="2"/>
      <c r="EK545" s="2"/>
      <c r="EL545" s="2"/>
      <c r="EM545" s="2"/>
      <c r="EN545" s="2"/>
      <c r="EO545" s="2"/>
      <c r="EP545" s="2"/>
      <c r="EQ545" s="2"/>
      <c r="ER545" s="2"/>
      <c r="ES545" s="2"/>
      <c r="ET545" s="2"/>
      <c r="EU545" s="2"/>
      <c r="EV545" s="2"/>
      <c r="EW545" s="2"/>
      <c r="EX545" s="2"/>
      <c r="EY545" s="2"/>
      <c r="EZ545" s="2"/>
      <c r="FA545" s="2"/>
      <c r="FB545" s="2"/>
      <c r="FC545" s="2"/>
      <c r="FD545" s="2"/>
      <c r="FE545" s="2"/>
      <c r="FF545" s="2"/>
      <c r="FG545" s="2"/>
      <c r="FH545" s="2"/>
      <c r="FI545" s="2"/>
      <c r="FJ545" s="2"/>
      <c r="FK545" s="2"/>
      <c r="FL545" s="2"/>
      <c r="FM545" s="2"/>
      <c r="FN545" s="2"/>
      <c r="FO545" s="2"/>
      <c r="FP545" s="2"/>
      <c r="FQ545" s="2"/>
      <c r="FR545" s="2"/>
      <c r="FS545" s="2"/>
      <c r="FT545" s="2"/>
      <c r="FU545" s="2"/>
      <c r="FV545" s="2"/>
      <c r="FW545" s="2"/>
      <c r="FX545" s="2"/>
      <c r="FY545" s="2"/>
      <c r="FZ545" s="2"/>
      <c r="GA545" s="2"/>
      <c r="GB545" s="2"/>
      <c r="GC545" s="2"/>
      <c r="GD545" s="2"/>
      <c r="GE545" s="2"/>
      <c r="GF545" s="2"/>
      <c r="GG545" s="2"/>
      <c r="GH545" s="2"/>
      <c r="GI545" s="2"/>
      <c r="GJ545" s="2"/>
      <c r="GK545" s="2"/>
      <c r="GL545" s="2"/>
      <c r="GM545" s="2"/>
      <c r="GN545" s="2"/>
      <c r="GO545" s="2"/>
      <c r="GP545" s="2"/>
      <c r="GQ545" s="2"/>
      <c r="GR545" s="2"/>
      <c r="GS545" s="2"/>
      <c r="GT545" s="2"/>
      <c r="GU545" s="2"/>
      <c r="GV545" s="2"/>
      <c r="GW545" s="2"/>
      <c r="GX545" s="2"/>
      <c r="GY545" s="2"/>
      <c r="GZ545" s="2"/>
      <c r="HA545" s="2"/>
      <c r="HB545" s="2"/>
      <c r="HC545" s="2"/>
      <c r="HD545" s="2"/>
      <c r="HE545" s="2"/>
      <c r="HF545" s="2"/>
      <c r="HG545" s="2"/>
      <c r="HH545" s="2"/>
      <c r="HI545" s="2"/>
      <c r="HJ545" s="2"/>
      <c r="HK545" s="2"/>
      <c r="HL545" s="2"/>
      <c r="HM545" s="2"/>
      <c r="HN545" s="2"/>
      <c r="HO545" s="2"/>
      <c r="HP545" s="2"/>
      <c r="HQ545" s="2"/>
      <c r="HR545" s="2"/>
      <c r="HS545" s="2"/>
      <c r="HT545" s="2"/>
      <c r="HU545" s="2"/>
      <c r="HV545" s="2"/>
      <c r="HW545" s="2"/>
      <c r="HX545" s="2"/>
      <c r="HY545" s="2"/>
      <c r="HZ545" s="2"/>
      <c r="IA545" s="2"/>
      <c r="IB545" s="2"/>
      <c r="IC545" s="2"/>
    </row>
    <row r="546" spans="1:237" x14ac:dyDescent="0.2">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c r="AA546" s="2"/>
      <c r="AB546" s="2"/>
      <c r="AC546" s="2"/>
      <c r="AD546" s="2"/>
      <c r="AE546" s="2"/>
      <c r="AF546" s="2"/>
      <c r="AG546" s="2"/>
      <c r="AH546" s="2"/>
      <c r="AI546" s="2"/>
      <c r="AJ546" s="2"/>
      <c r="AK546" s="2"/>
      <c r="AL546" s="2"/>
      <c r="AM546" s="2"/>
      <c r="AN546" s="2"/>
      <c r="AO546" s="2"/>
      <c r="AP546" s="2"/>
      <c r="AQ546" s="2"/>
      <c r="AR546" s="2"/>
      <c r="AS546" s="2"/>
      <c r="AT546" s="2"/>
      <c r="AU546" s="2"/>
      <c r="AV546" s="2"/>
      <c r="AW546" s="2"/>
      <c r="AX546" s="2"/>
      <c r="AY546" s="2"/>
      <c r="AZ546" s="2"/>
      <c r="BA546" s="2"/>
      <c r="BB546" s="2"/>
      <c r="BC546" s="2"/>
      <c r="BD546" s="2"/>
      <c r="BE546" s="2"/>
      <c r="BF546" s="2"/>
      <c r="BG546" s="2"/>
      <c r="BH546" s="2"/>
      <c r="BI546" s="2"/>
      <c r="BJ546" s="2"/>
      <c r="BK546" s="2"/>
      <c r="BL546" s="2"/>
      <c r="BM546" s="2"/>
      <c r="BN546" s="2"/>
      <c r="BO546" s="2"/>
      <c r="BP546" s="2"/>
      <c r="BQ546" s="2"/>
      <c r="BR546" s="2"/>
      <c r="BS546" s="2"/>
      <c r="BT546" s="2"/>
      <c r="BU546" s="2"/>
      <c r="BV546" s="2"/>
      <c r="BW546" s="2"/>
      <c r="BX546" s="2"/>
      <c r="BY546" s="2"/>
      <c r="BZ546" s="2"/>
      <c r="CA546" s="2"/>
      <c r="CB546" s="2"/>
      <c r="CC546" s="2"/>
      <c r="CD546" s="2"/>
      <c r="CE546" s="2"/>
      <c r="CF546" s="2"/>
      <c r="CG546" s="2"/>
      <c r="CH546" s="2"/>
      <c r="CI546" s="2"/>
      <c r="CJ546" s="2"/>
      <c r="CK546" s="2"/>
      <c r="CL546" s="2"/>
      <c r="CM546" s="2"/>
      <c r="CN546" s="2"/>
      <c r="CO546" s="2"/>
      <c r="CP546" s="2"/>
      <c r="CQ546" s="2"/>
      <c r="CR546" s="2"/>
      <c r="CS546" s="2"/>
      <c r="CT546" s="2"/>
      <c r="CU546" s="2"/>
      <c r="CV546" s="2"/>
      <c r="CW546" s="2"/>
      <c r="CX546" s="2"/>
      <c r="CY546" s="2"/>
      <c r="CZ546" s="2"/>
      <c r="DA546" s="2"/>
      <c r="DB546" s="2"/>
      <c r="DC546" s="2"/>
      <c r="DD546" s="2"/>
      <c r="DE546" s="2"/>
      <c r="DF546" s="2"/>
      <c r="DG546" s="2"/>
      <c r="DH546" s="2"/>
      <c r="DI546" s="2"/>
      <c r="DJ546" s="2"/>
      <c r="DK546" s="2"/>
      <c r="DL546" s="2"/>
      <c r="DM546" s="2"/>
      <c r="DN546" s="2"/>
      <c r="DO546" s="2"/>
      <c r="DP546" s="2"/>
      <c r="DQ546" s="2"/>
      <c r="DR546" s="2"/>
      <c r="DS546" s="2"/>
      <c r="DT546" s="2"/>
      <c r="DU546" s="2"/>
      <c r="DV546" s="2"/>
      <c r="DW546" s="2"/>
      <c r="DX546" s="2"/>
      <c r="DY546" s="2"/>
      <c r="DZ546" s="2"/>
      <c r="EA546" s="2"/>
      <c r="EB546" s="2"/>
      <c r="EC546" s="2"/>
      <c r="ED546" s="2"/>
      <c r="EE546" s="2"/>
      <c r="EF546" s="2"/>
      <c r="EG546" s="2"/>
      <c r="EH546" s="2"/>
      <c r="EI546" s="2"/>
      <c r="EJ546" s="2"/>
      <c r="EK546" s="2"/>
      <c r="EL546" s="2"/>
      <c r="EM546" s="2"/>
      <c r="EN546" s="2"/>
      <c r="EO546" s="2"/>
      <c r="EP546" s="2"/>
      <c r="EQ546" s="2"/>
      <c r="ER546" s="2"/>
      <c r="ES546" s="2"/>
      <c r="ET546" s="2"/>
      <c r="EU546" s="2"/>
      <c r="EV546" s="2"/>
      <c r="EW546" s="2"/>
      <c r="EX546" s="2"/>
      <c r="EY546" s="2"/>
      <c r="EZ546" s="2"/>
      <c r="FA546" s="2"/>
      <c r="FB546" s="2"/>
      <c r="FC546" s="2"/>
      <c r="FD546" s="2"/>
      <c r="FE546" s="2"/>
      <c r="FF546" s="2"/>
      <c r="FG546" s="2"/>
      <c r="FH546" s="2"/>
      <c r="FI546" s="2"/>
      <c r="FJ546" s="2"/>
      <c r="FK546" s="2"/>
      <c r="FL546" s="2"/>
      <c r="FM546" s="2"/>
      <c r="FN546" s="2"/>
      <c r="FO546" s="2"/>
      <c r="FP546" s="2"/>
      <c r="FQ546" s="2"/>
      <c r="FR546" s="2"/>
      <c r="FS546" s="2"/>
      <c r="FT546" s="2"/>
      <c r="FU546" s="2"/>
      <c r="FV546" s="2"/>
      <c r="FW546" s="2"/>
      <c r="FX546" s="2"/>
      <c r="FY546" s="2"/>
      <c r="FZ546" s="2"/>
      <c r="GA546" s="2"/>
      <c r="GB546" s="2"/>
      <c r="GC546" s="2"/>
      <c r="GD546" s="2"/>
      <c r="GE546" s="2"/>
      <c r="GF546" s="2"/>
      <c r="GG546" s="2"/>
      <c r="GH546" s="2"/>
      <c r="GI546" s="2"/>
      <c r="GJ546" s="2"/>
      <c r="GK546" s="2"/>
      <c r="GL546" s="2"/>
      <c r="GM546" s="2"/>
      <c r="GN546" s="2"/>
      <c r="GO546" s="2"/>
      <c r="GP546" s="2"/>
      <c r="GQ546" s="2"/>
      <c r="GR546" s="2"/>
      <c r="GS546" s="2"/>
      <c r="GT546" s="2"/>
      <c r="GU546" s="2"/>
      <c r="GV546" s="2"/>
      <c r="GW546" s="2"/>
      <c r="GX546" s="2"/>
      <c r="GY546" s="2"/>
      <c r="GZ546" s="2"/>
      <c r="HA546" s="2"/>
      <c r="HB546" s="2"/>
      <c r="HC546" s="2"/>
      <c r="HD546" s="2"/>
      <c r="HE546" s="2"/>
      <c r="HF546" s="2"/>
      <c r="HG546" s="2"/>
      <c r="HH546" s="2"/>
      <c r="HI546" s="2"/>
      <c r="HJ546" s="2"/>
      <c r="HK546" s="2"/>
      <c r="HL546" s="2"/>
      <c r="HM546" s="2"/>
      <c r="HN546" s="2"/>
      <c r="HO546" s="2"/>
      <c r="HP546" s="2"/>
      <c r="HQ546" s="2"/>
      <c r="HR546" s="2"/>
      <c r="HS546" s="2"/>
      <c r="HT546" s="2"/>
      <c r="HU546" s="2"/>
      <c r="HV546" s="2"/>
      <c r="HW546" s="2"/>
      <c r="HX546" s="2"/>
      <c r="HY546" s="2"/>
      <c r="HZ546" s="2"/>
      <c r="IA546" s="2"/>
      <c r="IB546" s="2"/>
      <c r="IC546" s="2"/>
    </row>
    <row r="547" spans="1:237" x14ac:dyDescent="0.2">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c r="AA547" s="2"/>
      <c r="AB547" s="2"/>
      <c r="AC547" s="2"/>
      <c r="AD547" s="2"/>
      <c r="AE547" s="2"/>
      <c r="AF547" s="2"/>
      <c r="AG547" s="2"/>
      <c r="AH547" s="2"/>
      <c r="AI547" s="2"/>
      <c r="AJ547" s="2"/>
      <c r="AK547" s="2"/>
      <c r="AL547" s="2"/>
      <c r="AM547" s="2"/>
      <c r="AN547" s="2"/>
      <c r="AO547" s="2"/>
      <c r="AP547" s="2"/>
      <c r="AQ547" s="2"/>
      <c r="AR547" s="2"/>
      <c r="AS547" s="2"/>
      <c r="AT547" s="2"/>
      <c r="AU547" s="2"/>
      <c r="AV547" s="2"/>
      <c r="AW547" s="2"/>
      <c r="AX547" s="2"/>
      <c r="AY547" s="2"/>
      <c r="AZ547" s="2"/>
      <c r="BA547" s="2"/>
      <c r="BB547" s="2"/>
      <c r="BC547" s="2"/>
      <c r="BD547" s="2"/>
      <c r="BE547" s="2"/>
      <c r="BF547" s="2"/>
      <c r="BG547" s="2"/>
      <c r="BH547" s="2"/>
      <c r="BI547" s="2"/>
      <c r="BJ547" s="2"/>
      <c r="BK547" s="2"/>
      <c r="BL547" s="2"/>
      <c r="BM547" s="2"/>
      <c r="BN547" s="2"/>
      <c r="BO547" s="2"/>
      <c r="BP547" s="2"/>
      <c r="BQ547" s="2"/>
      <c r="BR547" s="2"/>
      <c r="BS547" s="2"/>
      <c r="BT547" s="2"/>
      <c r="BU547" s="2"/>
      <c r="BV547" s="2"/>
      <c r="BW547" s="2"/>
      <c r="BX547" s="2"/>
      <c r="BY547" s="2"/>
      <c r="BZ547" s="2"/>
      <c r="CA547" s="2"/>
      <c r="CB547" s="2"/>
      <c r="CC547" s="2"/>
      <c r="CD547" s="2"/>
      <c r="CE547" s="2"/>
      <c r="CF547" s="2"/>
      <c r="CG547" s="2"/>
      <c r="CH547" s="2"/>
      <c r="CI547" s="2"/>
      <c r="CJ547" s="2"/>
      <c r="CK547" s="2"/>
      <c r="CL547" s="2"/>
      <c r="CM547" s="2"/>
      <c r="CN547" s="2"/>
      <c r="CO547" s="2"/>
      <c r="CP547" s="2"/>
      <c r="CQ547" s="2"/>
      <c r="CR547" s="2"/>
      <c r="CS547" s="2"/>
      <c r="CT547" s="2"/>
      <c r="CU547" s="2"/>
      <c r="CV547" s="2"/>
      <c r="CW547" s="2"/>
      <c r="CX547" s="2"/>
      <c r="CY547" s="2"/>
      <c r="CZ547" s="2"/>
      <c r="DA547" s="2"/>
      <c r="DB547" s="2"/>
      <c r="DC547" s="2"/>
      <c r="DD547" s="2"/>
      <c r="DE547" s="2"/>
      <c r="DF547" s="2"/>
      <c r="DG547" s="2"/>
      <c r="DH547" s="2"/>
      <c r="DI547" s="2"/>
      <c r="DJ547" s="2"/>
      <c r="DK547" s="2"/>
      <c r="DL547" s="2"/>
      <c r="DM547" s="2"/>
      <c r="DN547" s="2"/>
      <c r="DO547" s="2"/>
      <c r="DP547" s="2"/>
      <c r="DQ547" s="2"/>
      <c r="DR547" s="2"/>
      <c r="DS547" s="2"/>
      <c r="DT547" s="2"/>
      <c r="DU547" s="2"/>
      <c r="DV547" s="2"/>
      <c r="DW547" s="2"/>
      <c r="DX547" s="2"/>
      <c r="DY547" s="2"/>
      <c r="DZ547" s="2"/>
      <c r="EA547" s="2"/>
      <c r="EB547" s="2"/>
      <c r="EC547" s="2"/>
      <c r="ED547" s="2"/>
      <c r="EE547" s="2"/>
      <c r="EF547" s="2"/>
      <c r="EG547" s="2"/>
      <c r="EH547" s="2"/>
      <c r="EI547" s="2"/>
      <c r="EJ547" s="2"/>
      <c r="EK547" s="2"/>
      <c r="EL547" s="2"/>
      <c r="EM547" s="2"/>
      <c r="EN547" s="2"/>
      <c r="EO547" s="2"/>
      <c r="EP547" s="2"/>
      <c r="EQ547" s="2"/>
      <c r="ER547" s="2"/>
      <c r="ES547" s="2"/>
      <c r="ET547" s="2"/>
      <c r="EU547" s="2"/>
      <c r="EV547" s="2"/>
      <c r="EW547" s="2"/>
      <c r="EX547" s="2"/>
      <c r="EY547" s="2"/>
      <c r="EZ547" s="2"/>
      <c r="FA547" s="2"/>
      <c r="FB547" s="2"/>
      <c r="FC547" s="2"/>
      <c r="FD547" s="2"/>
      <c r="FE547" s="2"/>
      <c r="FF547" s="2"/>
      <c r="FG547" s="2"/>
      <c r="FH547" s="2"/>
      <c r="FI547" s="2"/>
      <c r="FJ547" s="2"/>
      <c r="FK547" s="2"/>
      <c r="FL547" s="2"/>
      <c r="FM547" s="2"/>
      <c r="FN547" s="2"/>
      <c r="FO547" s="2"/>
      <c r="FP547" s="2"/>
      <c r="FQ547" s="2"/>
      <c r="FR547" s="2"/>
      <c r="FS547" s="2"/>
      <c r="FT547" s="2"/>
      <c r="FU547" s="2"/>
      <c r="FV547" s="2"/>
      <c r="FW547" s="2"/>
      <c r="FX547" s="2"/>
      <c r="FY547" s="2"/>
      <c r="FZ547" s="2"/>
      <c r="GA547" s="2"/>
      <c r="GB547" s="2"/>
      <c r="GC547" s="2"/>
      <c r="GD547" s="2"/>
      <c r="GE547" s="2"/>
      <c r="GF547" s="2"/>
      <c r="GG547" s="2"/>
      <c r="GH547" s="2"/>
      <c r="GI547" s="2"/>
      <c r="GJ547" s="2"/>
      <c r="GK547" s="2"/>
      <c r="GL547" s="2"/>
      <c r="GM547" s="2"/>
      <c r="GN547" s="2"/>
      <c r="GO547" s="2"/>
      <c r="GP547" s="2"/>
      <c r="GQ547" s="2"/>
      <c r="GR547" s="2"/>
      <c r="GS547" s="2"/>
      <c r="GT547" s="2"/>
      <c r="GU547" s="2"/>
      <c r="GV547" s="2"/>
      <c r="GW547" s="2"/>
      <c r="GX547" s="2"/>
      <c r="GY547" s="2"/>
      <c r="GZ547" s="2"/>
      <c r="HA547" s="2"/>
      <c r="HB547" s="2"/>
      <c r="HC547" s="2"/>
      <c r="HD547" s="2"/>
      <c r="HE547" s="2"/>
      <c r="HF547" s="2"/>
      <c r="HG547" s="2"/>
      <c r="HH547" s="2"/>
      <c r="HI547" s="2"/>
      <c r="HJ547" s="2"/>
      <c r="HK547" s="2"/>
      <c r="HL547" s="2"/>
      <c r="HM547" s="2"/>
      <c r="HN547" s="2"/>
      <c r="HO547" s="2"/>
      <c r="HP547" s="2"/>
      <c r="HQ547" s="2"/>
      <c r="HR547" s="2"/>
      <c r="HS547" s="2"/>
      <c r="HT547" s="2"/>
      <c r="HU547" s="2"/>
      <c r="HV547" s="2"/>
      <c r="HW547" s="2"/>
      <c r="HX547" s="2"/>
      <c r="HY547" s="2"/>
      <c r="HZ547" s="2"/>
      <c r="IA547" s="2"/>
      <c r="IB547" s="2"/>
      <c r="IC547" s="2"/>
    </row>
    <row r="548" spans="1:237" x14ac:dyDescent="0.2">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c r="AA548" s="2"/>
      <c r="AB548" s="2"/>
      <c r="AC548" s="2"/>
      <c r="AD548" s="2"/>
      <c r="AE548" s="2"/>
      <c r="AF548" s="2"/>
      <c r="AG548" s="2"/>
      <c r="AH548" s="2"/>
      <c r="AI548" s="2"/>
      <c r="AJ548" s="2"/>
      <c r="AK548" s="2"/>
      <c r="AL548" s="2"/>
      <c r="AM548" s="2"/>
      <c r="AN548" s="2"/>
      <c r="AO548" s="2"/>
      <c r="AP548" s="2"/>
      <c r="AQ548" s="2"/>
      <c r="AR548" s="2"/>
      <c r="AS548" s="2"/>
      <c r="AT548" s="2"/>
      <c r="AU548" s="2"/>
      <c r="AV548" s="2"/>
      <c r="AW548" s="2"/>
      <c r="AX548" s="2"/>
      <c r="AY548" s="2"/>
      <c r="AZ548" s="2"/>
      <c r="BA548" s="2"/>
      <c r="BB548" s="2"/>
      <c r="BC548" s="2"/>
      <c r="BD548" s="2"/>
      <c r="BE548" s="2"/>
      <c r="BF548" s="2"/>
      <c r="BG548" s="2"/>
      <c r="BH548" s="2"/>
      <c r="BI548" s="2"/>
      <c r="BJ548" s="2"/>
      <c r="BK548" s="2"/>
      <c r="BL548" s="2"/>
      <c r="BM548" s="2"/>
      <c r="BN548" s="2"/>
      <c r="BO548" s="2"/>
      <c r="BP548" s="2"/>
      <c r="BQ548" s="2"/>
      <c r="BR548" s="2"/>
      <c r="BS548" s="2"/>
      <c r="BT548" s="2"/>
      <c r="BU548" s="2"/>
      <c r="BV548" s="2"/>
      <c r="BW548" s="2"/>
      <c r="BX548" s="2"/>
      <c r="BY548" s="2"/>
      <c r="BZ548" s="2"/>
      <c r="CA548" s="2"/>
      <c r="CB548" s="2"/>
      <c r="CC548" s="2"/>
      <c r="CD548" s="2"/>
      <c r="CE548" s="2"/>
      <c r="CF548" s="2"/>
      <c r="CG548" s="2"/>
      <c r="CH548" s="2"/>
      <c r="CI548" s="2"/>
      <c r="CJ548" s="2"/>
      <c r="CK548" s="2"/>
      <c r="CL548" s="2"/>
      <c r="CM548" s="2"/>
      <c r="CN548" s="2"/>
      <c r="CO548" s="2"/>
      <c r="CP548" s="2"/>
      <c r="CQ548" s="2"/>
      <c r="CR548" s="2"/>
      <c r="CS548" s="2"/>
      <c r="CT548" s="2"/>
      <c r="CU548" s="2"/>
      <c r="CV548" s="2"/>
      <c r="CW548" s="2"/>
      <c r="CX548" s="2"/>
      <c r="CY548" s="2"/>
      <c r="CZ548" s="2"/>
      <c r="DA548" s="2"/>
      <c r="DB548" s="2"/>
      <c r="DC548" s="2"/>
      <c r="DD548" s="2"/>
      <c r="DE548" s="2"/>
      <c r="DF548" s="2"/>
      <c r="DG548" s="2"/>
      <c r="DH548" s="2"/>
      <c r="DI548" s="2"/>
      <c r="DJ548" s="2"/>
      <c r="DK548" s="2"/>
      <c r="DL548" s="2"/>
      <c r="DM548" s="2"/>
      <c r="DN548" s="2"/>
      <c r="DO548" s="2"/>
      <c r="DP548" s="2"/>
      <c r="DQ548" s="2"/>
      <c r="DR548" s="2"/>
      <c r="DS548" s="2"/>
      <c r="DT548" s="2"/>
      <c r="DU548" s="2"/>
      <c r="DV548" s="2"/>
      <c r="DW548" s="2"/>
      <c r="DX548" s="2"/>
      <c r="DY548" s="2"/>
      <c r="DZ548" s="2"/>
      <c r="EA548" s="2"/>
      <c r="EB548" s="2"/>
      <c r="EC548" s="2"/>
      <c r="ED548" s="2"/>
      <c r="EE548" s="2"/>
      <c r="EF548" s="2"/>
      <c r="EG548" s="2"/>
      <c r="EH548" s="2"/>
      <c r="EI548" s="2"/>
      <c r="EJ548" s="2"/>
      <c r="EK548" s="2"/>
      <c r="EL548" s="2"/>
      <c r="EM548" s="2"/>
      <c r="EN548" s="2"/>
      <c r="EO548" s="2"/>
      <c r="EP548" s="2"/>
      <c r="EQ548" s="2"/>
      <c r="ER548" s="2"/>
      <c r="ES548" s="2"/>
      <c r="ET548" s="2"/>
      <c r="EU548" s="2"/>
      <c r="EV548" s="2"/>
      <c r="EW548" s="2"/>
      <c r="EX548" s="2"/>
      <c r="EY548" s="2"/>
      <c r="EZ548" s="2"/>
      <c r="FA548" s="2"/>
      <c r="FB548" s="2"/>
      <c r="FC548" s="2"/>
      <c r="FD548" s="2"/>
      <c r="FE548" s="2"/>
      <c r="FF548" s="2"/>
      <c r="FG548" s="2"/>
      <c r="FH548" s="2"/>
      <c r="FI548" s="2"/>
      <c r="FJ548" s="2"/>
      <c r="FK548" s="2"/>
      <c r="FL548" s="2"/>
      <c r="FM548" s="2"/>
      <c r="FN548" s="2"/>
      <c r="FO548" s="2"/>
      <c r="FP548" s="2"/>
      <c r="FQ548" s="2"/>
      <c r="FR548" s="2"/>
      <c r="FS548" s="2"/>
      <c r="FT548" s="2"/>
      <c r="FU548" s="2"/>
      <c r="FV548" s="2"/>
      <c r="FW548" s="2"/>
      <c r="FX548" s="2"/>
      <c r="FY548" s="2"/>
      <c r="FZ548" s="2"/>
      <c r="GA548" s="2"/>
      <c r="GB548" s="2"/>
      <c r="GC548" s="2"/>
      <c r="GD548" s="2"/>
      <c r="GE548" s="2"/>
      <c r="GF548" s="2"/>
      <c r="GG548" s="2"/>
      <c r="GH548" s="2"/>
      <c r="GI548" s="2"/>
      <c r="GJ548" s="2"/>
      <c r="GK548" s="2"/>
      <c r="GL548" s="2"/>
      <c r="GM548" s="2"/>
      <c r="GN548" s="2"/>
      <c r="GO548" s="2"/>
      <c r="GP548" s="2"/>
      <c r="GQ548" s="2"/>
      <c r="GR548" s="2"/>
      <c r="GS548" s="2"/>
      <c r="GT548" s="2"/>
      <c r="GU548" s="2"/>
      <c r="GV548" s="2"/>
      <c r="GW548" s="2"/>
      <c r="GX548" s="2"/>
      <c r="GY548" s="2"/>
      <c r="GZ548" s="2"/>
      <c r="HA548" s="2"/>
      <c r="HB548" s="2"/>
      <c r="HC548" s="2"/>
      <c r="HD548" s="2"/>
      <c r="HE548" s="2"/>
      <c r="HF548" s="2"/>
      <c r="HG548" s="2"/>
      <c r="HH548" s="2"/>
      <c r="HI548" s="2"/>
      <c r="HJ548" s="2"/>
      <c r="HK548" s="2"/>
      <c r="HL548" s="2"/>
      <c r="HM548" s="2"/>
      <c r="HN548" s="2"/>
      <c r="HO548" s="2"/>
      <c r="HP548" s="2"/>
      <c r="HQ548" s="2"/>
      <c r="HR548" s="2"/>
      <c r="HS548" s="2"/>
      <c r="HT548" s="2"/>
      <c r="HU548" s="2"/>
      <c r="HV548" s="2"/>
      <c r="HW548" s="2"/>
      <c r="HX548" s="2"/>
      <c r="HY548" s="2"/>
      <c r="HZ548" s="2"/>
      <c r="IA548" s="2"/>
      <c r="IB548" s="2"/>
      <c r="IC548" s="2"/>
    </row>
    <row r="549" spans="1:237" x14ac:dyDescent="0.2">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c r="AA549" s="2"/>
      <c r="AB549" s="2"/>
      <c r="AC549" s="2"/>
      <c r="AD549" s="2"/>
      <c r="AE549" s="2"/>
      <c r="AF549" s="2"/>
      <c r="AG549" s="2"/>
      <c r="AH549" s="2"/>
      <c r="AI549" s="2"/>
      <c r="AJ549" s="2"/>
      <c r="AK549" s="2"/>
      <c r="AL549" s="2"/>
      <c r="AM549" s="2"/>
      <c r="AN549" s="2"/>
      <c r="AO549" s="2"/>
      <c r="AP549" s="2"/>
      <c r="AQ549" s="2"/>
      <c r="AR549" s="2"/>
      <c r="AS549" s="2"/>
      <c r="AT549" s="2"/>
      <c r="AU549" s="2"/>
      <c r="AV549" s="2"/>
      <c r="AW549" s="2"/>
      <c r="AX549" s="2"/>
      <c r="AY549" s="2"/>
      <c r="AZ549" s="2"/>
      <c r="BA549" s="2"/>
      <c r="BB549" s="2"/>
      <c r="BC549" s="2"/>
      <c r="BD549" s="2"/>
      <c r="BE549" s="2"/>
      <c r="BF549" s="2"/>
      <c r="BG549" s="2"/>
      <c r="BH549" s="2"/>
      <c r="BI549" s="2"/>
      <c r="BJ549" s="2"/>
      <c r="BK549" s="2"/>
      <c r="BL549" s="2"/>
      <c r="BM549" s="2"/>
      <c r="BN549" s="2"/>
      <c r="BO549" s="2"/>
      <c r="BP549" s="2"/>
      <c r="BQ549" s="2"/>
      <c r="BR549" s="2"/>
      <c r="BS549" s="2"/>
      <c r="BT549" s="2"/>
      <c r="BU549" s="2"/>
      <c r="BV549" s="2"/>
      <c r="BW549" s="2"/>
      <c r="BX549" s="2"/>
      <c r="BY549" s="2"/>
      <c r="BZ549" s="2"/>
      <c r="CA549" s="2"/>
      <c r="CB549" s="2"/>
      <c r="CC549" s="2"/>
      <c r="CD549" s="2"/>
      <c r="CE549" s="2"/>
      <c r="CF549" s="2"/>
      <c r="CG549" s="2"/>
      <c r="CH549" s="2"/>
      <c r="CI549" s="2"/>
      <c r="CJ549" s="2"/>
      <c r="CK549" s="2"/>
      <c r="CL549" s="2"/>
      <c r="CM549" s="2"/>
      <c r="CN549" s="2"/>
      <c r="CO549" s="2"/>
      <c r="CP549" s="2"/>
      <c r="CQ549" s="2"/>
      <c r="CR549" s="2"/>
      <c r="CS549" s="2"/>
      <c r="CT549" s="2"/>
      <c r="CU549" s="2"/>
      <c r="CV549" s="2"/>
      <c r="CW549" s="2"/>
      <c r="CX549" s="2"/>
      <c r="CY549" s="2"/>
      <c r="CZ549" s="2"/>
      <c r="DA549" s="2"/>
      <c r="DB549" s="2"/>
      <c r="DC549" s="2"/>
      <c r="DD549" s="2"/>
      <c r="DE549" s="2"/>
      <c r="DF549" s="2"/>
      <c r="DG549" s="2"/>
      <c r="DH549" s="2"/>
      <c r="DI549" s="2"/>
      <c r="DJ549" s="2"/>
      <c r="DK549" s="2"/>
      <c r="DL549" s="2"/>
      <c r="DM549" s="2"/>
      <c r="DN549" s="2"/>
      <c r="DO549" s="2"/>
      <c r="DP549" s="2"/>
      <c r="DQ549" s="2"/>
      <c r="DR549" s="2"/>
      <c r="DS549" s="2"/>
      <c r="DT549" s="2"/>
      <c r="DU549" s="2"/>
      <c r="DV549" s="2"/>
      <c r="DW549" s="2"/>
      <c r="DX549" s="2"/>
      <c r="DY549" s="2"/>
      <c r="DZ549" s="2"/>
      <c r="EA549" s="2"/>
      <c r="EB549" s="2"/>
      <c r="EC549" s="2"/>
      <c r="ED549" s="2"/>
      <c r="EE549" s="2"/>
      <c r="EF549" s="2"/>
      <c r="EG549" s="2"/>
      <c r="EH549" s="2"/>
      <c r="EI549" s="2"/>
      <c r="EJ549" s="2"/>
      <c r="EK549" s="2"/>
      <c r="EL549" s="2"/>
      <c r="EM549" s="2"/>
      <c r="EN549" s="2"/>
      <c r="EO549" s="2"/>
      <c r="EP549" s="2"/>
      <c r="EQ549" s="2"/>
      <c r="ER549" s="2"/>
      <c r="ES549" s="2"/>
      <c r="ET549" s="2"/>
      <c r="EU549" s="2"/>
      <c r="EV549" s="2"/>
      <c r="EW549" s="2"/>
      <c r="EX549" s="2"/>
      <c r="EY549" s="2"/>
      <c r="EZ549" s="2"/>
      <c r="FA549" s="2"/>
      <c r="FB549" s="2"/>
      <c r="FC549" s="2"/>
      <c r="FD549" s="2"/>
      <c r="FE549" s="2"/>
      <c r="FF549" s="2"/>
      <c r="FG549" s="2"/>
      <c r="FH549" s="2"/>
      <c r="FI549" s="2"/>
      <c r="FJ549" s="2"/>
      <c r="FK549" s="2"/>
      <c r="FL549" s="2"/>
      <c r="FM549" s="2"/>
      <c r="FN549" s="2"/>
      <c r="FO549" s="2"/>
      <c r="FP549" s="2"/>
      <c r="FQ549" s="2"/>
      <c r="FR549" s="2"/>
      <c r="FS549" s="2"/>
      <c r="FT549" s="2"/>
      <c r="FU549" s="2"/>
      <c r="FV549" s="2"/>
      <c r="FW549" s="2"/>
      <c r="FX549" s="2"/>
      <c r="FY549" s="2"/>
      <c r="FZ549" s="2"/>
      <c r="GA549" s="2"/>
      <c r="GB549" s="2"/>
      <c r="GC549" s="2"/>
      <c r="GD549" s="2"/>
      <c r="GE549" s="2"/>
      <c r="GF549" s="2"/>
      <c r="GG549" s="2"/>
      <c r="GH549" s="2"/>
      <c r="GI549" s="2"/>
      <c r="GJ549" s="2"/>
      <c r="GK549" s="2"/>
      <c r="GL549" s="2"/>
      <c r="GM549" s="2"/>
      <c r="GN549" s="2"/>
      <c r="GO549" s="2"/>
      <c r="GP549" s="2"/>
      <c r="GQ549" s="2"/>
      <c r="GR549" s="2"/>
      <c r="GS549" s="2"/>
      <c r="GT549" s="2"/>
      <c r="GU549" s="2"/>
      <c r="GV549" s="2"/>
      <c r="GW549" s="2"/>
      <c r="GX549" s="2"/>
      <c r="GY549" s="2"/>
      <c r="GZ549" s="2"/>
      <c r="HA549" s="2"/>
      <c r="HB549" s="2"/>
      <c r="HC549" s="2"/>
      <c r="HD549" s="2"/>
      <c r="HE549" s="2"/>
      <c r="HF549" s="2"/>
      <c r="HG549" s="2"/>
      <c r="HH549" s="2"/>
      <c r="HI549" s="2"/>
      <c r="HJ549" s="2"/>
      <c r="HK549" s="2"/>
      <c r="HL549" s="2"/>
      <c r="HM549" s="2"/>
      <c r="HN549" s="2"/>
      <c r="HO549" s="2"/>
      <c r="HP549" s="2"/>
      <c r="HQ549" s="2"/>
      <c r="HR549" s="2"/>
      <c r="HS549" s="2"/>
      <c r="HT549" s="2"/>
      <c r="HU549" s="2"/>
      <c r="HV549" s="2"/>
      <c r="HW549" s="2"/>
      <c r="HX549" s="2"/>
      <c r="HY549" s="2"/>
      <c r="HZ549" s="2"/>
      <c r="IA549" s="2"/>
      <c r="IB549" s="2"/>
      <c r="IC549" s="2"/>
    </row>
    <row r="550" spans="1:237" x14ac:dyDescent="0.2">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c r="AA550" s="2"/>
      <c r="AB550" s="2"/>
      <c r="AC550" s="2"/>
      <c r="AD550" s="2"/>
      <c r="AE550" s="2"/>
      <c r="AF550" s="2"/>
      <c r="AG550" s="2"/>
      <c r="AH550" s="2"/>
      <c r="AI550" s="2"/>
      <c r="AJ550" s="2"/>
      <c r="AK550" s="2"/>
      <c r="AL550" s="2"/>
      <c r="AM550" s="2"/>
      <c r="AN550" s="2"/>
      <c r="AO550" s="2"/>
      <c r="AP550" s="2"/>
      <c r="AQ550" s="2"/>
      <c r="AR550" s="2"/>
      <c r="AS550" s="2"/>
      <c r="AT550" s="2"/>
      <c r="AU550" s="2"/>
      <c r="AV550" s="2"/>
      <c r="AW550" s="2"/>
      <c r="AX550" s="2"/>
      <c r="AY550" s="2"/>
      <c r="AZ550" s="2"/>
      <c r="BA550" s="2"/>
      <c r="BB550" s="2"/>
      <c r="BC550" s="2"/>
      <c r="BD550" s="2"/>
      <c r="BE550" s="2"/>
      <c r="BF550" s="2"/>
      <c r="BG550" s="2"/>
      <c r="BH550" s="2"/>
      <c r="BI550" s="2"/>
      <c r="BJ550" s="2"/>
      <c r="BK550" s="2"/>
      <c r="BL550" s="2"/>
      <c r="BM550" s="2"/>
      <c r="BN550" s="2"/>
      <c r="BO550" s="2"/>
      <c r="BP550" s="2"/>
      <c r="BQ550" s="2"/>
      <c r="BR550" s="2"/>
      <c r="BS550" s="2"/>
      <c r="BT550" s="2"/>
      <c r="BU550" s="2"/>
      <c r="BV550" s="2"/>
      <c r="BW550" s="2"/>
      <c r="BX550" s="2"/>
      <c r="BY550" s="2"/>
      <c r="BZ550" s="2"/>
      <c r="CA550" s="2"/>
      <c r="CB550" s="2"/>
      <c r="CC550" s="2"/>
      <c r="CD550" s="2"/>
      <c r="CE550" s="2"/>
      <c r="CF550" s="2"/>
      <c r="CG550" s="2"/>
      <c r="CH550" s="2"/>
      <c r="CI550" s="2"/>
      <c r="CJ550" s="2"/>
      <c r="CK550" s="2"/>
      <c r="CL550" s="2"/>
      <c r="CM550" s="2"/>
      <c r="CN550" s="2"/>
      <c r="CO550" s="2"/>
      <c r="CP550" s="2"/>
      <c r="CQ550" s="2"/>
      <c r="CR550" s="2"/>
      <c r="CS550" s="2"/>
      <c r="CT550" s="2"/>
      <c r="CU550" s="2"/>
      <c r="CV550" s="2"/>
      <c r="CW550" s="2"/>
      <c r="CX550" s="2"/>
      <c r="CY550" s="2"/>
      <c r="CZ550" s="2"/>
      <c r="DA550" s="2"/>
      <c r="DB550" s="2"/>
      <c r="DC550" s="2"/>
      <c r="DD550" s="2"/>
      <c r="DE550" s="2"/>
      <c r="DF550" s="2"/>
      <c r="DG550" s="2"/>
      <c r="DH550" s="2"/>
      <c r="DI550" s="2"/>
      <c r="DJ550" s="2"/>
      <c r="DK550" s="2"/>
      <c r="DL550" s="2"/>
      <c r="DM550" s="2"/>
      <c r="DN550" s="2"/>
      <c r="DO550" s="2"/>
      <c r="DP550" s="2"/>
      <c r="DQ550" s="2"/>
      <c r="DR550" s="2"/>
      <c r="DS550" s="2"/>
      <c r="DT550" s="2"/>
      <c r="DU550" s="2"/>
      <c r="DV550" s="2"/>
      <c r="DW550" s="2"/>
      <c r="DX550" s="2"/>
      <c r="DY550" s="2"/>
      <c r="DZ550" s="2"/>
      <c r="EA550" s="2"/>
      <c r="EB550" s="2"/>
      <c r="EC550" s="2"/>
      <c r="ED550" s="2"/>
      <c r="EE550" s="2"/>
      <c r="EF550" s="2"/>
      <c r="EG550" s="2"/>
      <c r="EH550" s="2"/>
      <c r="EI550" s="2"/>
      <c r="EJ550" s="2"/>
      <c r="EK550" s="2"/>
      <c r="EL550" s="2"/>
      <c r="EM550" s="2"/>
      <c r="EN550" s="2"/>
      <c r="EO550" s="2"/>
      <c r="EP550" s="2"/>
      <c r="EQ550" s="2"/>
      <c r="ER550" s="2"/>
      <c r="ES550" s="2"/>
      <c r="ET550" s="2"/>
      <c r="EU550" s="2"/>
      <c r="EV550" s="2"/>
      <c r="EW550" s="2"/>
      <c r="EX550" s="2"/>
      <c r="EY550" s="2"/>
      <c r="EZ550" s="2"/>
      <c r="FA550" s="2"/>
      <c r="FB550" s="2"/>
      <c r="FC550" s="2"/>
      <c r="FD550" s="2"/>
      <c r="FE550" s="2"/>
      <c r="FF550" s="2"/>
      <c r="FG550" s="2"/>
      <c r="FH550" s="2"/>
      <c r="FI550" s="2"/>
      <c r="FJ550" s="2"/>
      <c r="FK550" s="2"/>
      <c r="FL550" s="2"/>
      <c r="FM550" s="2"/>
      <c r="FN550" s="2"/>
      <c r="FO550" s="2"/>
      <c r="FP550" s="2"/>
      <c r="FQ550" s="2"/>
      <c r="FR550" s="2"/>
      <c r="FS550" s="2"/>
      <c r="FT550" s="2"/>
      <c r="FU550" s="2"/>
      <c r="FV550" s="2"/>
      <c r="FW550" s="2"/>
      <c r="FX550" s="2"/>
      <c r="FY550" s="2"/>
      <c r="FZ550" s="2"/>
      <c r="GA550" s="2"/>
      <c r="GB550" s="2"/>
      <c r="GC550" s="2"/>
      <c r="GD550" s="2"/>
      <c r="GE550" s="2"/>
      <c r="GF550" s="2"/>
      <c r="GG550" s="2"/>
      <c r="GH550" s="2"/>
      <c r="GI550" s="2"/>
      <c r="GJ550" s="2"/>
      <c r="GK550" s="2"/>
      <c r="GL550" s="2"/>
      <c r="GM550" s="2"/>
      <c r="GN550" s="2"/>
      <c r="GO550" s="2"/>
      <c r="GP550" s="2"/>
      <c r="GQ550" s="2"/>
      <c r="GR550" s="2"/>
      <c r="GS550" s="2"/>
      <c r="GT550" s="2"/>
      <c r="GU550" s="2"/>
      <c r="GV550" s="2"/>
      <c r="GW550" s="2"/>
      <c r="GX550" s="2"/>
      <c r="GY550" s="2"/>
      <c r="GZ550" s="2"/>
      <c r="HA550" s="2"/>
      <c r="HB550" s="2"/>
      <c r="HC550" s="2"/>
      <c r="HD550" s="2"/>
      <c r="HE550" s="2"/>
      <c r="HF550" s="2"/>
      <c r="HG550" s="2"/>
      <c r="HH550" s="2"/>
      <c r="HI550" s="2"/>
      <c r="HJ550" s="2"/>
      <c r="HK550" s="2"/>
      <c r="HL550" s="2"/>
      <c r="HM550" s="2"/>
      <c r="HN550" s="2"/>
      <c r="HO550" s="2"/>
      <c r="HP550" s="2"/>
      <c r="HQ550" s="2"/>
      <c r="HR550" s="2"/>
      <c r="HS550" s="2"/>
      <c r="HT550" s="2"/>
      <c r="HU550" s="2"/>
      <c r="HV550" s="2"/>
      <c r="HW550" s="2"/>
      <c r="HX550" s="2"/>
      <c r="HY550" s="2"/>
      <c r="HZ550" s="2"/>
      <c r="IA550" s="2"/>
      <c r="IB550" s="2"/>
      <c r="IC550" s="2"/>
    </row>
    <row r="551" spans="1:237" x14ac:dyDescent="0.2">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c r="AA551" s="2"/>
      <c r="AB551" s="2"/>
      <c r="AC551" s="2"/>
      <c r="AD551" s="2"/>
      <c r="AE551" s="2"/>
      <c r="AF551" s="2"/>
      <c r="AG551" s="2"/>
      <c r="AH551" s="2"/>
      <c r="AI551" s="2"/>
      <c r="AJ551" s="2"/>
      <c r="AK551" s="2"/>
      <c r="AL551" s="2"/>
      <c r="AM551" s="2"/>
      <c r="AN551" s="2"/>
      <c r="AO551" s="2"/>
      <c r="AP551" s="2"/>
      <c r="AQ551" s="2"/>
      <c r="AR551" s="2"/>
      <c r="AS551" s="2"/>
      <c r="AT551" s="2"/>
      <c r="AU551" s="2"/>
      <c r="AV551" s="2"/>
      <c r="AW551" s="2"/>
      <c r="AX551" s="2"/>
      <c r="AY551" s="2"/>
      <c r="AZ551" s="2"/>
      <c r="BA551" s="2"/>
      <c r="BB551" s="2"/>
      <c r="BC551" s="2"/>
      <c r="BD551" s="2"/>
      <c r="BE551" s="2"/>
      <c r="BF551" s="2"/>
      <c r="BG551" s="2"/>
      <c r="BH551" s="2"/>
      <c r="BI551" s="2"/>
      <c r="BJ551" s="2"/>
      <c r="BK551" s="2"/>
      <c r="BL551" s="2"/>
      <c r="BM551" s="2"/>
      <c r="BN551" s="2"/>
      <c r="BO551" s="2"/>
      <c r="BP551" s="2"/>
      <c r="BQ551" s="2"/>
      <c r="BR551" s="2"/>
      <c r="BS551" s="2"/>
      <c r="BT551" s="2"/>
      <c r="BU551" s="2"/>
      <c r="BV551" s="2"/>
      <c r="BW551" s="2"/>
      <c r="BX551" s="2"/>
      <c r="BY551" s="2"/>
      <c r="BZ551" s="2"/>
      <c r="CA551" s="2"/>
      <c r="CB551" s="2"/>
      <c r="CC551" s="2"/>
      <c r="CD551" s="2"/>
      <c r="CE551" s="2"/>
      <c r="CF551" s="2"/>
      <c r="CG551" s="2"/>
      <c r="CH551" s="2"/>
      <c r="CI551" s="2"/>
      <c r="CJ551" s="2"/>
      <c r="CK551" s="2"/>
      <c r="CL551" s="2"/>
      <c r="CM551" s="2"/>
      <c r="CN551" s="2"/>
      <c r="CO551" s="2"/>
      <c r="CP551" s="2"/>
      <c r="CQ551" s="2"/>
      <c r="CR551" s="2"/>
      <c r="CS551" s="2"/>
      <c r="CT551" s="2"/>
      <c r="CU551" s="2"/>
      <c r="CV551" s="2"/>
      <c r="CW551" s="2"/>
      <c r="CX551" s="2"/>
      <c r="CY551" s="2"/>
      <c r="CZ551" s="2"/>
      <c r="DA551" s="2"/>
      <c r="DB551" s="2"/>
      <c r="DC551" s="2"/>
      <c r="DD551" s="2"/>
      <c r="DE551" s="2"/>
      <c r="DF551" s="2"/>
      <c r="DG551" s="2"/>
      <c r="DH551" s="2"/>
      <c r="DI551" s="2"/>
      <c r="DJ551" s="2"/>
      <c r="DK551" s="2"/>
      <c r="DL551" s="2"/>
      <c r="DM551" s="2"/>
      <c r="DN551" s="2"/>
      <c r="DO551" s="2"/>
      <c r="DP551" s="2"/>
      <c r="DQ551" s="2"/>
      <c r="DR551" s="2"/>
      <c r="DS551" s="2"/>
      <c r="DT551" s="2"/>
      <c r="DU551" s="2"/>
      <c r="DV551" s="2"/>
      <c r="DW551" s="2"/>
      <c r="DX551" s="2"/>
      <c r="DY551" s="2"/>
      <c r="DZ551" s="2"/>
      <c r="EA551" s="2"/>
      <c r="EB551" s="2"/>
      <c r="EC551" s="2"/>
      <c r="ED551" s="2"/>
      <c r="EE551" s="2"/>
      <c r="EF551" s="2"/>
      <c r="EG551" s="2"/>
      <c r="EH551" s="2"/>
      <c r="EI551" s="2"/>
      <c r="EJ551" s="2"/>
      <c r="EK551" s="2"/>
      <c r="EL551" s="2"/>
      <c r="EM551" s="2"/>
      <c r="EN551" s="2"/>
      <c r="EO551" s="2"/>
      <c r="EP551" s="2"/>
      <c r="EQ551" s="2"/>
      <c r="ER551" s="2"/>
      <c r="ES551" s="2"/>
      <c r="ET551" s="2"/>
      <c r="EU551" s="2"/>
      <c r="EV551" s="2"/>
      <c r="EW551" s="2"/>
      <c r="EX551" s="2"/>
      <c r="EY551" s="2"/>
      <c r="EZ551" s="2"/>
      <c r="FA551" s="2"/>
      <c r="FB551" s="2"/>
      <c r="FC551" s="2"/>
      <c r="FD551" s="2"/>
      <c r="FE551" s="2"/>
      <c r="FF551" s="2"/>
      <c r="FG551" s="2"/>
      <c r="FH551" s="2"/>
      <c r="FI551" s="2"/>
      <c r="FJ551" s="2"/>
      <c r="FK551" s="2"/>
      <c r="FL551" s="2"/>
      <c r="FM551" s="2"/>
      <c r="FN551" s="2"/>
      <c r="FO551" s="2"/>
      <c r="FP551" s="2"/>
      <c r="FQ551" s="2"/>
      <c r="FR551" s="2"/>
      <c r="FS551" s="2"/>
      <c r="FT551" s="2"/>
      <c r="FU551" s="2"/>
      <c r="FV551" s="2"/>
      <c r="FW551" s="2"/>
      <c r="FX551" s="2"/>
      <c r="FY551" s="2"/>
      <c r="FZ551" s="2"/>
      <c r="GA551" s="2"/>
      <c r="GB551" s="2"/>
      <c r="GC551" s="2"/>
      <c r="GD551" s="2"/>
      <c r="GE551" s="2"/>
      <c r="GF551" s="2"/>
      <c r="GG551" s="2"/>
      <c r="GH551" s="2"/>
      <c r="GI551" s="2"/>
      <c r="GJ551" s="2"/>
      <c r="GK551" s="2"/>
      <c r="GL551" s="2"/>
      <c r="GM551" s="2"/>
      <c r="GN551" s="2"/>
      <c r="GO551" s="2"/>
      <c r="GP551" s="2"/>
      <c r="GQ551" s="2"/>
      <c r="GR551" s="2"/>
      <c r="GS551" s="2"/>
      <c r="GT551" s="2"/>
      <c r="GU551" s="2"/>
      <c r="GV551" s="2"/>
      <c r="GW551" s="2"/>
      <c r="GX551" s="2"/>
      <c r="GY551" s="2"/>
      <c r="GZ551" s="2"/>
      <c r="HA551" s="2"/>
      <c r="HB551" s="2"/>
      <c r="HC551" s="2"/>
      <c r="HD551" s="2"/>
      <c r="HE551" s="2"/>
      <c r="HF551" s="2"/>
      <c r="HG551" s="2"/>
      <c r="HH551" s="2"/>
      <c r="HI551" s="2"/>
      <c r="HJ551" s="2"/>
      <c r="HK551" s="2"/>
      <c r="HL551" s="2"/>
      <c r="HM551" s="2"/>
      <c r="HN551" s="2"/>
      <c r="HO551" s="2"/>
      <c r="HP551" s="2"/>
      <c r="HQ551" s="2"/>
      <c r="HR551" s="2"/>
      <c r="HS551" s="2"/>
      <c r="HT551" s="2"/>
      <c r="HU551" s="2"/>
      <c r="HV551" s="2"/>
      <c r="HW551" s="2"/>
      <c r="HX551" s="2"/>
      <c r="HY551" s="2"/>
      <c r="HZ551" s="2"/>
      <c r="IA551" s="2"/>
      <c r="IB551" s="2"/>
      <c r="IC551" s="2"/>
    </row>
    <row r="552" spans="1:237" x14ac:dyDescent="0.2">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c r="AA552" s="2"/>
      <c r="AB552" s="2"/>
      <c r="AC552" s="2"/>
      <c r="AD552" s="2"/>
      <c r="AE552" s="2"/>
      <c r="AF552" s="2"/>
      <c r="AG552" s="2"/>
      <c r="AH552" s="2"/>
      <c r="AI552" s="2"/>
      <c r="AJ552" s="2"/>
      <c r="AK552" s="2"/>
      <c r="AL552" s="2"/>
      <c r="AM552" s="2"/>
      <c r="AN552" s="2"/>
      <c r="AO552" s="2"/>
      <c r="AP552" s="2"/>
      <c r="AQ552" s="2"/>
      <c r="AR552" s="2"/>
      <c r="AS552" s="2"/>
      <c r="AT552" s="2"/>
      <c r="AU552" s="2"/>
      <c r="AV552" s="2"/>
      <c r="AW552" s="2"/>
      <c r="AX552" s="2"/>
      <c r="AY552" s="2"/>
      <c r="AZ552" s="2"/>
      <c r="BA552" s="2"/>
      <c r="BB552" s="2"/>
      <c r="BC552" s="2"/>
      <c r="BD552" s="2"/>
      <c r="BE552" s="2"/>
      <c r="BF552" s="2"/>
      <c r="BG552" s="2"/>
      <c r="BH552" s="2"/>
      <c r="BI552" s="2"/>
      <c r="BJ552" s="2"/>
      <c r="BK552" s="2"/>
      <c r="BL552" s="2"/>
      <c r="BM552" s="2"/>
      <c r="BN552" s="2"/>
      <c r="BO552" s="2"/>
      <c r="BP552" s="2"/>
      <c r="BQ552" s="2"/>
      <c r="BR552" s="2"/>
      <c r="BS552" s="2"/>
      <c r="BT552" s="2"/>
      <c r="BU552" s="2"/>
      <c r="BV552" s="2"/>
      <c r="BW552" s="2"/>
      <c r="BX552" s="2"/>
      <c r="BY552" s="2"/>
      <c r="BZ552" s="2"/>
      <c r="CA552" s="2"/>
      <c r="CB552" s="2"/>
      <c r="CC552" s="2"/>
      <c r="CD552" s="2"/>
      <c r="CE552" s="2"/>
      <c r="CF552" s="2"/>
      <c r="CG552" s="2"/>
      <c r="CH552" s="2"/>
      <c r="CI552" s="2"/>
      <c r="CJ552" s="2"/>
      <c r="CK552" s="2"/>
      <c r="CL552" s="2"/>
      <c r="CM552" s="2"/>
      <c r="CN552" s="2"/>
      <c r="CO552" s="2"/>
      <c r="CP552" s="2"/>
      <c r="CQ552" s="2"/>
      <c r="CR552" s="2"/>
      <c r="CS552" s="2"/>
      <c r="CT552" s="2"/>
      <c r="CU552" s="2"/>
      <c r="CV552" s="2"/>
      <c r="CW552" s="2"/>
      <c r="CX552" s="2"/>
      <c r="CY552" s="2"/>
      <c r="CZ552" s="2"/>
      <c r="DA552" s="2"/>
      <c r="DB552" s="2"/>
      <c r="DC552" s="2"/>
      <c r="DD552" s="2"/>
      <c r="DE552" s="2"/>
      <c r="DF552" s="2"/>
      <c r="DG552" s="2"/>
      <c r="DH552" s="2"/>
      <c r="DI552" s="2"/>
      <c r="DJ552" s="2"/>
      <c r="DK552" s="2"/>
      <c r="DL552" s="2"/>
      <c r="DM552" s="2"/>
      <c r="DN552" s="2"/>
      <c r="DO552" s="2"/>
      <c r="DP552" s="2"/>
      <c r="DQ552" s="2"/>
      <c r="DR552" s="2"/>
      <c r="DS552" s="2"/>
      <c r="DT552" s="2"/>
      <c r="DU552" s="2"/>
      <c r="DV552" s="2"/>
      <c r="DW552" s="2"/>
      <c r="DX552" s="2"/>
      <c r="DY552" s="2"/>
      <c r="DZ552" s="2"/>
      <c r="EA552" s="2"/>
      <c r="EB552" s="2"/>
      <c r="EC552" s="2"/>
      <c r="ED552" s="2"/>
      <c r="EE552" s="2"/>
      <c r="EF552" s="2"/>
      <c r="EG552" s="2"/>
      <c r="EH552" s="2"/>
      <c r="EI552" s="2"/>
      <c r="EJ552" s="2"/>
      <c r="EK552" s="2"/>
      <c r="EL552" s="2"/>
      <c r="EM552" s="2"/>
      <c r="EN552" s="2"/>
      <c r="EO552" s="2"/>
      <c r="EP552" s="2"/>
      <c r="EQ552" s="2"/>
      <c r="ER552" s="2"/>
      <c r="ES552" s="2"/>
      <c r="ET552" s="2"/>
      <c r="EU552" s="2"/>
      <c r="EV552" s="2"/>
      <c r="EW552" s="2"/>
      <c r="EX552" s="2"/>
      <c r="EY552" s="2"/>
      <c r="EZ552" s="2"/>
      <c r="FA552" s="2"/>
      <c r="FB552" s="2"/>
      <c r="FC552" s="2"/>
      <c r="FD552" s="2"/>
      <c r="FE552" s="2"/>
      <c r="FF552" s="2"/>
      <c r="FG552" s="2"/>
      <c r="FH552" s="2"/>
      <c r="FI552" s="2"/>
      <c r="FJ552" s="2"/>
      <c r="FK552" s="2"/>
      <c r="FL552" s="2"/>
      <c r="FM552" s="2"/>
      <c r="FN552" s="2"/>
      <c r="FO552" s="2"/>
      <c r="FP552" s="2"/>
      <c r="FQ552" s="2"/>
      <c r="FR552" s="2"/>
      <c r="FS552" s="2"/>
      <c r="FT552" s="2"/>
      <c r="FU552" s="2"/>
      <c r="FV552" s="2"/>
      <c r="FW552" s="2"/>
      <c r="FX552" s="2"/>
      <c r="FY552" s="2"/>
      <c r="FZ552" s="2"/>
      <c r="GA552" s="2"/>
      <c r="GB552" s="2"/>
      <c r="GC552" s="2"/>
      <c r="GD552" s="2"/>
      <c r="GE552" s="2"/>
      <c r="GF552" s="2"/>
      <c r="GG552" s="2"/>
      <c r="GH552" s="2"/>
      <c r="GI552" s="2"/>
      <c r="GJ552" s="2"/>
      <c r="GK552" s="2"/>
      <c r="GL552" s="2"/>
      <c r="GM552" s="2"/>
      <c r="GN552" s="2"/>
      <c r="GO552" s="2"/>
      <c r="GP552" s="2"/>
      <c r="GQ552" s="2"/>
      <c r="GR552" s="2"/>
      <c r="GS552" s="2"/>
      <c r="GT552" s="2"/>
      <c r="GU552" s="2"/>
      <c r="GV552" s="2"/>
      <c r="GW552" s="2"/>
      <c r="GX552" s="2"/>
      <c r="GY552" s="2"/>
      <c r="GZ552" s="2"/>
      <c r="HA552" s="2"/>
      <c r="HB552" s="2"/>
      <c r="HC552" s="2"/>
      <c r="HD552" s="2"/>
      <c r="HE552" s="2"/>
      <c r="HF552" s="2"/>
      <c r="HG552" s="2"/>
      <c r="HH552" s="2"/>
      <c r="HI552" s="2"/>
      <c r="HJ552" s="2"/>
      <c r="HK552" s="2"/>
      <c r="HL552" s="2"/>
      <c r="HM552" s="2"/>
      <c r="HN552" s="2"/>
      <c r="HO552" s="2"/>
      <c r="HP552" s="2"/>
      <c r="HQ552" s="2"/>
      <c r="HR552" s="2"/>
      <c r="HS552" s="2"/>
      <c r="HT552" s="2"/>
      <c r="HU552" s="2"/>
      <c r="HV552" s="2"/>
      <c r="HW552" s="2"/>
      <c r="HX552" s="2"/>
      <c r="HY552" s="2"/>
      <c r="HZ552" s="2"/>
      <c r="IA552" s="2"/>
      <c r="IB552" s="2"/>
      <c r="IC552" s="2"/>
    </row>
    <row r="2206" spans="246:248" s="2" customFormat="1" x14ac:dyDescent="0.2">
      <c r="IL2206" s="22" t="e">
        <f>#REF!</f>
        <v>#REF!</v>
      </c>
      <c r="IM2206" s="22">
        <f>Answers!$GW$37617</f>
        <v>0</v>
      </c>
      <c r="IN2206" s="22" t="e">
        <f>#REF!</f>
        <v>#REF!</v>
      </c>
    </row>
    <row r="30000" spans="244:244" s="2" customFormat="1" x14ac:dyDescent="0.2">
      <c r="IJ30000" s="7" t="s">
        <v>16</v>
      </c>
    </row>
  </sheetData>
  <phoneticPr fontId="0"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 r:id="rId4" name="Button 2">
              <controlPr defaultSize="0" print="0" autoFill="0" autoPict="0" macro="[0]!Module1.openhwk">
                <anchor moveWithCells="1" sizeWithCells="1">
                  <from>
                    <xdr:col>5</xdr:col>
                    <xdr:colOff>28575</xdr:colOff>
                    <xdr:row>2</xdr:row>
                    <xdr:rowOff>38100</xdr:rowOff>
                  </from>
                  <to>
                    <xdr:col>7</xdr:col>
                    <xdr:colOff>581025</xdr:colOff>
                    <xdr:row>4</xdr:row>
                    <xdr:rowOff>114300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GN37525"/>
  <sheetViews>
    <sheetView zoomScaleNormal="100" workbookViewId="0">
      <selection activeCell="A2" sqref="A2"/>
    </sheetView>
  </sheetViews>
  <sheetFormatPr defaultColWidth="8.85546875" defaultRowHeight="15" x14ac:dyDescent="0.25"/>
  <cols>
    <col min="1" max="1" width="24.85546875" customWidth="1"/>
    <col min="2" max="2" width="22.42578125" customWidth="1"/>
    <col min="3" max="3" width="11.42578125" bestFit="1" customWidth="1"/>
    <col min="4" max="4" width="15.28515625" bestFit="1" customWidth="1"/>
    <col min="5" max="5" width="17.42578125" bestFit="1" customWidth="1"/>
    <col min="6" max="6" width="13.42578125" bestFit="1" customWidth="1"/>
    <col min="8" max="8" width="23.140625" bestFit="1" customWidth="1"/>
    <col min="209" max="256" width="0" hidden="1" customWidth="1"/>
  </cols>
  <sheetData>
    <row r="1" spans="1:8" x14ac:dyDescent="0.25">
      <c r="A1" s="69" t="s">
        <v>61</v>
      </c>
      <c r="B1" s="70" t="s">
        <v>62</v>
      </c>
      <c r="C1" s="70" t="s">
        <v>63</v>
      </c>
      <c r="D1" s="70" t="s">
        <v>64</v>
      </c>
      <c r="E1" s="70" t="s">
        <v>65</v>
      </c>
      <c r="F1" s="70" t="s">
        <v>66</v>
      </c>
      <c r="G1" s="70" t="s">
        <v>67</v>
      </c>
      <c r="H1" s="71" t="s">
        <v>68</v>
      </c>
    </row>
    <row r="2" spans="1:8" x14ac:dyDescent="0.25">
      <c r="A2" s="72" t="s">
        <v>76</v>
      </c>
      <c r="B2" s="72" t="s">
        <v>77</v>
      </c>
      <c r="C2" s="73">
        <v>812</v>
      </c>
      <c r="D2" s="73">
        <v>108310008.65763894</v>
      </c>
      <c r="E2" s="72">
        <v>12997201.038916675</v>
      </c>
      <c r="F2" s="72" t="s">
        <v>78</v>
      </c>
      <c r="G2" s="72" t="s">
        <v>71</v>
      </c>
      <c r="H2" s="72" t="s">
        <v>72</v>
      </c>
    </row>
    <row r="3" spans="1:8" x14ac:dyDescent="0.25">
      <c r="A3" s="72" t="s">
        <v>80</v>
      </c>
      <c r="B3" s="72" t="s">
        <v>81</v>
      </c>
      <c r="C3" s="73">
        <v>709</v>
      </c>
      <c r="D3" s="73">
        <v>97103015.730546564</v>
      </c>
      <c r="E3" s="72">
        <v>12623392.044971054</v>
      </c>
      <c r="F3" s="72" t="s">
        <v>78</v>
      </c>
      <c r="G3" s="72" t="s">
        <v>71</v>
      </c>
      <c r="H3" s="72" t="s">
        <v>72</v>
      </c>
    </row>
    <row r="4" spans="1:8" x14ac:dyDescent="0.25">
      <c r="A4" s="43" t="s">
        <v>109</v>
      </c>
      <c r="B4" s="43" t="s">
        <v>75</v>
      </c>
      <c r="C4" s="46">
        <v>654</v>
      </c>
      <c r="D4" s="46">
        <v>55439916.012483947</v>
      </c>
      <c r="E4" s="43">
        <v>6098390.7613732349</v>
      </c>
      <c r="F4" s="43" t="s">
        <v>106</v>
      </c>
      <c r="G4" s="43" t="s">
        <v>71</v>
      </c>
      <c r="H4" s="43" t="s">
        <v>72</v>
      </c>
    </row>
    <row r="5" spans="1:8" x14ac:dyDescent="0.25">
      <c r="A5" s="72" t="s">
        <v>138</v>
      </c>
      <c r="B5" s="72" t="s">
        <v>105</v>
      </c>
      <c r="C5" s="73">
        <v>644</v>
      </c>
      <c r="D5" s="73">
        <v>51130450.888103232</v>
      </c>
      <c r="E5" s="72">
        <v>3579131.5621672259</v>
      </c>
      <c r="F5" s="72" t="s">
        <v>106</v>
      </c>
      <c r="G5" s="72" t="s">
        <v>71</v>
      </c>
      <c r="H5" s="72" t="s">
        <v>72</v>
      </c>
    </row>
    <row r="6" spans="1:8" x14ac:dyDescent="0.25">
      <c r="A6" s="72" t="s">
        <v>104</v>
      </c>
      <c r="B6" s="72" t="s">
        <v>105</v>
      </c>
      <c r="C6" s="73">
        <v>610</v>
      </c>
      <c r="D6" s="73">
        <v>52339606.661564544</v>
      </c>
      <c r="E6" s="72">
        <v>6280752.7993877446</v>
      </c>
      <c r="F6" s="72" t="s">
        <v>106</v>
      </c>
      <c r="G6" s="72" t="s">
        <v>71</v>
      </c>
      <c r="H6" s="72" t="s">
        <v>72</v>
      </c>
    </row>
    <row r="7" spans="1:8" x14ac:dyDescent="0.25">
      <c r="A7" s="43" t="s">
        <v>137</v>
      </c>
      <c r="B7" s="43" t="s">
        <v>101</v>
      </c>
      <c r="C7" s="46">
        <v>553</v>
      </c>
      <c r="D7" s="46">
        <v>44790447.221587144</v>
      </c>
      <c r="E7" s="43">
        <v>3583235.7777269715</v>
      </c>
      <c r="F7" s="43" t="s">
        <v>106</v>
      </c>
      <c r="G7" s="43" t="s">
        <v>71</v>
      </c>
      <c r="H7" s="43" t="s">
        <v>72</v>
      </c>
    </row>
    <row r="8" spans="1:8" x14ac:dyDescent="0.25">
      <c r="A8" s="43" t="s">
        <v>142</v>
      </c>
      <c r="B8" s="43" t="s">
        <v>143</v>
      </c>
      <c r="C8" s="46">
        <v>544</v>
      </c>
      <c r="D8" s="46">
        <v>55421665.011042856</v>
      </c>
      <c r="E8" s="43">
        <v>3325299.9006625721</v>
      </c>
      <c r="F8" s="43" t="s">
        <v>78</v>
      </c>
      <c r="G8" s="43" t="s">
        <v>71</v>
      </c>
      <c r="H8" s="43" t="s">
        <v>72</v>
      </c>
    </row>
    <row r="9" spans="1:8" x14ac:dyDescent="0.25">
      <c r="A9" s="43" t="s">
        <v>123</v>
      </c>
      <c r="B9" s="43" t="s">
        <v>112</v>
      </c>
      <c r="C9" s="46">
        <v>538</v>
      </c>
      <c r="D9" s="46">
        <v>44999480.955392674</v>
      </c>
      <c r="E9" s="43">
        <v>4499948.0955392672</v>
      </c>
      <c r="F9" s="43" t="s">
        <v>106</v>
      </c>
      <c r="G9" s="43" t="s">
        <v>71</v>
      </c>
      <c r="H9" s="43" t="s">
        <v>72</v>
      </c>
    </row>
    <row r="10" spans="1:8" x14ac:dyDescent="0.25">
      <c r="A10" s="43" t="s">
        <v>126</v>
      </c>
      <c r="B10" s="43" t="s">
        <v>127</v>
      </c>
      <c r="C10" s="46">
        <v>520</v>
      </c>
      <c r="D10" s="46">
        <v>43493922.113018945</v>
      </c>
      <c r="E10" s="43">
        <v>4349392.2113018949</v>
      </c>
      <c r="F10" s="43" t="s">
        <v>106</v>
      </c>
      <c r="G10" s="43" t="s">
        <v>71</v>
      </c>
      <c r="H10" s="43" t="s">
        <v>72</v>
      </c>
    </row>
    <row r="11" spans="1:8" x14ac:dyDescent="0.25">
      <c r="A11" s="43" t="s">
        <v>120</v>
      </c>
      <c r="B11" s="43" t="s">
        <v>115</v>
      </c>
      <c r="C11" s="46">
        <v>514</v>
      </c>
      <c r="D11" s="46">
        <v>61178037.210032009</v>
      </c>
      <c r="E11" s="43">
        <v>4894242.9768025605</v>
      </c>
      <c r="F11" s="43" t="s">
        <v>84</v>
      </c>
      <c r="G11" s="43" t="s">
        <v>71</v>
      </c>
      <c r="H11" s="43" t="s">
        <v>72</v>
      </c>
    </row>
    <row r="12" spans="1:8" x14ac:dyDescent="0.25">
      <c r="A12" s="72" t="s">
        <v>121</v>
      </c>
      <c r="B12" s="72" t="s">
        <v>92</v>
      </c>
      <c r="C12" s="73">
        <v>510</v>
      </c>
      <c r="D12" s="73">
        <v>58885750.776797198</v>
      </c>
      <c r="E12" s="72">
        <v>4710860.0621437756</v>
      </c>
      <c r="F12" s="72" t="s">
        <v>78</v>
      </c>
      <c r="G12" s="72" t="s">
        <v>71</v>
      </c>
      <c r="H12" s="72" t="s">
        <v>72</v>
      </c>
    </row>
    <row r="13" spans="1:8" x14ac:dyDescent="0.25">
      <c r="A13" s="72" t="s">
        <v>225</v>
      </c>
      <c r="B13" s="72" t="s">
        <v>112</v>
      </c>
      <c r="C13" s="73">
        <v>502</v>
      </c>
      <c r="D13" s="73">
        <v>33902900.857322067</v>
      </c>
      <c r="E13" s="72">
        <v>1017087.0257196622</v>
      </c>
      <c r="F13" s="72" t="s">
        <v>106</v>
      </c>
      <c r="G13" s="72" t="s">
        <v>71</v>
      </c>
      <c r="H13" s="72" t="s">
        <v>72</v>
      </c>
    </row>
    <row r="14" spans="1:8" x14ac:dyDescent="0.25">
      <c r="A14" s="72" t="s">
        <v>82</v>
      </c>
      <c r="B14" s="72" t="s">
        <v>83</v>
      </c>
      <c r="C14" s="73">
        <v>494</v>
      </c>
      <c r="D14" s="73">
        <v>79554239.809869587</v>
      </c>
      <c r="E14" s="72">
        <v>11933135.971480438</v>
      </c>
      <c r="F14" s="72" t="s">
        <v>84</v>
      </c>
      <c r="G14" s="72" t="s">
        <v>71</v>
      </c>
      <c r="H14" s="72" t="s">
        <v>72</v>
      </c>
    </row>
    <row r="15" spans="1:8" x14ac:dyDescent="0.25">
      <c r="A15" s="72" t="s">
        <v>154</v>
      </c>
      <c r="B15" s="72" t="s">
        <v>115</v>
      </c>
      <c r="C15" s="73">
        <v>486</v>
      </c>
      <c r="D15" s="73">
        <v>49512737.491483144</v>
      </c>
      <c r="E15" s="72">
        <v>2970764.2494889894</v>
      </c>
      <c r="F15" s="72" t="s">
        <v>78</v>
      </c>
      <c r="G15" s="72" t="s">
        <v>71</v>
      </c>
      <c r="H15" s="72" t="s">
        <v>72</v>
      </c>
    </row>
    <row r="16" spans="1:8" x14ac:dyDescent="0.25">
      <c r="A16" s="72" t="s">
        <v>165</v>
      </c>
      <c r="B16" s="72" t="s">
        <v>112</v>
      </c>
      <c r="C16" s="73">
        <v>468</v>
      </c>
      <c r="D16" s="73">
        <v>37156911.514957011</v>
      </c>
      <c r="E16" s="72">
        <v>2600983.8060469907</v>
      </c>
      <c r="F16" s="72" t="s">
        <v>106</v>
      </c>
      <c r="G16" s="72" t="s">
        <v>71</v>
      </c>
      <c r="H16" s="72" t="s">
        <v>72</v>
      </c>
    </row>
    <row r="17" spans="1:8" x14ac:dyDescent="0.25">
      <c r="A17" s="72" t="s">
        <v>125</v>
      </c>
      <c r="B17" s="72" t="s">
        <v>115</v>
      </c>
      <c r="C17" s="73">
        <v>462</v>
      </c>
      <c r="D17" s="73">
        <v>54988819.437810875</v>
      </c>
      <c r="E17" s="72">
        <v>4399105.5550248697</v>
      </c>
      <c r="F17" s="72" t="s">
        <v>84</v>
      </c>
      <c r="G17" s="72" t="s">
        <v>71</v>
      </c>
      <c r="H17" s="72" t="s">
        <v>72</v>
      </c>
    </row>
    <row r="18" spans="1:8" x14ac:dyDescent="0.25">
      <c r="A18" s="43" t="s">
        <v>144</v>
      </c>
      <c r="B18" s="43" t="s">
        <v>133</v>
      </c>
      <c r="C18" s="46">
        <v>447</v>
      </c>
      <c r="D18" s="46">
        <v>36830419.03016571</v>
      </c>
      <c r="E18" s="43">
        <v>3314737.7127149138</v>
      </c>
      <c r="F18" s="43" t="s">
        <v>106</v>
      </c>
      <c r="G18" s="43" t="s">
        <v>71</v>
      </c>
      <c r="H18" s="43" t="s">
        <v>72</v>
      </c>
    </row>
    <row r="19" spans="1:8" x14ac:dyDescent="0.25">
      <c r="A19" s="43" t="s">
        <v>135</v>
      </c>
      <c r="B19" s="43" t="s">
        <v>136</v>
      </c>
      <c r="C19" s="46">
        <v>440</v>
      </c>
      <c r="D19" s="46">
        <v>36802549.480246797</v>
      </c>
      <c r="E19" s="43">
        <v>3680254.9480246799</v>
      </c>
      <c r="F19" s="43" t="s">
        <v>106</v>
      </c>
      <c r="G19" s="43" t="s">
        <v>71</v>
      </c>
      <c r="H19" s="43" t="s">
        <v>72</v>
      </c>
    </row>
    <row r="20" spans="1:8" x14ac:dyDescent="0.25">
      <c r="A20" s="72" t="s">
        <v>246</v>
      </c>
      <c r="B20" s="72" t="s">
        <v>127</v>
      </c>
      <c r="C20" s="73">
        <v>435</v>
      </c>
      <c r="D20" s="73">
        <v>29378011.6990739</v>
      </c>
      <c r="E20" s="72">
        <v>881340.35097221716</v>
      </c>
      <c r="F20" s="72" t="s">
        <v>106</v>
      </c>
      <c r="G20" s="72" t="s">
        <v>71</v>
      </c>
      <c r="H20" s="72" t="s">
        <v>72</v>
      </c>
    </row>
    <row r="21" spans="1:8" x14ac:dyDescent="0.25">
      <c r="A21" s="43" t="s">
        <v>171</v>
      </c>
      <c r="B21" s="43" t="s">
        <v>112</v>
      </c>
      <c r="C21" s="46">
        <v>419</v>
      </c>
      <c r="D21" s="46">
        <v>33266551.121296976</v>
      </c>
      <c r="E21" s="43">
        <v>2328658.5784907881</v>
      </c>
      <c r="F21" s="43" t="s">
        <v>106</v>
      </c>
      <c r="G21" s="43" t="s">
        <v>71</v>
      </c>
      <c r="H21" s="43" t="s">
        <v>72</v>
      </c>
    </row>
    <row r="22" spans="1:8" x14ac:dyDescent="0.25">
      <c r="A22" s="72" t="s">
        <v>150</v>
      </c>
      <c r="B22" s="72" t="s">
        <v>151</v>
      </c>
      <c r="C22" s="73">
        <v>408</v>
      </c>
      <c r="D22" s="73">
        <v>33617026.765788831</v>
      </c>
      <c r="E22" s="72">
        <v>3025532.4089209945</v>
      </c>
      <c r="F22" s="72" t="s">
        <v>106</v>
      </c>
      <c r="G22" s="72" t="s">
        <v>71</v>
      </c>
      <c r="H22" s="72" t="s">
        <v>72</v>
      </c>
    </row>
    <row r="23" spans="1:8" x14ac:dyDescent="0.25">
      <c r="A23" s="43" t="s">
        <v>153</v>
      </c>
      <c r="B23" s="43" t="s">
        <v>130</v>
      </c>
      <c r="C23" s="46">
        <v>406</v>
      </c>
      <c r="D23" s="46">
        <v>33452237.418897707</v>
      </c>
      <c r="E23" s="43">
        <v>3010701.3677007933</v>
      </c>
      <c r="F23" s="43" t="s">
        <v>106</v>
      </c>
      <c r="G23" s="43" t="s">
        <v>71</v>
      </c>
      <c r="H23" s="43" t="s">
        <v>72</v>
      </c>
    </row>
    <row r="24" spans="1:8" x14ac:dyDescent="0.25">
      <c r="A24" s="72" t="s">
        <v>116</v>
      </c>
      <c r="B24" s="72" t="s">
        <v>83</v>
      </c>
      <c r="C24" s="73">
        <v>406</v>
      </c>
      <c r="D24" s="73">
        <v>51679728.205308318</v>
      </c>
      <c r="E24" s="72">
        <v>5167972.8205308318</v>
      </c>
      <c r="F24" s="72" t="s">
        <v>84</v>
      </c>
      <c r="G24" s="72" t="s">
        <v>71</v>
      </c>
      <c r="H24" s="72" t="s">
        <v>72</v>
      </c>
    </row>
    <row r="25" spans="1:8" x14ac:dyDescent="0.25">
      <c r="A25" s="43" t="s">
        <v>99</v>
      </c>
      <c r="B25" s="43" t="s">
        <v>100</v>
      </c>
      <c r="C25" s="46">
        <v>403</v>
      </c>
      <c r="D25" s="46">
        <v>55193956.755162574</v>
      </c>
      <c r="E25" s="43">
        <v>7175214.3781711347</v>
      </c>
      <c r="F25" s="43" t="s">
        <v>78</v>
      </c>
      <c r="G25" s="43" t="s">
        <v>71</v>
      </c>
      <c r="H25" s="43" t="s">
        <v>72</v>
      </c>
    </row>
    <row r="26" spans="1:8" x14ac:dyDescent="0.25">
      <c r="A26" s="72" t="s">
        <v>117</v>
      </c>
      <c r="B26" s="72" t="s">
        <v>118</v>
      </c>
      <c r="C26" s="73">
        <v>402</v>
      </c>
      <c r="D26" s="73">
        <v>50386809.696000241</v>
      </c>
      <c r="E26" s="72">
        <v>5038680.9696000246</v>
      </c>
      <c r="F26" s="72" t="s">
        <v>78</v>
      </c>
      <c r="G26" s="72" t="s">
        <v>71</v>
      </c>
      <c r="H26" s="72" t="s">
        <v>72</v>
      </c>
    </row>
    <row r="27" spans="1:8" x14ac:dyDescent="0.25">
      <c r="A27" s="43" t="s">
        <v>195</v>
      </c>
      <c r="B27" s="43" t="s">
        <v>141</v>
      </c>
      <c r="C27" s="46">
        <v>402</v>
      </c>
      <c r="D27" s="46">
        <v>30234482.625942566</v>
      </c>
      <c r="E27" s="43">
        <v>1511724.1312971283</v>
      </c>
      <c r="F27" s="43" t="s">
        <v>106</v>
      </c>
      <c r="G27" s="43" t="s">
        <v>71</v>
      </c>
      <c r="H27" s="43" t="s">
        <v>72</v>
      </c>
    </row>
    <row r="28" spans="1:8" x14ac:dyDescent="0.25">
      <c r="A28" s="43" t="s">
        <v>196</v>
      </c>
      <c r="B28" s="43" t="s">
        <v>118</v>
      </c>
      <c r="C28" s="46">
        <v>396</v>
      </c>
      <c r="D28" s="46">
        <v>29783221.691227004</v>
      </c>
      <c r="E28" s="43">
        <v>1489161.0845613503</v>
      </c>
      <c r="F28" s="43" t="s">
        <v>106</v>
      </c>
      <c r="G28" s="43" t="s">
        <v>71</v>
      </c>
      <c r="H28" s="43" t="s">
        <v>72</v>
      </c>
    </row>
    <row r="29" spans="1:8" x14ac:dyDescent="0.25">
      <c r="A29" s="43" t="s">
        <v>148</v>
      </c>
      <c r="B29" s="43" t="s">
        <v>149</v>
      </c>
      <c r="C29" s="46">
        <v>396</v>
      </c>
      <c r="D29" s="46">
        <v>43271921.380542576</v>
      </c>
      <c r="E29" s="43">
        <v>3029034.49663798</v>
      </c>
      <c r="F29" s="43" t="s">
        <v>78</v>
      </c>
      <c r="G29" s="43" t="s">
        <v>71</v>
      </c>
      <c r="H29" s="43" t="s">
        <v>72</v>
      </c>
    </row>
    <row r="30" spans="1:8" x14ac:dyDescent="0.25">
      <c r="A30" s="72" t="s">
        <v>91</v>
      </c>
      <c r="B30" s="72" t="s">
        <v>92</v>
      </c>
      <c r="C30" s="73">
        <v>387</v>
      </c>
      <c r="D30" s="73">
        <v>53600615.520432778</v>
      </c>
      <c r="E30" s="72">
        <v>8040092.3280649167</v>
      </c>
      <c r="F30" s="72" t="s">
        <v>84</v>
      </c>
      <c r="G30" s="72" t="s">
        <v>71</v>
      </c>
      <c r="H30" s="72" t="s">
        <v>72</v>
      </c>
    </row>
    <row r="31" spans="1:8" x14ac:dyDescent="0.25">
      <c r="A31" s="43" t="s">
        <v>164</v>
      </c>
      <c r="B31" s="43" t="s">
        <v>101</v>
      </c>
      <c r="C31" s="46">
        <v>376</v>
      </c>
      <c r="D31" s="46">
        <v>37708974.065128684</v>
      </c>
      <c r="E31" s="43">
        <v>2639628.1845590076</v>
      </c>
      <c r="F31" s="43" t="s">
        <v>78</v>
      </c>
      <c r="G31" s="43" t="s">
        <v>71</v>
      </c>
      <c r="H31" s="43" t="s">
        <v>72</v>
      </c>
    </row>
    <row r="32" spans="1:8" x14ac:dyDescent="0.25">
      <c r="A32" s="43" t="s">
        <v>140</v>
      </c>
      <c r="B32" s="43" t="s">
        <v>105</v>
      </c>
      <c r="C32" s="46">
        <v>368</v>
      </c>
      <c r="D32" s="46">
        <v>31195549.071244787</v>
      </c>
      <c r="E32" s="43">
        <v>3431510.3978369269</v>
      </c>
      <c r="F32" s="43" t="s">
        <v>106</v>
      </c>
      <c r="G32" s="43" t="s">
        <v>71</v>
      </c>
      <c r="H32" s="43" t="s">
        <v>72</v>
      </c>
    </row>
    <row r="33" spans="1:8" x14ac:dyDescent="0.25">
      <c r="A33" s="43" t="s">
        <v>129</v>
      </c>
      <c r="B33" s="43" t="s">
        <v>77</v>
      </c>
      <c r="C33" s="46">
        <v>366</v>
      </c>
      <c r="D33" s="46">
        <v>40109942.278778851</v>
      </c>
      <c r="E33" s="43">
        <v>4010994.2278778851</v>
      </c>
      <c r="F33" s="43" t="s">
        <v>78</v>
      </c>
      <c r="G33" s="43" t="s">
        <v>71</v>
      </c>
      <c r="H33" s="43" t="s">
        <v>72</v>
      </c>
    </row>
    <row r="34" spans="1:8" x14ac:dyDescent="0.25">
      <c r="A34" s="43" t="s">
        <v>191</v>
      </c>
      <c r="B34" s="43" t="s">
        <v>105</v>
      </c>
      <c r="C34" s="46">
        <v>363</v>
      </c>
      <c r="D34" s="46">
        <v>28137693.262836624</v>
      </c>
      <c r="E34" s="43">
        <v>1688261.5957701977</v>
      </c>
      <c r="F34" s="43" t="s">
        <v>106</v>
      </c>
      <c r="G34" s="43" t="s">
        <v>71</v>
      </c>
      <c r="H34" s="43" t="s">
        <v>72</v>
      </c>
    </row>
    <row r="35" spans="1:8" x14ac:dyDescent="0.25">
      <c r="A35" s="43" t="s">
        <v>114</v>
      </c>
      <c r="B35" s="43" t="s">
        <v>115</v>
      </c>
      <c r="C35" s="46">
        <v>360</v>
      </c>
      <c r="D35" s="46">
        <v>40113073.276986234</v>
      </c>
      <c r="E35" s="43">
        <v>5214699.5260082101</v>
      </c>
      <c r="F35" s="43" t="s">
        <v>84</v>
      </c>
      <c r="G35" s="43" t="s">
        <v>71</v>
      </c>
      <c r="H35" s="43" t="s">
        <v>72</v>
      </c>
    </row>
    <row r="36" spans="1:8" x14ac:dyDescent="0.25">
      <c r="A36" s="43" t="s">
        <v>131</v>
      </c>
      <c r="B36" s="43" t="s">
        <v>132</v>
      </c>
      <c r="C36" s="46">
        <v>356</v>
      </c>
      <c r="D36" s="46">
        <v>37180651.765855744</v>
      </c>
      <c r="E36" s="43">
        <v>3718065.1765855746</v>
      </c>
      <c r="F36" s="43" t="s">
        <v>78</v>
      </c>
      <c r="G36" s="43" t="s">
        <v>71</v>
      </c>
      <c r="H36" s="43" t="s">
        <v>72</v>
      </c>
    </row>
    <row r="37" spans="1:8" x14ac:dyDescent="0.25">
      <c r="A37" s="43" t="s">
        <v>163</v>
      </c>
      <c r="B37" s="43" t="s">
        <v>81</v>
      </c>
      <c r="C37" s="46">
        <v>352</v>
      </c>
      <c r="D37" s="46">
        <v>33262660.502856705</v>
      </c>
      <c r="E37" s="43">
        <v>2661012.8402285366</v>
      </c>
      <c r="F37" s="43" t="s">
        <v>78</v>
      </c>
      <c r="G37" s="43" t="s">
        <v>71</v>
      </c>
      <c r="H37" s="43" t="s">
        <v>72</v>
      </c>
    </row>
    <row r="38" spans="1:8" x14ac:dyDescent="0.25">
      <c r="A38" s="72" t="s">
        <v>172</v>
      </c>
      <c r="B38" s="72" t="s">
        <v>132</v>
      </c>
      <c r="C38" s="73">
        <v>349</v>
      </c>
      <c r="D38" s="73">
        <v>28817048.881343462</v>
      </c>
      <c r="E38" s="72">
        <v>2305363.9105074769</v>
      </c>
      <c r="F38" s="72" t="s">
        <v>84</v>
      </c>
      <c r="G38" s="72" t="s">
        <v>71</v>
      </c>
      <c r="H38" s="72" t="s">
        <v>72</v>
      </c>
    </row>
    <row r="39" spans="1:8" x14ac:dyDescent="0.25">
      <c r="A39" s="43" t="s">
        <v>213</v>
      </c>
      <c r="B39" s="43" t="s">
        <v>168</v>
      </c>
      <c r="C39" s="46">
        <v>342</v>
      </c>
      <c r="D39" s="46">
        <v>23843012.96966555</v>
      </c>
      <c r="E39" s="43">
        <v>1192150.6484832775</v>
      </c>
      <c r="F39" s="43" t="s">
        <v>106</v>
      </c>
      <c r="G39" s="43" t="s">
        <v>71</v>
      </c>
      <c r="H39" s="43" t="s">
        <v>72</v>
      </c>
    </row>
    <row r="40" spans="1:8" x14ac:dyDescent="0.25">
      <c r="A40" s="43" t="s">
        <v>169</v>
      </c>
      <c r="B40" s="43" t="s">
        <v>143</v>
      </c>
      <c r="C40" s="46">
        <v>336</v>
      </c>
      <c r="D40" s="46">
        <v>27080825.080131326</v>
      </c>
      <c r="E40" s="43">
        <v>2437274.2572118193</v>
      </c>
      <c r="F40" s="43" t="s">
        <v>84</v>
      </c>
      <c r="G40" s="43" t="s">
        <v>71</v>
      </c>
      <c r="H40" s="43" t="s">
        <v>72</v>
      </c>
    </row>
    <row r="41" spans="1:8" x14ac:dyDescent="0.25">
      <c r="A41" s="43" t="s">
        <v>122</v>
      </c>
      <c r="B41" s="43" t="s">
        <v>83</v>
      </c>
      <c r="C41" s="46">
        <v>336</v>
      </c>
      <c r="D41" s="46">
        <v>33054668.902568497</v>
      </c>
      <c r="E41" s="43">
        <v>4627653.646359589</v>
      </c>
      <c r="F41" s="43" t="s">
        <v>84</v>
      </c>
      <c r="G41" s="43" t="s">
        <v>71</v>
      </c>
      <c r="H41" s="43" t="s">
        <v>72</v>
      </c>
    </row>
    <row r="42" spans="1:8" x14ac:dyDescent="0.25">
      <c r="A42" s="43" t="s">
        <v>161</v>
      </c>
      <c r="B42" s="43" t="s">
        <v>101</v>
      </c>
      <c r="C42" s="46">
        <v>330</v>
      </c>
      <c r="D42" s="46">
        <v>26838689.054300237</v>
      </c>
      <c r="E42" s="43">
        <v>2683868.905430024</v>
      </c>
      <c r="F42" s="43" t="s">
        <v>84</v>
      </c>
      <c r="G42" s="43" t="s">
        <v>71</v>
      </c>
      <c r="H42" s="43" t="s">
        <v>72</v>
      </c>
    </row>
    <row r="43" spans="1:8" x14ac:dyDescent="0.25">
      <c r="A43" s="43" t="s">
        <v>134</v>
      </c>
      <c r="B43" s="43" t="s">
        <v>92</v>
      </c>
      <c r="C43" s="46">
        <v>326</v>
      </c>
      <c r="D43" s="46">
        <v>30887622.446840987</v>
      </c>
      <c r="E43" s="43">
        <v>3706514.6936209192</v>
      </c>
      <c r="F43" s="43" t="s">
        <v>78</v>
      </c>
      <c r="G43" s="43" t="s">
        <v>71</v>
      </c>
      <c r="H43" s="43" t="s">
        <v>72</v>
      </c>
    </row>
    <row r="44" spans="1:8" x14ac:dyDescent="0.25">
      <c r="A44" s="43" t="s">
        <v>175</v>
      </c>
      <c r="B44" s="43" t="s">
        <v>176</v>
      </c>
      <c r="C44" s="46">
        <v>325</v>
      </c>
      <c r="D44" s="46">
        <v>26640307.627624821</v>
      </c>
      <c r="E44" s="43">
        <v>2131224.6102099856</v>
      </c>
      <c r="F44" s="43" t="s">
        <v>78</v>
      </c>
      <c r="G44" s="43" t="s">
        <v>71</v>
      </c>
      <c r="H44" s="43" t="s">
        <v>72</v>
      </c>
    </row>
    <row r="45" spans="1:8" x14ac:dyDescent="0.25">
      <c r="A45" s="72" t="s">
        <v>128</v>
      </c>
      <c r="B45" s="72" t="s">
        <v>83</v>
      </c>
      <c r="C45" s="73">
        <v>325</v>
      </c>
      <c r="D45" s="73">
        <v>29560190.142820701</v>
      </c>
      <c r="E45" s="72">
        <v>4138426.6199948979</v>
      </c>
      <c r="F45" s="72" t="s">
        <v>84</v>
      </c>
      <c r="G45" s="72" t="s">
        <v>71</v>
      </c>
      <c r="H45" s="72" t="s">
        <v>72</v>
      </c>
    </row>
    <row r="46" spans="1:8" x14ac:dyDescent="0.25">
      <c r="A46" s="43" t="s">
        <v>157</v>
      </c>
      <c r="B46" s="43" t="s">
        <v>158</v>
      </c>
      <c r="C46" s="46">
        <v>320</v>
      </c>
      <c r="D46" s="46">
        <v>23029119.323017772</v>
      </c>
      <c r="E46" s="43">
        <v>2763494.3187621324</v>
      </c>
      <c r="F46" s="43" t="s">
        <v>106</v>
      </c>
      <c r="G46" s="43" t="s">
        <v>71</v>
      </c>
      <c r="H46" s="43" t="s">
        <v>72</v>
      </c>
    </row>
    <row r="47" spans="1:8" x14ac:dyDescent="0.25">
      <c r="A47" s="72" t="s">
        <v>174</v>
      </c>
      <c r="B47" s="72" t="s">
        <v>83</v>
      </c>
      <c r="C47" s="73">
        <v>309</v>
      </c>
      <c r="D47" s="73">
        <v>21465382.802204255</v>
      </c>
      <c r="E47" s="72">
        <v>2146538.2802204257</v>
      </c>
      <c r="F47" s="72" t="s">
        <v>84</v>
      </c>
      <c r="G47" s="72" t="s">
        <v>71</v>
      </c>
      <c r="H47" s="72" t="s">
        <v>72</v>
      </c>
    </row>
    <row r="48" spans="1:8" x14ac:dyDescent="0.25">
      <c r="A48" s="43" t="s">
        <v>167</v>
      </c>
      <c r="B48" s="43" t="s">
        <v>168</v>
      </c>
      <c r="C48" s="46">
        <v>306</v>
      </c>
      <c r="D48" s="46">
        <v>20566875.709236097</v>
      </c>
      <c r="E48" s="43">
        <v>2468025.0851083314</v>
      </c>
      <c r="F48" s="43" t="s">
        <v>106</v>
      </c>
      <c r="G48" s="43" t="s">
        <v>71</v>
      </c>
      <c r="H48" s="43" t="s">
        <v>72</v>
      </c>
    </row>
    <row r="49" spans="1:8" x14ac:dyDescent="0.25">
      <c r="A49" s="72" t="s">
        <v>250</v>
      </c>
      <c r="B49" s="72" t="s">
        <v>179</v>
      </c>
      <c r="C49" s="73">
        <v>300</v>
      </c>
      <c r="D49" s="73">
        <v>17210117.347951602</v>
      </c>
      <c r="E49" s="72">
        <v>860505.86739758018</v>
      </c>
      <c r="F49" s="72" t="s">
        <v>106</v>
      </c>
      <c r="G49" s="72" t="s">
        <v>71</v>
      </c>
      <c r="H49" s="72" t="s">
        <v>72</v>
      </c>
    </row>
    <row r="50" spans="1:8" x14ac:dyDescent="0.25">
      <c r="A50" s="43" t="s">
        <v>249</v>
      </c>
      <c r="B50" s="43" t="s">
        <v>83</v>
      </c>
      <c r="C50" s="46">
        <v>300</v>
      </c>
      <c r="D50" s="46">
        <v>14444830.281629382</v>
      </c>
      <c r="E50" s="43">
        <v>866689.81689776282</v>
      </c>
      <c r="F50" s="43" t="s">
        <v>84</v>
      </c>
      <c r="G50" s="43" t="s">
        <v>71</v>
      </c>
      <c r="H50" s="43" t="s">
        <v>72</v>
      </c>
    </row>
    <row r="51" spans="1:8" x14ac:dyDescent="0.25">
      <c r="A51" s="43" t="s">
        <v>178</v>
      </c>
      <c r="B51" s="43" t="s">
        <v>127</v>
      </c>
      <c r="C51" s="46">
        <v>300</v>
      </c>
      <c r="D51" s="46">
        <v>19324253.8772007</v>
      </c>
      <c r="E51" s="43">
        <v>2125667.9264920773</v>
      </c>
      <c r="F51" s="43" t="s">
        <v>106</v>
      </c>
      <c r="G51" s="43" t="s">
        <v>71</v>
      </c>
      <c r="H51" s="43" t="s">
        <v>72</v>
      </c>
    </row>
    <row r="52" spans="1:8" x14ac:dyDescent="0.25">
      <c r="A52" s="43" t="s">
        <v>251</v>
      </c>
      <c r="B52" s="43" t="s">
        <v>149</v>
      </c>
      <c r="C52" s="46">
        <v>300</v>
      </c>
      <c r="D52" s="46">
        <v>17210117.347951602</v>
      </c>
      <c r="E52" s="43">
        <v>860505.86739758018</v>
      </c>
      <c r="F52" s="43" t="s">
        <v>106</v>
      </c>
      <c r="G52" s="43" t="s">
        <v>71</v>
      </c>
      <c r="H52" s="43" t="s">
        <v>72</v>
      </c>
    </row>
    <row r="53" spans="1:8" x14ac:dyDescent="0.25">
      <c r="A53" s="43" t="s">
        <v>146</v>
      </c>
      <c r="B53" s="43" t="s">
        <v>147</v>
      </c>
      <c r="C53" s="46">
        <v>296</v>
      </c>
      <c r="D53" s="46">
        <v>23962502.931998763</v>
      </c>
      <c r="E53" s="43">
        <v>3115125.3811598392</v>
      </c>
      <c r="F53" s="43" t="s">
        <v>78</v>
      </c>
      <c r="G53" s="43" t="s">
        <v>71</v>
      </c>
      <c r="H53" s="43" t="s">
        <v>72</v>
      </c>
    </row>
    <row r="54" spans="1:8" x14ac:dyDescent="0.25">
      <c r="A54" s="43" t="s">
        <v>156</v>
      </c>
      <c r="B54" s="43" t="s">
        <v>92</v>
      </c>
      <c r="C54" s="46">
        <v>291</v>
      </c>
      <c r="D54" s="46">
        <v>20070344.397194073</v>
      </c>
      <c r="E54" s="43">
        <v>2809848.21560717</v>
      </c>
      <c r="F54" s="43" t="s">
        <v>84</v>
      </c>
      <c r="G54" s="43" t="s">
        <v>71</v>
      </c>
      <c r="H54" s="43" t="s">
        <v>72</v>
      </c>
    </row>
    <row r="55" spans="1:8" x14ac:dyDescent="0.25">
      <c r="A55" s="72" t="s">
        <v>188</v>
      </c>
      <c r="B55" s="72" t="s">
        <v>143</v>
      </c>
      <c r="C55" s="73">
        <v>291</v>
      </c>
      <c r="D55" s="73">
        <v>17362185.825175926</v>
      </c>
      <c r="E55" s="72">
        <v>1736218.5825175927</v>
      </c>
      <c r="F55" s="72" t="s">
        <v>84</v>
      </c>
      <c r="G55" s="72" t="s">
        <v>71</v>
      </c>
      <c r="H55" s="72" t="s">
        <v>72</v>
      </c>
    </row>
    <row r="56" spans="1:8" x14ac:dyDescent="0.25">
      <c r="A56" s="72" t="s">
        <v>331</v>
      </c>
      <c r="B56" s="72" t="s">
        <v>112</v>
      </c>
      <c r="C56" s="73">
        <v>290</v>
      </c>
      <c r="D56" s="73">
        <v>15170054.217165941</v>
      </c>
      <c r="E56" s="72">
        <v>606802.16868663765</v>
      </c>
      <c r="F56" s="72" t="s">
        <v>106</v>
      </c>
      <c r="G56" s="72" t="s">
        <v>71</v>
      </c>
      <c r="H56" s="72" t="s">
        <v>72</v>
      </c>
    </row>
    <row r="57" spans="1:8" x14ac:dyDescent="0.25">
      <c r="A57" s="43" t="s">
        <v>152</v>
      </c>
      <c r="B57" s="43" t="s">
        <v>115</v>
      </c>
      <c r="C57" s="46">
        <v>289</v>
      </c>
      <c r="D57" s="46">
        <v>20133368.274827514</v>
      </c>
      <c r="E57" s="43">
        <v>3020005.2412241269</v>
      </c>
      <c r="F57" s="43" t="s">
        <v>84</v>
      </c>
      <c r="G57" s="43" t="s">
        <v>71</v>
      </c>
      <c r="H57" s="43" t="s">
        <v>72</v>
      </c>
    </row>
    <row r="58" spans="1:8" x14ac:dyDescent="0.25">
      <c r="A58" s="72" t="s">
        <v>192</v>
      </c>
      <c r="B58" s="72" t="s">
        <v>143</v>
      </c>
      <c r="C58" s="73">
        <v>285</v>
      </c>
      <c r="D58" s="73">
        <v>16096356.93336576</v>
      </c>
      <c r="E58" s="72">
        <v>1609635.6933365762</v>
      </c>
      <c r="F58" s="72" t="s">
        <v>84</v>
      </c>
      <c r="G58" s="72" t="s">
        <v>71</v>
      </c>
      <c r="H58" s="72" t="s">
        <v>72</v>
      </c>
    </row>
    <row r="59" spans="1:8" x14ac:dyDescent="0.25">
      <c r="A59" s="43" t="s">
        <v>205</v>
      </c>
      <c r="B59" s="43" t="s">
        <v>77</v>
      </c>
      <c r="C59" s="46">
        <v>284</v>
      </c>
      <c r="D59" s="46">
        <v>16052952.149917213</v>
      </c>
      <c r="E59" s="43">
        <v>1284236.1719933772</v>
      </c>
      <c r="F59" s="43" t="s">
        <v>106</v>
      </c>
      <c r="G59" s="43" t="s">
        <v>71</v>
      </c>
      <c r="H59" s="43" t="s">
        <v>72</v>
      </c>
    </row>
    <row r="60" spans="1:8" x14ac:dyDescent="0.25">
      <c r="A60" s="72" t="s">
        <v>184</v>
      </c>
      <c r="B60" s="72" t="s">
        <v>115</v>
      </c>
      <c r="C60" s="73">
        <v>281</v>
      </c>
      <c r="D60" s="73">
        <v>18874788.548243169</v>
      </c>
      <c r="E60" s="72">
        <v>1887478.8548243169</v>
      </c>
      <c r="F60" s="72" t="s">
        <v>78</v>
      </c>
      <c r="G60" s="72" t="s">
        <v>71</v>
      </c>
      <c r="H60" s="72" t="s">
        <v>72</v>
      </c>
    </row>
    <row r="61" spans="1:8" x14ac:dyDescent="0.25">
      <c r="A61" s="72" t="s">
        <v>159</v>
      </c>
      <c r="B61" s="72" t="s">
        <v>160</v>
      </c>
      <c r="C61" s="73">
        <v>280</v>
      </c>
      <c r="D61" s="73">
        <v>17913252.763950877</v>
      </c>
      <c r="E61" s="72">
        <v>2686987.9145926316</v>
      </c>
      <c r="F61" s="72" t="s">
        <v>84</v>
      </c>
      <c r="G61" s="72" t="s">
        <v>71</v>
      </c>
      <c r="H61" s="72" t="s">
        <v>72</v>
      </c>
    </row>
    <row r="62" spans="1:8" x14ac:dyDescent="0.25">
      <c r="A62" s="72" t="s">
        <v>180</v>
      </c>
      <c r="B62" s="72" t="s">
        <v>143</v>
      </c>
      <c r="C62" s="73">
        <v>279</v>
      </c>
      <c r="D62" s="73">
        <v>16196532.617899371</v>
      </c>
      <c r="E62" s="72">
        <v>1943583.9141479244</v>
      </c>
      <c r="F62" s="72" t="s">
        <v>106</v>
      </c>
      <c r="G62" s="72" t="s">
        <v>71</v>
      </c>
      <c r="H62" s="72" t="s">
        <v>72</v>
      </c>
    </row>
    <row r="63" spans="1:8" x14ac:dyDescent="0.25">
      <c r="A63" s="43" t="s">
        <v>189</v>
      </c>
      <c r="B63" s="43" t="s">
        <v>101</v>
      </c>
      <c r="C63" s="46">
        <v>277</v>
      </c>
      <c r="D63" s="46">
        <v>15709394.598078921</v>
      </c>
      <c r="E63" s="43">
        <v>1728033.4057886815</v>
      </c>
      <c r="F63" s="43" t="s">
        <v>106</v>
      </c>
      <c r="G63" s="43" t="s">
        <v>71</v>
      </c>
      <c r="H63" s="43" t="s">
        <v>72</v>
      </c>
    </row>
    <row r="64" spans="1:8" x14ac:dyDescent="0.25">
      <c r="A64" s="72" t="s">
        <v>194</v>
      </c>
      <c r="B64" s="72" t="s">
        <v>112</v>
      </c>
      <c r="C64" s="73">
        <v>276</v>
      </c>
      <c r="D64" s="73">
        <v>15361920.387619246</v>
      </c>
      <c r="E64" s="72">
        <v>1536192.0387619247</v>
      </c>
      <c r="F64" s="72" t="s">
        <v>106</v>
      </c>
      <c r="G64" s="72" t="s">
        <v>71</v>
      </c>
      <c r="H64" s="72" t="s">
        <v>72</v>
      </c>
    </row>
    <row r="65" spans="1:8" x14ac:dyDescent="0.25">
      <c r="A65" s="72" t="s">
        <v>319</v>
      </c>
      <c r="B65" s="72" t="s">
        <v>73</v>
      </c>
      <c r="C65" s="73">
        <v>275</v>
      </c>
      <c r="D65" s="73">
        <v>10574443.799049025</v>
      </c>
      <c r="E65" s="72">
        <v>634466.6279429415</v>
      </c>
      <c r="F65" s="72" t="s">
        <v>84</v>
      </c>
      <c r="G65" s="72" t="s">
        <v>71</v>
      </c>
      <c r="H65" s="72" t="s">
        <v>72</v>
      </c>
    </row>
    <row r="66" spans="1:8" x14ac:dyDescent="0.25">
      <c r="A66" s="72" t="s">
        <v>489</v>
      </c>
      <c r="B66" s="72" t="s">
        <v>77</v>
      </c>
      <c r="C66" s="73">
        <v>275</v>
      </c>
      <c r="D66" s="73">
        <v>9670428.7800138928</v>
      </c>
      <c r="E66" s="72">
        <v>386817.15120055573</v>
      </c>
      <c r="F66" s="72" t="s">
        <v>87</v>
      </c>
      <c r="G66" s="72" t="s">
        <v>71</v>
      </c>
      <c r="H66" s="72" t="s">
        <v>88</v>
      </c>
    </row>
    <row r="67" spans="1:8" x14ac:dyDescent="0.25">
      <c r="A67" s="43" t="s">
        <v>201</v>
      </c>
      <c r="B67" s="43" t="s">
        <v>112</v>
      </c>
      <c r="C67" s="46">
        <v>274</v>
      </c>
      <c r="D67" s="46">
        <v>14854896.824384106</v>
      </c>
      <c r="E67" s="43">
        <v>1336940.7141945695</v>
      </c>
      <c r="F67" s="43" t="s">
        <v>106</v>
      </c>
      <c r="G67" s="43" t="s">
        <v>71</v>
      </c>
      <c r="H67" s="43" t="s">
        <v>72</v>
      </c>
    </row>
    <row r="68" spans="1:8" x14ac:dyDescent="0.25">
      <c r="A68" s="43" t="s">
        <v>214</v>
      </c>
      <c r="B68" s="43" t="s">
        <v>112</v>
      </c>
      <c r="C68" s="46">
        <v>274</v>
      </c>
      <c r="D68" s="46">
        <v>14613717.463811828</v>
      </c>
      <c r="E68" s="43">
        <v>1169097.3971049462</v>
      </c>
      <c r="F68" s="43" t="s">
        <v>106</v>
      </c>
      <c r="G68" s="43" t="s">
        <v>71</v>
      </c>
      <c r="H68" s="43" t="s">
        <v>72</v>
      </c>
    </row>
    <row r="69" spans="1:8" x14ac:dyDescent="0.25">
      <c r="A69" s="43" t="s">
        <v>173</v>
      </c>
      <c r="B69" s="43" t="s">
        <v>83</v>
      </c>
      <c r="C69" s="46">
        <v>274</v>
      </c>
      <c r="D69" s="46">
        <v>16053850.85728256</v>
      </c>
      <c r="E69" s="43">
        <v>2247539.1200195584</v>
      </c>
      <c r="F69" s="43" t="s">
        <v>84</v>
      </c>
      <c r="G69" s="43" t="s">
        <v>71</v>
      </c>
      <c r="H69" s="43" t="s">
        <v>72</v>
      </c>
    </row>
    <row r="70" spans="1:8" x14ac:dyDescent="0.25">
      <c r="A70" s="43" t="s">
        <v>231</v>
      </c>
      <c r="B70" s="43" t="s">
        <v>232</v>
      </c>
      <c r="C70" s="46">
        <v>272</v>
      </c>
      <c r="D70" s="46">
        <v>12150382.995862503</v>
      </c>
      <c r="E70" s="43">
        <v>972030.63966900017</v>
      </c>
      <c r="F70" s="43" t="s">
        <v>84</v>
      </c>
      <c r="G70" s="43" t="s">
        <v>71</v>
      </c>
      <c r="H70" s="43" t="s">
        <v>72</v>
      </c>
    </row>
    <row r="71" spans="1:8" x14ac:dyDescent="0.25">
      <c r="A71" s="43" t="s">
        <v>186</v>
      </c>
      <c r="B71" s="43" t="s">
        <v>101</v>
      </c>
      <c r="C71" s="46">
        <v>271</v>
      </c>
      <c r="D71" s="46">
        <v>14998046.667139575</v>
      </c>
      <c r="E71" s="43">
        <v>1799765.6000567488</v>
      </c>
      <c r="F71" s="43" t="s">
        <v>106</v>
      </c>
      <c r="G71" s="43" t="s">
        <v>71</v>
      </c>
      <c r="H71" s="43" t="s">
        <v>72</v>
      </c>
    </row>
    <row r="72" spans="1:8" x14ac:dyDescent="0.25">
      <c r="A72" s="72" t="s">
        <v>177</v>
      </c>
      <c r="B72" s="72" t="s">
        <v>83</v>
      </c>
      <c r="C72" s="73">
        <v>270</v>
      </c>
      <c r="D72" s="73">
        <v>17735400.0493012</v>
      </c>
      <c r="E72" s="72">
        <v>2128248.0059161442</v>
      </c>
      <c r="F72" s="72" t="s">
        <v>78</v>
      </c>
      <c r="G72" s="72" t="s">
        <v>71</v>
      </c>
      <c r="H72" s="72" t="s">
        <v>72</v>
      </c>
    </row>
    <row r="73" spans="1:8" x14ac:dyDescent="0.25">
      <c r="A73" s="72" t="s">
        <v>198</v>
      </c>
      <c r="B73" s="72" t="s">
        <v>132</v>
      </c>
      <c r="C73" s="73">
        <v>270</v>
      </c>
      <c r="D73" s="73">
        <v>13099112.633713266</v>
      </c>
      <c r="E73" s="72">
        <v>654955.63168566336</v>
      </c>
      <c r="F73" s="72" t="s">
        <v>106</v>
      </c>
      <c r="G73" s="72" t="s">
        <v>71</v>
      </c>
      <c r="H73" s="72" t="s">
        <v>72</v>
      </c>
    </row>
    <row r="74" spans="1:8" x14ac:dyDescent="0.25">
      <c r="A74" s="72" t="s">
        <v>181</v>
      </c>
      <c r="B74" s="72" t="s">
        <v>83</v>
      </c>
      <c r="C74" s="73">
        <v>270</v>
      </c>
      <c r="D74" s="73">
        <v>14722997.010091778</v>
      </c>
      <c r="E74" s="72">
        <v>1913989.6113119312</v>
      </c>
      <c r="F74" s="72" t="s">
        <v>84</v>
      </c>
      <c r="G74" s="72" t="s">
        <v>71</v>
      </c>
      <c r="H74" s="72" t="s">
        <v>72</v>
      </c>
    </row>
    <row r="75" spans="1:8" x14ac:dyDescent="0.25">
      <c r="A75" s="43" t="s">
        <v>187</v>
      </c>
      <c r="B75" s="43" t="s">
        <v>77</v>
      </c>
      <c r="C75" s="46">
        <v>269</v>
      </c>
      <c r="D75" s="46">
        <v>14705352.176328283</v>
      </c>
      <c r="E75" s="43">
        <v>1764642.2611593939</v>
      </c>
      <c r="F75" s="43" t="s">
        <v>106</v>
      </c>
      <c r="G75" s="43" t="s">
        <v>71</v>
      </c>
      <c r="H75" s="43" t="s">
        <v>72</v>
      </c>
    </row>
    <row r="76" spans="1:8" x14ac:dyDescent="0.25">
      <c r="A76" s="43" t="s">
        <v>227</v>
      </c>
      <c r="B76" s="43" t="s">
        <v>100</v>
      </c>
      <c r="C76" s="46">
        <v>268</v>
      </c>
      <c r="D76" s="46">
        <v>14399892.249546481</v>
      </c>
      <c r="E76" s="43">
        <v>1007992.4574682536</v>
      </c>
      <c r="F76" s="43" t="s">
        <v>78</v>
      </c>
      <c r="G76" s="43" t="s">
        <v>71</v>
      </c>
      <c r="H76" s="43" t="s">
        <v>72</v>
      </c>
    </row>
    <row r="77" spans="1:8" x14ac:dyDescent="0.25">
      <c r="A77" s="72" t="s">
        <v>631</v>
      </c>
      <c r="B77" s="72" t="s">
        <v>83</v>
      </c>
      <c r="C77" s="73">
        <v>268</v>
      </c>
      <c r="D77" s="73">
        <v>8987603.3786362335</v>
      </c>
      <c r="E77" s="72">
        <v>359504.13514544937</v>
      </c>
      <c r="F77" s="72" t="s">
        <v>87</v>
      </c>
      <c r="G77" s="72" t="s">
        <v>71</v>
      </c>
      <c r="H77" s="72" t="s">
        <v>88</v>
      </c>
    </row>
    <row r="78" spans="1:8" x14ac:dyDescent="0.25">
      <c r="A78" s="72" t="s">
        <v>94</v>
      </c>
      <c r="B78" s="72" t="s">
        <v>89</v>
      </c>
      <c r="C78" s="73">
        <v>267</v>
      </c>
      <c r="D78" s="73">
        <v>47699857.441059656</v>
      </c>
      <c r="E78" s="72">
        <v>7631977.1905695451</v>
      </c>
      <c r="F78" s="72" t="s">
        <v>95</v>
      </c>
      <c r="G78" s="72" t="s">
        <v>96</v>
      </c>
      <c r="H78" s="72" t="s">
        <v>88</v>
      </c>
    </row>
    <row r="79" spans="1:8" x14ac:dyDescent="0.25">
      <c r="A79" s="72" t="s">
        <v>220</v>
      </c>
      <c r="B79" s="72" t="s">
        <v>83</v>
      </c>
      <c r="C79" s="73">
        <v>265</v>
      </c>
      <c r="D79" s="73">
        <v>11659322.493704507</v>
      </c>
      <c r="E79" s="72">
        <v>1049339.0244334056</v>
      </c>
      <c r="F79" s="72" t="s">
        <v>84</v>
      </c>
      <c r="G79" s="72" t="s">
        <v>71</v>
      </c>
      <c r="H79" s="72" t="s">
        <v>72</v>
      </c>
    </row>
    <row r="80" spans="1:8" x14ac:dyDescent="0.25">
      <c r="A80" s="43" t="s">
        <v>387</v>
      </c>
      <c r="B80" s="43" t="s">
        <v>160</v>
      </c>
      <c r="C80" s="46">
        <v>264</v>
      </c>
      <c r="D80" s="46">
        <v>11870102.92884936</v>
      </c>
      <c r="E80" s="43">
        <v>474804.11715397442</v>
      </c>
      <c r="F80" s="43" t="s">
        <v>106</v>
      </c>
      <c r="G80" s="43" t="s">
        <v>71</v>
      </c>
      <c r="H80" s="43" t="s">
        <v>72</v>
      </c>
    </row>
    <row r="81" spans="1:8" x14ac:dyDescent="0.25">
      <c r="A81" s="72" t="s">
        <v>276</v>
      </c>
      <c r="B81" s="72" t="s">
        <v>75</v>
      </c>
      <c r="C81" s="73">
        <v>263</v>
      </c>
      <c r="D81" s="73">
        <v>12570453.101012878</v>
      </c>
      <c r="E81" s="72">
        <v>754227.18606077286</v>
      </c>
      <c r="F81" s="72" t="s">
        <v>106</v>
      </c>
      <c r="G81" s="72" t="s">
        <v>71</v>
      </c>
      <c r="H81" s="72" t="s">
        <v>72</v>
      </c>
    </row>
    <row r="82" spans="1:8" x14ac:dyDescent="0.25">
      <c r="A82" s="72" t="s">
        <v>298</v>
      </c>
      <c r="B82" s="72" t="s">
        <v>115</v>
      </c>
      <c r="C82" s="73">
        <v>263</v>
      </c>
      <c r="D82" s="73">
        <v>9923889.9220037758</v>
      </c>
      <c r="E82" s="72">
        <v>694672.29454026429</v>
      </c>
      <c r="F82" s="72" t="s">
        <v>84</v>
      </c>
      <c r="G82" s="72" t="s">
        <v>71</v>
      </c>
      <c r="H82" s="72" t="s">
        <v>72</v>
      </c>
    </row>
    <row r="83" spans="1:8" x14ac:dyDescent="0.25">
      <c r="A83" s="72" t="s">
        <v>790</v>
      </c>
      <c r="B83" s="72" t="s">
        <v>149</v>
      </c>
      <c r="C83" s="73">
        <v>262</v>
      </c>
      <c r="D83" s="73">
        <v>10926170.280492399</v>
      </c>
      <c r="E83" s="72">
        <v>327785.10841477202</v>
      </c>
      <c r="F83" s="72" t="s">
        <v>106</v>
      </c>
      <c r="G83" s="72" t="s">
        <v>71</v>
      </c>
      <c r="H83" s="72" t="s">
        <v>72</v>
      </c>
    </row>
    <row r="84" spans="1:8" x14ac:dyDescent="0.25">
      <c r="A84" s="72" t="s">
        <v>200</v>
      </c>
      <c r="B84" s="72" t="s">
        <v>143</v>
      </c>
      <c r="C84" s="73">
        <v>262</v>
      </c>
      <c r="D84" s="73">
        <v>12210919.011757607</v>
      </c>
      <c r="E84" s="72">
        <v>1343201.0912933368</v>
      </c>
      <c r="F84" s="72" t="s">
        <v>84</v>
      </c>
      <c r="G84" s="72" t="s">
        <v>71</v>
      </c>
      <c r="H84" s="72" t="s">
        <v>72</v>
      </c>
    </row>
    <row r="85" spans="1:8" x14ac:dyDescent="0.25">
      <c r="A85" s="72" t="s">
        <v>190</v>
      </c>
      <c r="B85" s="72" t="s">
        <v>143</v>
      </c>
      <c r="C85" s="73">
        <v>260</v>
      </c>
      <c r="D85" s="73">
        <v>15359914.886407578</v>
      </c>
      <c r="E85" s="72">
        <v>1689590.6375048338</v>
      </c>
      <c r="F85" s="72" t="s">
        <v>78</v>
      </c>
      <c r="G85" s="72" t="s">
        <v>71</v>
      </c>
      <c r="H85" s="72" t="s">
        <v>72</v>
      </c>
    </row>
    <row r="86" spans="1:8" x14ac:dyDescent="0.25">
      <c r="A86" s="72" t="s">
        <v>248</v>
      </c>
      <c r="B86" s="72" t="s">
        <v>73</v>
      </c>
      <c r="C86" s="73">
        <v>260</v>
      </c>
      <c r="D86" s="73">
        <v>12469550.932890464</v>
      </c>
      <c r="E86" s="72">
        <v>872868.5653023324</v>
      </c>
      <c r="F86" s="72" t="s">
        <v>106</v>
      </c>
      <c r="G86" s="72" t="s">
        <v>71</v>
      </c>
      <c r="H86" s="72" t="s">
        <v>72</v>
      </c>
    </row>
    <row r="87" spans="1:8" x14ac:dyDescent="0.25">
      <c r="A87" s="72" t="s">
        <v>230</v>
      </c>
      <c r="B87" s="72" t="s">
        <v>83</v>
      </c>
      <c r="C87" s="73">
        <v>260</v>
      </c>
      <c r="D87" s="73">
        <v>10824978.274883823</v>
      </c>
      <c r="E87" s="72">
        <v>974248.04473954404</v>
      </c>
      <c r="F87" s="72" t="s">
        <v>84</v>
      </c>
      <c r="G87" s="72" t="s">
        <v>71</v>
      </c>
      <c r="H87" s="72" t="s">
        <v>72</v>
      </c>
    </row>
    <row r="88" spans="1:8" x14ac:dyDescent="0.25">
      <c r="A88" s="43" t="s">
        <v>185</v>
      </c>
      <c r="B88" s="43" t="s">
        <v>83</v>
      </c>
      <c r="C88" s="46">
        <v>260</v>
      </c>
      <c r="D88" s="46">
        <v>13102142.425346281</v>
      </c>
      <c r="E88" s="43">
        <v>1834299.9395484792</v>
      </c>
      <c r="F88" s="43" t="s">
        <v>84</v>
      </c>
      <c r="G88" s="43" t="s">
        <v>71</v>
      </c>
      <c r="H88" s="43" t="s">
        <v>72</v>
      </c>
    </row>
    <row r="89" spans="1:8" x14ac:dyDescent="0.25">
      <c r="A89" s="43" t="s">
        <v>226</v>
      </c>
      <c r="B89" s="43" t="s">
        <v>75</v>
      </c>
      <c r="C89" s="46">
        <v>260</v>
      </c>
      <c r="D89" s="46">
        <v>12707576.84037742</v>
      </c>
      <c r="E89" s="43">
        <v>1016606.1472301936</v>
      </c>
      <c r="F89" s="43" t="s">
        <v>106</v>
      </c>
      <c r="G89" s="43" t="s">
        <v>71</v>
      </c>
      <c r="H89" s="43" t="s">
        <v>72</v>
      </c>
    </row>
    <row r="90" spans="1:8" x14ac:dyDescent="0.25">
      <c r="A90" s="72" t="s">
        <v>411</v>
      </c>
      <c r="B90" s="72" t="s">
        <v>85</v>
      </c>
      <c r="C90" s="73">
        <v>256</v>
      </c>
      <c r="D90" s="73">
        <v>10931665.400664879</v>
      </c>
      <c r="E90" s="72">
        <v>437266.61602659518</v>
      </c>
      <c r="F90" s="72" t="s">
        <v>106</v>
      </c>
      <c r="G90" s="72" t="s">
        <v>71</v>
      </c>
      <c r="H90" s="72" t="s">
        <v>72</v>
      </c>
    </row>
    <row r="91" spans="1:8" x14ac:dyDescent="0.25">
      <c r="A91" s="72" t="s">
        <v>183</v>
      </c>
      <c r="B91" s="72" t="s">
        <v>160</v>
      </c>
      <c r="C91" s="73">
        <v>256</v>
      </c>
      <c r="D91" s="73">
        <v>12663657.131435419</v>
      </c>
      <c r="E91" s="72">
        <v>1899548.5697153127</v>
      </c>
      <c r="F91" s="72" t="s">
        <v>84</v>
      </c>
      <c r="G91" s="72" t="s">
        <v>71</v>
      </c>
      <c r="H91" s="72" t="s">
        <v>72</v>
      </c>
    </row>
    <row r="92" spans="1:8" x14ac:dyDescent="0.25">
      <c r="A92" s="72" t="s">
        <v>233</v>
      </c>
      <c r="B92" s="72" t="s">
        <v>202</v>
      </c>
      <c r="C92" s="73">
        <v>255</v>
      </c>
      <c r="D92" s="73">
        <v>12057727.438757746</v>
      </c>
      <c r="E92" s="72">
        <v>964618.19510061969</v>
      </c>
      <c r="F92" s="72" t="s">
        <v>106</v>
      </c>
      <c r="G92" s="72" t="s">
        <v>71</v>
      </c>
      <c r="H92" s="72" t="s">
        <v>72</v>
      </c>
    </row>
    <row r="93" spans="1:8" x14ac:dyDescent="0.25">
      <c r="A93" s="72" t="s">
        <v>304</v>
      </c>
      <c r="B93" s="72" t="s">
        <v>113</v>
      </c>
      <c r="C93" s="73">
        <v>254</v>
      </c>
      <c r="D93" s="73">
        <v>11445225.125924617</v>
      </c>
      <c r="E93" s="72">
        <v>686713.5075554772</v>
      </c>
      <c r="F93" s="72" t="s">
        <v>106</v>
      </c>
      <c r="G93" s="72" t="s">
        <v>71</v>
      </c>
      <c r="H93" s="72" t="s">
        <v>72</v>
      </c>
    </row>
    <row r="94" spans="1:8" x14ac:dyDescent="0.25">
      <c r="A94" s="72" t="s">
        <v>237</v>
      </c>
      <c r="B94" s="72" t="s">
        <v>238</v>
      </c>
      <c r="C94" s="73">
        <v>254</v>
      </c>
      <c r="D94" s="73">
        <v>11929716.725059748</v>
      </c>
      <c r="E94" s="72">
        <v>954377.33800477989</v>
      </c>
      <c r="F94" s="72" t="s">
        <v>106</v>
      </c>
      <c r="G94" s="72" t="s">
        <v>71</v>
      </c>
      <c r="H94" s="72" t="s">
        <v>72</v>
      </c>
    </row>
    <row r="95" spans="1:8" x14ac:dyDescent="0.25">
      <c r="A95" s="43" t="s">
        <v>421</v>
      </c>
      <c r="B95" s="43" t="s">
        <v>101</v>
      </c>
      <c r="C95" s="46">
        <v>254</v>
      </c>
      <c r="D95" s="46">
        <v>10702762.126669884</v>
      </c>
      <c r="E95" s="43">
        <v>428110.48506679537</v>
      </c>
      <c r="F95" s="43" t="s">
        <v>106</v>
      </c>
      <c r="G95" s="43" t="s">
        <v>71</v>
      </c>
      <c r="H95" s="43" t="s">
        <v>72</v>
      </c>
    </row>
    <row r="96" spans="1:8" x14ac:dyDescent="0.25">
      <c r="A96" s="43" t="s">
        <v>259</v>
      </c>
      <c r="B96" s="43" t="s">
        <v>160</v>
      </c>
      <c r="C96" s="46">
        <v>254</v>
      </c>
      <c r="D96" s="46">
        <v>11706992.808846841</v>
      </c>
      <c r="E96" s="43">
        <v>819489.4966192788</v>
      </c>
      <c r="F96" s="43" t="s">
        <v>106</v>
      </c>
      <c r="G96" s="43" t="s">
        <v>71</v>
      </c>
      <c r="H96" s="43" t="s">
        <v>72</v>
      </c>
    </row>
    <row r="97" spans="1:8" x14ac:dyDescent="0.25">
      <c r="A97" s="72" t="s">
        <v>199</v>
      </c>
      <c r="B97" s="72" t="s">
        <v>75</v>
      </c>
      <c r="C97" s="73">
        <v>254</v>
      </c>
      <c r="D97" s="73">
        <v>12455134.18770423</v>
      </c>
      <c r="E97" s="72">
        <v>1370064.7606474655</v>
      </c>
      <c r="F97" s="72" t="s">
        <v>106</v>
      </c>
      <c r="G97" s="72" t="s">
        <v>71</v>
      </c>
      <c r="H97" s="72" t="s">
        <v>72</v>
      </c>
    </row>
    <row r="98" spans="1:8" x14ac:dyDescent="0.25">
      <c r="A98" s="43" t="s">
        <v>973</v>
      </c>
      <c r="B98" s="43" t="s">
        <v>136</v>
      </c>
      <c r="C98" s="46">
        <v>253</v>
      </c>
      <c r="D98" s="46">
        <v>9950067.4932433646</v>
      </c>
      <c r="E98" s="43">
        <v>298502.02479730098</v>
      </c>
      <c r="F98" s="43" t="s">
        <v>106</v>
      </c>
      <c r="G98" s="43" t="s">
        <v>71</v>
      </c>
      <c r="H98" s="43" t="s">
        <v>72</v>
      </c>
    </row>
    <row r="99" spans="1:8" x14ac:dyDescent="0.25">
      <c r="A99" s="72" t="s">
        <v>212</v>
      </c>
      <c r="B99" s="72" t="s">
        <v>143</v>
      </c>
      <c r="C99" s="73">
        <v>252</v>
      </c>
      <c r="D99" s="73">
        <v>12035791.464026863</v>
      </c>
      <c r="E99" s="72">
        <v>1203579.1464026864</v>
      </c>
      <c r="F99" s="72" t="s">
        <v>106</v>
      </c>
      <c r="G99" s="72" t="s">
        <v>71</v>
      </c>
      <c r="H99" s="72" t="s">
        <v>72</v>
      </c>
    </row>
    <row r="100" spans="1:8" x14ac:dyDescent="0.25">
      <c r="A100" s="43" t="s">
        <v>242</v>
      </c>
      <c r="B100" s="43" t="s">
        <v>149</v>
      </c>
      <c r="C100" s="46">
        <v>252</v>
      </c>
      <c r="D100" s="46">
        <v>11675657.056943087</v>
      </c>
      <c r="E100" s="43">
        <v>934052.56455544697</v>
      </c>
      <c r="F100" s="43" t="s">
        <v>106</v>
      </c>
      <c r="G100" s="43" t="s">
        <v>71</v>
      </c>
      <c r="H100" s="43" t="s">
        <v>72</v>
      </c>
    </row>
    <row r="101" spans="1:8" x14ac:dyDescent="0.25">
      <c r="A101" s="72" t="s">
        <v>414</v>
      </c>
      <c r="B101" s="72" t="s">
        <v>77</v>
      </c>
      <c r="C101" s="73">
        <v>249</v>
      </c>
      <c r="D101" s="73">
        <v>7201463.1960247699</v>
      </c>
      <c r="E101" s="72">
        <v>432087.79176148615</v>
      </c>
      <c r="F101" s="72" t="s">
        <v>84</v>
      </c>
      <c r="G101" s="72" t="s">
        <v>71</v>
      </c>
      <c r="H101" s="72" t="s">
        <v>72</v>
      </c>
    </row>
    <row r="102" spans="1:8" x14ac:dyDescent="0.25">
      <c r="A102" s="72" t="s">
        <v>193</v>
      </c>
      <c r="B102" s="72" t="s">
        <v>77</v>
      </c>
      <c r="C102" s="73">
        <v>249</v>
      </c>
      <c r="D102" s="73">
        <v>11004544.331582623</v>
      </c>
      <c r="E102" s="72">
        <v>1540636.2064215669</v>
      </c>
      <c r="F102" s="72" t="s">
        <v>84</v>
      </c>
      <c r="G102" s="72" t="s">
        <v>71</v>
      </c>
      <c r="H102" s="72" t="s">
        <v>72</v>
      </c>
    </row>
    <row r="103" spans="1:8" x14ac:dyDescent="0.25">
      <c r="A103" s="43" t="s">
        <v>449</v>
      </c>
      <c r="B103" s="43" t="s">
        <v>232</v>
      </c>
      <c r="C103" s="46">
        <v>245</v>
      </c>
      <c r="D103" s="46">
        <v>6741049.3586713802</v>
      </c>
      <c r="E103" s="43">
        <v>404462.96152028278</v>
      </c>
      <c r="F103" s="43" t="s">
        <v>84</v>
      </c>
      <c r="G103" s="43" t="s">
        <v>71</v>
      </c>
      <c r="H103" s="43" t="s">
        <v>72</v>
      </c>
    </row>
    <row r="104" spans="1:8" x14ac:dyDescent="0.25">
      <c r="A104" s="43" t="s">
        <v>207</v>
      </c>
      <c r="B104" s="43" t="s">
        <v>160</v>
      </c>
      <c r="C104" s="46">
        <v>244</v>
      </c>
      <c r="D104" s="46">
        <v>9815595.3511793129</v>
      </c>
      <c r="E104" s="43">
        <v>1276027.3956533107</v>
      </c>
      <c r="F104" s="43" t="s">
        <v>84</v>
      </c>
      <c r="G104" s="43" t="s">
        <v>71</v>
      </c>
      <c r="H104" s="43" t="s">
        <v>72</v>
      </c>
    </row>
    <row r="105" spans="1:8" x14ac:dyDescent="0.25">
      <c r="A105" s="43" t="s">
        <v>338</v>
      </c>
      <c r="B105" s="43" t="s">
        <v>132</v>
      </c>
      <c r="C105" s="46">
        <v>242</v>
      </c>
      <c r="D105" s="46">
        <v>10023284.424136348</v>
      </c>
      <c r="E105" s="43">
        <v>601397.06544818101</v>
      </c>
      <c r="F105" s="43" t="s">
        <v>106</v>
      </c>
      <c r="G105" s="43" t="s">
        <v>71</v>
      </c>
      <c r="H105" s="43" t="s">
        <v>72</v>
      </c>
    </row>
    <row r="106" spans="1:8" x14ac:dyDescent="0.25">
      <c r="A106" s="43" t="s">
        <v>235</v>
      </c>
      <c r="B106" s="43" t="s">
        <v>236</v>
      </c>
      <c r="C106" s="46">
        <v>241</v>
      </c>
      <c r="D106" s="46">
        <v>8690337.5649977531</v>
      </c>
      <c r="E106" s="43">
        <v>955937.13214975293</v>
      </c>
      <c r="F106" s="43" t="s">
        <v>84</v>
      </c>
      <c r="G106" s="43" t="s">
        <v>71</v>
      </c>
      <c r="H106" s="43" t="s">
        <v>72</v>
      </c>
    </row>
    <row r="107" spans="1:8" x14ac:dyDescent="0.25">
      <c r="A107" s="43" t="s">
        <v>203</v>
      </c>
      <c r="B107" s="43" t="s">
        <v>69</v>
      </c>
      <c r="C107" s="46">
        <v>239</v>
      </c>
      <c r="D107" s="46">
        <v>11758669.270850873</v>
      </c>
      <c r="E107" s="43">
        <v>1293453.6197935962</v>
      </c>
      <c r="F107" s="43" t="s">
        <v>78</v>
      </c>
      <c r="G107" s="43" t="s">
        <v>71</v>
      </c>
      <c r="H107" s="43" t="s">
        <v>72</v>
      </c>
    </row>
    <row r="108" spans="1:8" x14ac:dyDescent="0.25">
      <c r="A108" s="72" t="s">
        <v>206</v>
      </c>
      <c r="B108" s="72" t="s">
        <v>75</v>
      </c>
      <c r="C108" s="73">
        <v>239</v>
      </c>
      <c r="D108" s="73">
        <v>10649326.824271953</v>
      </c>
      <c r="E108" s="72">
        <v>1277919.2189126343</v>
      </c>
      <c r="F108" s="72" t="s">
        <v>106</v>
      </c>
      <c r="G108" s="72" t="s">
        <v>71</v>
      </c>
      <c r="H108" s="72" t="s">
        <v>72</v>
      </c>
    </row>
    <row r="109" spans="1:8" x14ac:dyDescent="0.25">
      <c r="A109" s="43" t="s">
        <v>208</v>
      </c>
      <c r="B109" s="43" t="s">
        <v>101</v>
      </c>
      <c r="C109" s="46">
        <v>238</v>
      </c>
      <c r="D109" s="46">
        <v>9098720.9359812606</v>
      </c>
      <c r="E109" s="43">
        <v>1273820.9310373764</v>
      </c>
      <c r="F109" s="43" t="s">
        <v>84</v>
      </c>
      <c r="G109" s="43" t="s">
        <v>71</v>
      </c>
      <c r="H109" s="43" t="s">
        <v>72</v>
      </c>
    </row>
    <row r="110" spans="1:8" x14ac:dyDescent="0.25">
      <c r="A110" s="72" t="s">
        <v>218</v>
      </c>
      <c r="B110" s="72" t="s">
        <v>143</v>
      </c>
      <c r="C110" s="73">
        <v>234</v>
      </c>
      <c r="D110" s="73">
        <v>10647507.083268603</v>
      </c>
      <c r="E110" s="72">
        <v>1064750.7083268603</v>
      </c>
      <c r="F110" s="72" t="s">
        <v>78</v>
      </c>
      <c r="G110" s="72" t="s">
        <v>71</v>
      </c>
      <c r="H110" s="72" t="s">
        <v>72</v>
      </c>
    </row>
    <row r="111" spans="1:8" x14ac:dyDescent="0.25">
      <c r="A111" s="43" t="s">
        <v>798</v>
      </c>
      <c r="B111" s="43" t="s">
        <v>73</v>
      </c>
      <c r="C111" s="46">
        <v>234</v>
      </c>
      <c r="D111" s="46">
        <v>6530324.4969873568</v>
      </c>
      <c r="E111" s="43">
        <v>326516.22484936786</v>
      </c>
      <c r="F111" s="43" t="s">
        <v>87</v>
      </c>
      <c r="G111" s="43" t="s">
        <v>71</v>
      </c>
      <c r="H111" s="43" t="s">
        <v>88</v>
      </c>
    </row>
    <row r="112" spans="1:8" x14ac:dyDescent="0.25">
      <c r="A112" s="72" t="s">
        <v>197</v>
      </c>
      <c r="B112" s="72" t="s">
        <v>77</v>
      </c>
      <c r="C112" s="73">
        <v>232</v>
      </c>
      <c r="D112" s="73">
        <v>17510933.462579295</v>
      </c>
      <c r="E112" s="72">
        <v>1400874.6770063434</v>
      </c>
      <c r="F112" s="72" t="s">
        <v>95</v>
      </c>
      <c r="G112" s="72" t="s">
        <v>96</v>
      </c>
      <c r="H112" s="72" t="s">
        <v>88</v>
      </c>
    </row>
    <row r="113" spans="1:8" x14ac:dyDescent="0.25">
      <c r="A113" s="72" t="s">
        <v>317</v>
      </c>
      <c r="B113" s="72" t="s">
        <v>112</v>
      </c>
      <c r="C113" s="73">
        <v>232</v>
      </c>
      <c r="D113" s="73">
        <v>9108295.3319494221</v>
      </c>
      <c r="E113" s="72">
        <v>637580.67323645949</v>
      </c>
      <c r="F113" s="72" t="s">
        <v>106</v>
      </c>
      <c r="G113" s="72" t="s">
        <v>71</v>
      </c>
      <c r="H113" s="72" t="s">
        <v>72</v>
      </c>
    </row>
    <row r="114" spans="1:8" x14ac:dyDescent="0.25">
      <c r="A114" s="72" t="s">
        <v>463</v>
      </c>
      <c r="B114" s="72" t="s">
        <v>101</v>
      </c>
      <c r="C114" s="73">
        <v>231</v>
      </c>
      <c r="D114" s="73">
        <v>6608862.9754986651</v>
      </c>
      <c r="E114" s="72">
        <v>396531.77852991992</v>
      </c>
      <c r="F114" s="72" t="s">
        <v>87</v>
      </c>
      <c r="G114" s="72" t="s">
        <v>71</v>
      </c>
      <c r="H114" s="72" t="s">
        <v>88</v>
      </c>
    </row>
    <row r="115" spans="1:8" x14ac:dyDescent="0.25">
      <c r="A115" s="43" t="s">
        <v>783</v>
      </c>
      <c r="B115" s="43" t="s">
        <v>149</v>
      </c>
      <c r="C115" s="46">
        <v>231</v>
      </c>
      <c r="D115" s="46">
        <v>8235672.2532360777</v>
      </c>
      <c r="E115" s="43">
        <v>329426.89012944314</v>
      </c>
      <c r="F115" s="43" t="s">
        <v>106</v>
      </c>
      <c r="G115" s="43" t="s">
        <v>71</v>
      </c>
      <c r="H115" s="43" t="s">
        <v>72</v>
      </c>
    </row>
    <row r="116" spans="1:8" x14ac:dyDescent="0.25">
      <c r="A116" s="43" t="s">
        <v>285</v>
      </c>
      <c r="B116" s="43" t="s">
        <v>286</v>
      </c>
      <c r="C116" s="46">
        <v>230</v>
      </c>
      <c r="D116" s="46">
        <v>9054322.6504927613</v>
      </c>
      <c r="E116" s="43">
        <v>724345.81203942094</v>
      </c>
      <c r="F116" s="43" t="s">
        <v>106</v>
      </c>
      <c r="G116" s="43" t="s">
        <v>71</v>
      </c>
      <c r="H116" s="43" t="s">
        <v>72</v>
      </c>
    </row>
    <row r="117" spans="1:8" x14ac:dyDescent="0.25">
      <c r="A117" s="43" t="s">
        <v>362</v>
      </c>
      <c r="B117" s="43" t="s">
        <v>73</v>
      </c>
      <c r="C117" s="46">
        <v>230</v>
      </c>
      <c r="D117" s="46">
        <v>8691443.5787793696</v>
      </c>
      <c r="E117" s="43">
        <v>521486.61472676229</v>
      </c>
      <c r="F117" s="43" t="s">
        <v>106</v>
      </c>
      <c r="G117" s="43" t="s">
        <v>71</v>
      </c>
      <c r="H117" s="43" t="s">
        <v>72</v>
      </c>
    </row>
    <row r="118" spans="1:8" x14ac:dyDescent="0.25">
      <c r="A118" s="72" t="s">
        <v>469</v>
      </c>
      <c r="B118" s="72" t="s">
        <v>243</v>
      </c>
      <c r="C118" s="73">
        <v>230</v>
      </c>
      <c r="D118" s="73">
        <v>6521289.3684930662</v>
      </c>
      <c r="E118" s="72">
        <v>391277.36210958398</v>
      </c>
      <c r="F118" s="72" t="s">
        <v>87</v>
      </c>
      <c r="G118" s="72" t="s">
        <v>71</v>
      </c>
      <c r="H118" s="72" t="s">
        <v>88</v>
      </c>
    </row>
    <row r="119" spans="1:8" x14ac:dyDescent="0.25">
      <c r="A119" s="72" t="s">
        <v>222</v>
      </c>
      <c r="B119" s="72" t="s">
        <v>223</v>
      </c>
      <c r="C119" s="73">
        <v>230</v>
      </c>
      <c r="D119" s="73">
        <v>9447854.7601243611</v>
      </c>
      <c r="E119" s="72">
        <v>1039264.0236136798</v>
      </c>
      <c r="F119" s="72" t="s">
        <v>106</v>
      </c>
      <c r="G119" s="72" t="s">
        <v>71</v>
      </c>
      <c r="H119" s="72" t="s">
        <v>72</v>
      </c>
    </row>
    <row r="120" spans="1:8" x14ac:dyDescent="0.25">
      <c r="A120" s="72" t="s">
        <v>306</v>
      </c>
      <c r="B120" s="72" t="s">
        <v>83</v>
      </c>
      <c r="C120" s="73">
        <v>230</v>
      </c>
      <c r="D120" s="73">
        <v>6807945.2076043012</v>
      </c>
      <c r="E120" s="72">
        <v>680794.52076043014</v>
      </c>
      <c r="F120" s="72" t="s">
        <v>84</v>
      </c>
      <c r="G120" s="72" t="s">
        <v>71</v>
      </c>
      <c r="H120" s="72" t="s">
        <v>72</v>
      </c>
    </row>
    <row r="121" spans="1:8" x14ac:dyDescent="0.25">
      <c r="A121" s="43" t="s">
        <v>513</v>
      </c>
      <c r="B121" s="43" t="s">
        <v>73</v>
      </c>
      <c r="C121" s="46">
        <v>228</v>
      </c>
      <c r="D121" s="46">
        <v>6347926.5719418563</v>
      </c>
      <c r="E121" s="43">
        <v>380875.59431651136</v>
      </c>
      <c r="F121" s="43" t="s">
        <v>87</v>
      </c>
      <c r="G121" s="43" t="s">
        <v>71</v>
      </c>
      <c r="H121" s="43" t="s">
        <v>88</v>
      </c>
    </row>
    <row r="122" spans="1:8" x14ac:dyDescent="0.25">
      <c r="A122" s="43" t="s">
        <v>239</v>
      </c>
      <c r="B122" s="43" t="s">
        <v>232</v>
      </c>
      <c r="C122" s="46">
        <v>228</v>
      </c>
      <c r="D122" s="46">
        <v>7309153.7634009346</v>
      </c>
      <c r="E122" s="43">
        <v>950189.98924212158</v>
      </c>
      <c r="F122" s="43" t="s">
        <v>84</v>
      </c>
      <c r="G122" s="43" t="s">
        <v>71</v>
      </c>
      <c r="H122" s="43" t="s">
        <v>72</v>
      </c>
    </row>
    <row r="123" spans="1:8" x14ac:dyDescent="0.25">
      <c r="A123" s="43" t="s">
        <v>954</v>
      </c>
      <c r="B123" s="43" t="s">
        <v>393</v>
      </c>
      <c r="C123" s="46">
        <v>228</v>
      </c>
      <c r="D123" s="46">
        <v>6030387.8006357402</v>
      </c>
      <c r="E123" s="43">
        <v>301519.39003178704</v>
      </c>
      <c r="F123" s="43" t="s">
        <v>87</v>
      </c>
      <c r="G123" s="43" t="s">
        <v>71</v>
      </c>
      <c r="H123" s="43" t="s">
        <v>88</v>
      </c>
    </row>
    <row r="124" spans="1:8" x14ac:dyDescent="0.25">
      <c r="A124" s="43" t="s">
        <v>334</v>
      </c>
      <c r="B124" s="43" t="s">
        <v>335</v>
      </c>
      <c r="C124" s="46">
        <v>228</v>
      </c>
      <c r="D124" s="46">
        <v>8630499.6827427987</v>
      </c>
      <c r="E124" s="43">
        <v>604134.97779199586</v>
      </c>
      <c r="F124" s="43" t="s">
        <v>78</v>
      </c>
      <c r="G124" s="43" t="s">
        <v>71</v>
      </c>
      <c r="H124" s="43" t="s">
        <v>72</v>
      </c>
    </row>
    <row r="125" spans="1:8" x14ac:dyDescent="0.25">
      <c r="A125" s="43" t="s">
        <v>209</v>
      </c>
      <c r="B125" s="43" t="s">
        <v>115</v>
      </c>
      <c r="C125" s="46">
        <v>228</v>
      </c>
      <c r="D125" s="46">
        <v>10348374.345469916</v>
      </c>
      <c r="E125" s="43">
        <v>1241804.9214563903</v>
      </c>
      <c r="F125" s="43" t="s">
        <v>78</v>
      </c>
      <c r="G125" s="43" t="s">
        <v>71</v>
      </c>
      <c r="H125" s="43" t="s">
        <v>72</v>
      </c>
    </row>
    <row r="126" spans="1:8" x14ac:dyDescent="0.25">
      <c r="A126" s="72" t="s">
        <v>697</v>
      </c>
      <c r="B126" s="72" t="s">
        <v>90</v>
      </c>
      <c r="C126" s="73">
        <v>227</v>
      </c>
      <c r="D126" s="73">
        <v>5752953.9544345569</v>
      </c>
      <c r="E126" s="72">
        <v>345177.23726607347</v>
      </c>
      <c r="F126" s="72" t="s">
        <v>70</v>
      </c>
      <c r="G126" s="72" t="s">
        <v>71</v>
      </c>
      <c r="H126" s="72" t="s">
        <v>72</v>
      </c>
    </row>
    <row r="127" spans="1:8" x14ac:dyDescent="0.25">
      <c r="A127" s="72" t="s">
        <v>297</v>
      </c>
      <c r="B127" s="72" t="s">
        <v>127</v>
      </c>
      <c r="C127" s="73">
        <v>227</v>
      </c>
      <c r="D127" s="73">
        <v>8721588.9214805085</v>
      </c>
      <c r="E127" s="72">
        <v>697727.11371844064</v>
      </c>
      <c r="F127" s="72" t="s">
        <v>106</v>
      </c>
      <c r="G127" s="72" t="s">
        <v>71</v>
      </c>
      <c r="H127" s="72" t="s">
        <v>72</v>
      </c>
    </row>
    <row r="128" spans="1:8" x14ac:dyDescent="0.25">
      <c r="A128" s="43" t="s">
        <v>399</v>
      </c>
      <c r="B128" s="43" t="s">
        <v>83</v>
      </c>
      <c r="C128" s="46">
        <v>226</v>
      </c>
      <c r="D128" s="46">
        <v>5668843.6582392501</v>
      </c>
      <c r="E128" s="43">
        <v>453507.49265914003</v>
      </c>
      <c r="F128" s="43" t="s">
        <v>84</v>
      </c>
      <c r="G128" s="43" t="s">
        <v>71</v>
      </c>
      <c r="H128" s="43" t="s">
        <v>72</v>
      </c>
    </row>
    <row r="129" spans="1:8" x14ac:dyDescent="0.25">
      <c r="A129" s="43" t="s">
        <v>1049</v>
      </c>
      <c r="B129" s="43" t="s">
        <v>1050</v>
      </c>
      <c r="C129" s="46">
        <v>225</v>
      </c>
      <c r="D129" s="46">
        <v>5787992.7378480053</v>
      </c>
      <c r="E129" s="43">
        <v>289399.63689240027</v>
      </c>
      <c r="F129" s="43" t="s">
        <v>87</v>
      </c>
      <c r="G129" s="43" t="s">
        <v>71</v>
      </c>
      <c r="H129" s="43" t="s">
        <v>88</v>
      </c>
    </row>
    <row r="130" spans="1:8" x14ac:dyDescent="0.25">
      <c r="A130" s="72" t="s">
        <v>750</v>
      </c>
      <c r="B130" s="72" t="s">
        <v>97</v>
      </c>
      <c r="C130" s="73">
        <v>225</v>
      </c>
      <c r="D130" s="73">
        <v>5571271.4702495756</v>
      </c>
      <c r="E130" s="72">
        <v>334276.28821497457</v>
      </c>
      <c r="F130" s="72" t="s">
        <v>70</v>
      </c>
      <c r="G130" s="72" t="s">
        <v>71</v>
      </c>
      <c r="H130" s="72" t="s">
        <v>72</v>
      </c>
    </row>
    <row r="131" spans="1:8" x14ac:dyDescent="0.25">
      <c r="A131" s="43" t="s">
        <v>1120</v>
      </c>
      <c r="B131" s="43" t="s">
        <v>92</v>
      </c>
      <c r="C131" s="46">
        <v>224</v>
      </c>
      <c r="D131" s="46">
        <v>4659637.9697176917</v>
      </c>
      <c r="E131" s="43">
        <v>279578.27818306151</v>
      </c>
      <c r="F131" s="43" t="s">
        <v>84</v>
      </c>
      <c r="G131" s="43" t="s">
        <v>71</v>
      </c>
      <c r="H131" s="43" t="s">
        <v>72</v>
      </c>
    </row>
    <row r="132" spans="1:8" x14ac:dyDescent="0.25">
      <c r="A132" s="43" t="s">
        <v>309</v>
      </c>
      <c r="B132" s="43" t="s">
        <v>77</v>
      </c>
      <c r="C132" s="46">
        <v>223</v>
      </c>
      <c r="D132" s="46">
        <v>8420001.7295131963</v>
      </c>
      <c r="E132" s="43">
        <v>673600.13836105575</v>
      </c>
      <c r="F132" s="43" t="s">
        <v>78</v>
      </c>
      <c r="G132" s="43" t="s">
        <v>71</v>
      </c>
      <c r="H132" s="43" t="s">
        <v>72</v>
      </c>
    </row>
    <row r="133" spans="1:8" x14ac:dyDescent="0.25">
      <c r="A133" s="72" t="s">
        <v>310</v>
      </c>
      <c r="B133" s="72" t="s">
        <v>182</v>
      </c>
      <c r="C133" s="73">
        <v>223</v>
      </c>
      <c r="D133" s="73">
        <v>8287211.8125939416</v>
      </c>
      <c r="E133" s="72">
        <v>662976.94500751537</v>
      </c>
      <c r="F133" s="72" t="s">
        <v>106</v>
      </c>
      <c r="G133" s="72" t="s">
        <v>71</v>
      </c>
      <c r="H133" s="72" t="s">
        <v>72</v>
      </c>
    </row>
    <row r="134" spans="1:8" x14ac:dyDescent="0.25">
      <c r="A134" s="43" t="s">
        <v>510</v>
      </c>
      <c r="B134" s="43" t="s">
        <v>105</v>
      </c>
      <c r="C134" s="46">
        <v>222</v>
      </c>
      <c r="D134" s="46">
        <v>7637841.7785085076</v>
      </c>
      <c r="E134" s="43">
        <v>381892.08892542543</v>
      </c>
      <c r="F134" s="43" t="s">
        <v>106</v>
      </c>
      <c r="G134" s="43" t="s">
        <v>71</v>
      </c>
      <c r="H134" s="43" t="s">
        <v>72</v>
      </c>
    </row>
    <row r="135" spans="1:8" x14ac:dyDescent="0.25">
      <c r="A135" s="43" t="s">
        <v>224</v>
      </c>
      <c r="B135" s="43" t="s">
        <v>127</v>
      </c>
      <c r="C135" s="46">
        <v>222</v>
      </c>
      <c r="D135" s="46">
        <v>8631010.0350104105</v>
      </c>
      <c r="E135" s="43">
        <v>1035721.2042012492</v>
      </c>
      <c r="F135" s="43" t="s">
        <v>106</v>
      </c>
      <c r="G135" s="43" t="s">
        <v>71</v>
      </c>
      <c r="H135" s="43" t="s">
        <v>72</v>
      </c>
    </row>
    <row r="136" spans="1:8" x14ac:dyDescent="0.25">
      <c r="A136" s="72" t="s">
        <v>329</v>
      </c>
      <c r="B136" s="72" t="s">
        <v>143</v>
      </c>
      <c r="C136" s="73">
        <v>221</v>
      </c>
      <c r="D136" s="73">
        <v>6078816.7110548494</v>
      </c>
      <c r="E136" s="72">
        <v>607881.67110548494</v>
      </c>
      <c r="F136" s="72" t="s">
        <v>84</v>
      </c>
      <c r="G136" s="72" t="s">
        <v>71</v>
      </c>
      <c r="H136" s="72" t="s">
        <v>72</v>
      </c>
    </row>
    <row r="137" spans="1:8" x14ac:dyDescent="0.25">
      <c r="A137" s="72" t="s">
        <v>442</v>
      </c>
      <c r="B137" s="72" t="s">
        <v>69</v>
      </c>
      <c r="C137" s="73">
        <v>220</v>
      </c>
      <c r="D137" s="73">
        <v>5900972.0687383665</v>
      </c>
      <c r="E137" s="72">
        <v>413068.04481168563</v>
      </c>
      <c r="F137" s="72" t="s">
        <v>87</v>
      </c>
      <c r="G137" s="72" t="s">
        <v>71</v>
      </c>
      <c r="H137" s="72" t="s">
        <v>88</v>
      </c>
    </row>
    <row r="138" spans="1:8" x14ac:dyDescent="0.25">
      <c r="A138" s="72" t="s">
        <v>1540</v>
      </c>
      <c r="B138" s="72" t="s">
        <v>103</v>
      </c>
      <c r="C138" s="73">
        <v>219</v>
      </c>
      <c r="D138" s="73">
        <v>4619459.1514317552</v>
      </c>
      <c r="E138" s="72">
        <v>230972.95757158776</v>
      </c>
      <c r="F138" s="72" t="s">
        <v>70</v>
      </c>
      <c r="G138" s="72" t="s">
        <v>71</v>
      </c>
      <c r="H138" s="72" t="s">
        <v>72</v>
      </c>
    </row>
    <row r="139" spans="1:8" x14ac:dyDescent="0.25">
      <c r="A139" s="72" t="s">
        <v>1905</v>
      </c>
      <c r="B139" s="72" t="s">
        <v>182</v>
      </c>
      <c r="C139" s="73">
        <v>219</v>
      </c>
      <c r="D139" s="73">
        <v>4931108.5926990025</v>
      </c>
      <c r="E139" s="72">
        <v>197244.3437079601</v>
      </c>
      <c r="F139" s="72" t="s">
        <v>87</v>
      </c>
      <c r="G139" s="72" t="s">
        <v>71</v>
      </c>
      <c r="H139" s="72" t="s">
        <v>88</v>
      </c>
    </row>
    <row r="140" spans="1:8" x14ac:dyDescent="0.25">
      <c r="A140" s="43" t="s">
        <v>290</v>
      </c>
      <c r="B140" s="43" t="s">
        <v>291</v>
      </c>
      <c r="C140" s="46">
        <v>218</v>
      </c>
      <c r="D140" s="46">
        <v>7883327.1609139666</v>
      </c>
      <c r="E140" s="43">
        <v>709499.44448225701</v>
      </c>
      <c r="F140" s="43" t="s">
        <v>106</v>
      </c>
      <c r="G140" s="43" t="s">
        <v>71</v>
      </c>
      <c r="H140" s="43" t="s">
        <v>72</v>
      </c>
    </row>
    <row r="141" spans="1:8" x14ac:dyDescent="0.25">
      <c r="A141" s="43" t="s">
        <v>541</v>
      </c>
      <c r="B141" s="43" t="s">
        <v>97</v>
      </c>
      <c r="C141" s="46">
        <v>218</v>
      </c>
      <c r="D141" s="46">
        <v>5376467.1664042855</v>
      </c>
      <c r="E141" s="43">
        <v>376352.70164829993</v>
      </c>
      <c r="F141" s="43" t="s">
        <v>70</v>
      </c>
      <c r="G141" s="43" t="s">
        <v>71</v>
      </c>
      <c r="H141" s="43" t="s">
        <v>72</v>
      </c>
    </row>
    <row r="142" spans="1:8" x14ac:dyDescent="0.25">
      <c r="A142" s="43" t="s">
        <v>262</v>
      </c>
      <c r="B142" s="43" t="s">
        <v>93</v>
      </c>
      <c r="C142" s="46">
        <v>218</v>
      </c>
      <c r="D142" s="46">
        <v>7994024.2867473811</v>
      </c>
      <c r="E142" s="43">
        <v>799402.42867473816</v>
      </c>
      <c r="F142" s="43" t="s">
        <v>106</v>
      </c>
      <c r="G142" s="43" t="s">
        <v>71</v>
      </c>
      <c r="H142" s="43" t="s">
        <v>72</v>
      </c>
    </row>
    <row r="143" spans="1:8" x14ac:dyDescent="0.25">
      <c r="A143" s="43" t="s">
        <v>1906</v>
      </c>
      <c r="B143" s="43" t="s">
        <v>112</v>
      </c>
      <c r="C143" s="46">
        <v>218</v>
      </c>
      <c r="D143" s="46">
        <v>6564793.5594807882</v>
      </c>
      <c r="E143" s="43">
        <v>196943.80678442368</v>
      </c>
      <c r="F143" s="43" t="s">
        <v>106</v>
      </c>
      <c r="G143" s="43" t="s">
        <v>71</v>
      </c>
      <c r="H143" s="43" t="s">
        <v>72</v>
      </c>
    </row>
    <row r="144" spans="1:8" x14ac:dyDescent="0.25">
      <c r="A144" s="72" t="s">
        <v>953</v>
      </c>
      <c r="B144" s="72" t="s">
        <v>85</v>
      </c>
      <c r="C144" s="73">
        <v>217</v>
      </c>
      <c r="D144" s="73">
        <v>5029894.4342394536</v>
      </c>
      <c r="E144" s="72">
        <v>301793.66605436726</v>
      </c>
      <c r="F144" s="72" t="s">
        <v>70</v>
      </c>
      <c r="G144" s="72" t="s">
        <v>71</v>
      </c>
      <c r="H144" s="72" t="s">
        <v>72</v>
      </c>
    </row>
    <row r="145" spans="1:8" x14ac:dyDescent="0.25">
      <c r="A145" s="72" t="s">
        <v>1552</v>
      </c>
      <c r="B145" s="72" t="s">
        <v>77</v>
      </c>
      <c r="C145" s="73">
        <v>217</v>
      </c>
      <c r="D145" s="73">
        <v>4583158.5052096425</v>
      </c>
      <c r="E145" s="72">
        <v>229157.92526048212</v>
      </c>
      <c r="F145" s="72" t="s">
        <v>70</v>
      </c>
      <c r="G145" s="72" t="s">
        <v>71</v>
      </c>
      <c r="H145" s="72" t="s">
        <v>72</v>
      </c>
    </row>
    <row r="146" spans="1:8" x14ac:dyDescent="0.25">
      <c r="A146" s="43" t="s">
        <v>450</v>
      </c>
      <c r="B146" s="43" t="s">
        <v>132</v>
      </c>
      <c r="C146" s="46">
        <v>216</v>
      </c>
      <c r="D146" s="46">
        <v>5764907.1738616712</v>
      </c>
      <c r="E146" s="43">
        <v>403543.50217031693</v>
      </c>
      <c r="F146" s="43" t="s">
        <v>87</v>
      </c>
      <c r="G146" s="43" t="s">
        <v>71</v>
      </c>
      <c r="H146" s="43" t="s">
        <v>88</v>
      </c>
    </row>
    <row r="147" spans="1:8" x14ac:dyDescent="0.25">
      <c r="A147" s="72" t="s">
        <v>333</v>
      </c>
      <c r="B147" s="72" t="s">
        <v>105</v>
      </c>
      <c r="C147" s="73">
        <v>216</v>
      </c>
      <c r="D147" s="73">
        <v>7552586.6089409189</v>
      </c>
      <c r="E147" s="72">
        <v>604206.92871527351</v>
      </c>
      <c r="F147" s="72" t="s">
        <v>106</v>
      </c>
      <c r="G147" s="72" t="s">
        <v>71</v>
      </c>
      <c r="H147" s="72" t="s">
        <v>72</v>
      </c>
    </row>
    <row r="148" spans="1:8" x14ac:dyDescent="0.25">
      <c r="A148" s="72" t="s">
        <v>363</v>
      </c>
      <c r="B148" s="72" t="s">
        <v>286</v>
      </c>
      <c r="C148" s="73">
        <v>215</v>
      </c>
      <c r="D148" s="73">
        <v>7314176.3837607624</v>
      </c>
      <c r="E148" s="72">
        <v>511992.34686325333</v>
      </c>
      <c r="F148" s="72" t="s">
        <v>106</v>
      </c>
      <c r="G148" s="72" t="s">
        <v>71</v>
      </c>
      <c r="H148" s="72" t="s">
        <v>72</v>
      </c>
    </row>
    <row r="149" spans="1:8" x14ac:dyDescent="0.25">
      <c r="A149" s="43" t="s">
        <v>769</v>
      </c>
      <c r="B149" s="43" t="s">
        <v>77</v>
      </c>
      <c r="C149" s="46">
        <v>215</v>
      </c>
      <c r="D149" s="46">
        <v>5524458.4915195676</v>
      </c>
      <c r="E149" s="43">
        <v>331467.50949117402</v>
      </c>
      <c r="F149" s="43" t="s">
        <v>87</v>
      </c>
      <c r="G149" s="43" t="s">
        <v>71</v>
      </c>
      <c r="H149" s="43" t="s">
        <v>88</v>
      </c>
    </row>
    <row r="150" spans="1:8" x14ac:dyDescent="0.25">
      <c r="A150" s="43" t="s">
        <v>341</v>
      </c>
      <c r="B150" s="43" t="s">
        <v>100</v>
      </c>
      <c r="C150" s="46">
        <v>215</v>
      </c>
      <c r="D150" s="46">
        <v>7437146.4562700521</v>
      </c>
      <c r="E150" s="43">
        <v>594971.71650160418</v>
      </c>
      <c r="F150" s="43" t="s">
        <v>78</v>
      </c>
      <c r="G150" s="43" t="s">
        <v>71</v>
      </c>
      <c r="H150" s="43" t="s">
        <v>72</v>
      </c>
    </row>
    <row r="151" spans="1:8" x14ac:dyDescent="0.25">
      <c r="A151" s="43" t="s">
        <v>241</v>
      </c>
      <c r="B151" s="43" t="s">
        <v>139</v>
      </c>
      <c r="C151" s="46">
        <v>215</v>
      </c>
      <c r="D151" s="46">
        <v>7859206.7681401344</v>
      </c>
      <c r="E151" s="43">
        <v>943104.81217681605</v>
      </c>
      <c r="F151" s="43" t="s">
        <v>106</v>
      </c>
      <c r="G151" s="43" t="s">
        <v>71</v>
      </c>
      <c r="H151" s="43" t="s">
        <v>72</v>
      </c>
    </row>
    <row r="152" spans="1:8" x14ac:dyDescent="0.25">
      <c r="A152" s="72" t="s">
        <v>418</v>
      </c>
      <c r="B152" s="72" t="s">
        <v>112</v>
      </c>
      <c r="C152" s="73">
        <v>215</v>
      </c>
      <c r="D152" s="73">
        <v>7154193.35088115</v>
      </c>
      <c r="E152" s="72">
        <v>429251.60105286911</v>
      </c>
      <c r="F152" s="72" t="s">
        <v>106</v>
      </c>
      <c r="G152" s="72" t="s">
        <v>71</v>
      </c>
      <c r="H152" s="72" t="s">
        <v>72</v>
      </c>
    </row>
    <row r="153" spans="1:8" x14ac:dyDescent="0.25">
      <c r="A153" s="43" t="s">
        <v>1938</v>
      </c>
      <c r="B153" s="43" t="s">
        <v>77</v>
      </c>
      <c r="C153" s="46">
        <v>215</v>
      </c>
      <c r="D153" s="46">
        <v>4850912.680940466</v>
      </c>
      <c r="E153" s="43">
        <v>194036.50723761864</v>
      </c>
      <c r="F153" s="43" t="s">
        <v>87</v>
      </c>
      <c r="G153" s="43" t="s">
        <v>71</v>
      </c>
      <c r="H153" s="43" t="s">
        <v>88</v>
      </c>
    </row>
    <row r="154" spans="1:8" x14ac:dyDescent="0.25">
      <c r="A154" s="43" t="s">
        <v>255</v>
      </c>
      <c r="B154" s="43" t="s">
        <v>160</v>
      </c>
      <c r="C154" s="46">
        <v>214</v>
      </c>
      <c r="D154" s="46">
        <v>7665231.6317591406</v>
      </c>
      <c r="E154" s="43">
        <v>843175.47949350555</v>
      </c>
      <c r="F154" s="43" t="s">
        <v>106</v>
      </c>
      <c r="G154" s="43" t="s">
        <v>71</v>
      </c>
      <c r="H154" s="43" t="s">
        <v>72</v>
      </c>
    </row>
    <row r="155" spans="1:8" x14ac:dyDescent="0.25">
      <c r="A155" s="43" t="s">
        <v>221</v>
      </c>
      <c r="B155" s="43" t="s">
        <v>73</v>
      </c>
      <c r="C155" s="46">
        <v>214</v>
      </c>
      <c r="D155" s="46">
        <v>6978677.6143354001</v>
      </c>
      <c r="E155" s="43">
        <v>1046801.64215031</v>
      </c>
      <c r="F155" s="43" t="s">
        <v>84</v>
      </c>
      <c r="G155" s="43" t="s">
        <v>71</v>
      </c>
      <c r="H155" s="43" t="s">
        <v>72</v>
      </c>
    </row>
    <row r="156" spans="1:8" x14ac:dyDescent="0.25">
      <c r="A156" s="43" t="s">
        <v>215</v>
      </c>
      <c r="B156" s="43" t="s">
        <v>92</v>
      </c>
      <c r="C156" s="46">
        <v>214</v>
      </c>
      <c r="D156" s="46">
        <v>8549531.7058704961</v>
      </c>
      <c r="E156" s="43">
        <v>1111439.1217631646</v>
      </c>
      <c r="F156" s="43" t="s">
        <v>78</v>
      </c>
      <c r="G156" s="43" t="s">
        <v>71</v>
      </c>
      <c r="H156" s="43" t="s">
        <v>72</v>
      </c>
    </row>
    <row r="157" spans="1:8" x14ac:dyDescent="0.25">
      <c r="A157" s="72" t="s">
        <v>982</v>
      </c>
      <c r="B157" s="72" t="s">
        <v>983</v>
      </c>
      <c r="C157" s="73">
        <v>214</v>
      </c>
      <c r="D157" s="73">
        <v>4969084.110722932</v>
      </c>
      <c r="E157" s="72">
        <v>298145.046643376</v>
      </c>
      <c r="F157" s="72" t="s">
        <v>70</v>
      </c>
      <c r="G157" s="72" t="s">
        <v>71</v>
      </c>
      <c r="H157" s="72" t="s">
        <v>72</v>
      </c>
    </row>
    <row r="158" spans="1:8" x14ac:dyDescent="0.25">
      <c r="A158" s="72" t="s">
        <v>253</v>
      </c>
      <c r="B158" s="72" t="s">
        <v>115</v>
      </c>
      <c r="C158" s="73">
        <v>214</v>
      </c>
      <c r="D158" s="73">
        <v>6594130.8741416736</v>
      </c>
      <c r="E158" s="72">
        <v>857237.01363841759</v>
      </c>
      <c r="F158" s="72" t="s">
        <v>84</v>
      </c>
      <c r="G158" s="72" t="s">
        <v>71</v>
      </c>
      <c r="H158" s="72" t="s">
        <v>72</v>
      </c>
    </row>
    <row r="159" spans="1:8" x14ac:dyDescent="0.25">
      <c r="A159" s="72" t="s">
        <v>281</v>
      </c>
      <c r="B159" s="72" t="s">
        <v>112</v>
      </c>
      <c r="C159" s="73">
        <v>213</v>
      </c>
      <c r="D159" s="73">
        <v>7466483.8821779303</v>
      </c>
      <c r="E159" s="72">
        <v>746648.38821779308</v>
      </c>
      <c r="F159" s="72" t="s">
        <v>106</v>
      </c>
      <c r="G159" s="72" t="s">
        <v>71</v>
      </c>
      <c r="H159" s="72" t="s">
        <v>72</v>
      </c>
    </row>
    <row r="160" spans="1:8" x14ac:dyDescent="0.25">
      <c r="A160" s="43" t="s">
        <v>384</v>
      </c>
      <c r="B160" s="43" t="s">
        <v>92</v>
      </c>
      <c r="C160" s="46">
        <v>213</v>
      </c>
      <c r="D160" s="46">
        <v>6857964.7518269168</v>
      </c>
      <c r="E160" s="43">
        <v>480057.53262788412</v>
      </c>
      <c r="F160" s="43" t="s">
        <v>78</v>
      </c>
      <c r="G160" s="43" t="s">
        <v>71</v>
      </c>
      <c r="H160" s="43" t="s">
        <v>72</v>
      </c>
    </row>
    <row r="161" spans="1:8" x14ac:dyDescent="0.25">
      <c r="A161" s="43" t="s">
        <v>254</v>
      </c>
      <c r="B161" s="43" t="s">
        <v>115</v>
      </c>
      <c r="C161" s="46">
        <v>213</v>
      </c>
      <c r="D161" s="46">
        <v>6566965.4212869396</v>
      </c>
      <c r="E161" s="43">
        <v>853705.50476730219</v>
      </c>
      <c r="F161" s="43" t="s">
        <v>84</v>
      </c>
      <c r="G161" s="43" t="s">
        <v>71</v>
      </c>
      <c r="H161" s="43" t="s">
        <v>72</v>
      </c>
    </row>
    <row r="162" spans="1:8" x14ac:dyDescent="0.25">
      <c r="A162" s="72" t="s">
        <v>308</v>
      </c>
      <c r="B162" s="72" t="s">
        <v>115</v>
      </c>
      <c r="C162" s="73">
        <v>213</v>
      </c>
      <c r="D162" s="73">
        <v>7496237.9764873441</v>
      </c>
      <c r="E162" s="72">
        <v>674661.417883861</v>
      </c>
      <c r="F162" s="72" t="s">
        <v>78</v>
      </c>
      <c r="G162" s="72" t="s">
        <v>71</v>
      </c>
      <c r="H162" s="72" t="s">
        <v>72</v>
      </c>
    </row>
    <row r="163" spans="1:8" x14ac:dyDescent="0.25">
      <c r="A163" s="43" t="s">
        <v>1003</v>
      </c>
      <c r="B163" s="43" t="s">
        <v>102</v>
      </c>
      <c r="C163" s="46">
        <v>212</v>
      </c>
      <c r="D163" s="46">
        <v>4928421.2965938039</v>
      </c>
      <c r="E163" s="43">
        <v>295705.2777956283</v>
      </c>
      <c r="F163" s="43" t="s">
        <v>70</v>
      </c>
      <c r="G163" s="43" t="s">
        <v>71</v>
      </c>
      <c r="H163" s="43" t="s">
        <v>72</v>
      </c>
    </row>
    <row r="164" spans="1:8" x14ac:dyDescent="0.25">
      <c r="A164" s="43" t="s">
        <v>368</v>
      </c>
      <c r="B164" s="43" t="s">
        <v>232</v>
      </c>
      <c r="C164" s="46">
        <v>212</v>
      </c>
      <c r="D164" s="46">
        <v>5594461.4370450079</v>
      </c>
      <c r="E164" s="43">
        <v>503501.52933405072</v>
      </c>
      <c r="F164" s="43" t="s">
        <v>84</v>
      </c>
      <c r="G164" s="43" t="s">
        <v>71</v>
      </c>
      <c r="H164" s="43" t="s">
        <v>72</v>
      </c>
    </row>
    <row r="165" spans="1:8" x14ac:dyDescent="0.25">
      <c r="A165" s="43" t="s">
        <v>1277</v>
      </c>
      <c r="B165" s="43" t="s">
        <v>141</v>
      </c>
      <c r="C165" s="46">
        <v>212</v>
      </c>
      <c r="D165" s="46">
        <v>5183778.1645580968</v>
      </c>
      <c r="E165" s="43">
        <v>259188.90822790485</v>
      </c>
      <c r="F165" s="43" t="s">
        <v>87</v>
      </c>
      <c r="G165" s="43" t="s">
        <v>71</v>
      </c>
      <c r="H165" s="43" t="s">
        <v>88</v>
      </c>
    </row>
    <row r="166" spans="1:8" x14ac:dyDescent="0.25">
      <c r="A166" s="43" t="s">
        <v>426</v>
      </c>
      <c r="B166" s="43" t="s">
        <v>149</v>
      </c>
      <c r="C166" s="46">
        <v>211</v>
      </c>
      <c r="D166" s="46">
        <v>5267383.0219025491</v>
      </c>
      <c r="E166" s="43">
        <v>421390.64175220393</v>
      </c>
      <c r="F166" s="43" t="s">
        <v>84</v>
      </c>
      <c r="G166" s="43" t="s">
        <v>71</v>
      </c>
      <c r="H166" s="43" t="s">
        <v>72</v>
      </c>
    </row>
    <row r="167" spans="1:8" x14ac:dyDescent="0.25">
      <c r="A167" s="43" t="s">
        <v>1007</v>
      </c>
      <c r="B167" s="43" t="s">
        <v>103</v>
      </c>
      <c r="C167" s="46">
        <v>211</v>
      </c>
      <c r="D167" s="46">
        <v>4908053.0040862625</v>
      </c>
      <c r="E167" s="43">
        <v>294483.18024517578</v>
      </c>
      <c r="F167" s="43" t="s">
        <v>70</v>
      </c>
      <c r="G167" s="43" t="s">
        <v>71</v>
      </c>
      <c r="H167" s="43" t="s">
        <v>72</v>
      </c>
    </row>
    <row r="168" spans="1:8" x14ac:dyDescent="0.25">
      <c r="A168" s="72" t="s">
        <v>1008</v>
      </c>
      <c r="B168" s="72" t="s">
        <v>105</v>
      </c>
      <c r="C168" s="73">
        <v>211</v>
      </c>
      <c r="D168" s="73">
        <v>4908053.0040862625</v>
      </c>
      <c r="E168" s="72">
        <v>294483.18024517578</v>
      </c>
      <c r="F168" s="72" t="s">
        <v>70</v>
      </c>
      <c r="G168" s="72" t="s">
        <v>71</v>
      </c>
      <c r="H168" s="72" t="s">
        <v>72</v>
      </c>
    </row>
    <row r="169" spans="1:8" x14ac:dyDescent="0.25">
      <c r="A169" s="43" t="s">
        <v>816</v>
      </c>
      <c r="B169" s="43" t="s">
        <v>93</v>
      </c>
      <c r="C169" s="46">
        <v>210</v>
      </c>
      <c r="D169" s="46">
        <v>5408076.2492688559</v>
      </c>
      <c r="E169" s="43">
        <v>324484.57495613134</v>
      </c>
      <c r="F169" s="43" t="s">
        <v>87</v>
      </c>
      <c r="G169" s="43" t="s">
        <v>71</v>
      </c>
      <c r="H169" s="43" t="s">
        <v>88</v>
      </c>
    </row>
    <row r="170" spans="1:8" x14ac:dyDescent="0.25">
      <c r="A170" s="72" t="s">
        <v>1125</v>
      </c>
      <c r="B170" s="72" t="s">
        <v>92</v>
      </c>
      <c r="C170" s="73">
        <v>210</v>
      </c>
      <c r="D170" s="73">
        <v>5577329.2154349647</v>
      </c>
      <c r="E170" s="72">
        <v>278866.46077174827</v>
      </c>
      <c r="F170" s="72" t="s">
        <v>78</v>
      </c>
      <c r="G170" s="72" t="s">
        <v>71</v>
      </c>
      <c r="H170" s="72" t="s">
        <v>72</v>
      </c>
    </row>
    <row r="171" spans="1:8" x14ac:dyDescent="0.25">
      <c r="A171" s="72" t="s">
        <v>1620</v>
      </c>
      <c r="B171" s="72" t="s">
        <v>73</v>
      </c>
      <c r="C171" s="73">
        <v>210</v>
      </c>
      <c r="D171" s="73">
        <v>4455334.9815004338</v>
      </c>
      <c r="E171" s="72">
        <v>222766.74907502171</v>
      </c>
      <c r="F171" s="72" t="s">
        <v>70</v>
      </c>
      <c r="G171" s="72" t="s">
        <v>71</v>
      </c>
      <c r="H171" s="72" t="s">
        <v>72</v>
      </c>
    </row>
    <row r="172" spans="1:8" x14ac:dyDescent="0.25">
      <c r="A172" s="72" t="s">
        <v>1019</v>
      </c>
      <c r="B172" s="72" t="s">
        <v>93</v>
      </c>
      <c r="C172" s="73">
        <v>210</v>
      </c>
      <c r="D172" s="73">
        <v>4887660.0741099287</v>
      </c>
      <c r="E172" s="72">
        <v>293259.60444659577</v>
      </c>
      <c r="F172" s="72" t="s">
        <v>70</v>
      </c>
      <c r="G172" s="72" t="s">
        <v>71</v>
      </c>
      <c r="H172" s="72" t="s">
        <v>72</v>
      </c>
    </row>
    <row r="173" spans="1:8" x14ac:dyDescent="0.25">
      <c r="A173" s="72" t="s">
        <v>606</v>
      </c>
      <c r="B173" s="72" t="s">
        <v>86</v>
      </c>
      <c r="C173" s="73">
        <v>210</v>
      </c>
      <c r="D173" s="73">
        <v>5202035.3942444474</v>
      </c>
      <c r="E173" s="72">
        <v>364142.47759711125</v>
      </c>
      <c r="F173" s="72" t="s">
        <v>70</v>
      </c>
      <c r="G173" s="72" t="s">
        <v>71</v>
      </c>
      <c r="H173" s="72" t="s">
        <v>72</v>
      </c>
    </row>
    <row r="174" spans="1:8" x14ac:dyDescent="0.25">
      <c r="A174" s="43" t="s">
        <v>1358</v>
      </c>
      <c r="B174" s="43" t="s">
        <v>127</v>
      </c>
      <c r="C174" s="46">
        <v>210</v>
      </c>
      <c r="D174" s="46">
        <v>6251392.9376432113</v>
      </c>
      <c r="E174" s="43">
        <v>250055.71750572845</v>
      </c>
      <c r="F174" s="43" t="s">
        <v>106</v>
      </c>
      <c r="G174" s="43" t="s">
        <v>71</v>
      </c>
      <c r="H174" s="43" t="s">
        <v>72</v>
      </c>
    </row>
    <row r="175" spans="1:8" x14ac:dyDescent="0.25">
      <c r="A175" s="72" t="s">
        <v>1304</v>
      </c>
      <c r="B175" s="72" t="s">
        <v>73</v>
      </c>
      <c r="C175" s="73">
        <v>209</v>
      </c>
      <c r="D175" s="73">
        <v>5117655.8083785549</v>
      </c>
      <c r="E175" s="72">
        <v>255882.79041892776</v>
      </c>
      <c r="F175" s="72" t="s">
        <v>87</v>
      </c>
      <c r="G175" s="72" t="s">
        <v>71</v>
      </c>
      <c r="H175" s="72" t="s">
        <v>88</v>
      </c>
    </row>
    <row r="176" spans="1:8" x14ac:dyDescent="0.25">
      <c r="A176" s="72" t="s">
        <v>355</v>
      </c>
      <c r="B176" s="72" t="s">
        <v>112</v>
      </c>
      <c r="C176" s="73">
        <v>209</v>
      </c>
      <c r="D176" s="73">
        <v>6850535.4880108032</v>
      </c>
      <c r="E176" s="72">
        <v>548042.83904086426</v>
      </c>
      <c r="F176" s="72" t="s">
        <v>106</v>
      </c>
      <c r="G176" s="72" t="s">
        <v>71</v>
      </c>
      <c r="H176" s="72" t="s">
        <v>72</v>
      </c>
    </row>
    <row r="177" spans="1:8" x14ac:dyDescent="0.25">
      <c r="A177" s="72" t="s">
        <v>2166</v>
      </c>
      <c r="B177" s="72" t="s">
        <v>112</v>
      </c>
      <c r="C177" s="73">
        <v>209</v>
      </c>
      <c r="D177" s="73">
        <v>5801344.7122870153</v>
      </c>
      <c r="E177" s="72">
        <v>174040.34136861051</v>
      </c>
      <c r="F177" s="72" t="s">
        <v>106</v>
      </c>
      <c r="G177" s="72" t="s">
        <v>71</v>
      </c>
      <c r="H177" s="72" t="s">
        <v>72</v>
      </c>
    </row>
    <row r="178" spans="1:8" x14ac:dyDescent="0.25">
      <c r="A178" s="43" t="s">
        <v>373</v>
      </c>
      <c r="B178" s="43" t="s">
        <v>143</v>
      </c>
      <c r="C178" s="46">
        <v>209</v>
      </c>
      <c r="D178" s="46">
        <v>5526069.1631875783</v>
      </c>
      <c r="E178" s="43">
        <v>497346.22468688205</v>
      </c>
      <c r="F178" s="43" t="s">
        <v>84</v>
      </c>
      <c r="G178" s="43" t="s">
        <v>71</v>
      </c>
      <c r="H178" s="43" t="s">
        <v>72</v>
      </c>
    </row>
    <row r="179" spans="1:8" x14ac:dyDescent="0.25">
      <c r="A179" s="72" t="s">
        <v>278</v>
      </c>
      <c r="B179" s="72" t="s">
        <v>83</v>
      </c>
      <c r="C179" s="73">
        <v>209</v>
      </c>
      <c r="D179" s="73">
        <v>6252500.9950044537</v>
      </c>
      <c r="E179" s="72">
        <v>750300.11940053443</v>
      </c>
      <c r="F179" s="72" t="s">
        <v>84</v>
      </c>
      <c r="G179" s="72" t="s">
        <v>71</v>
      </c>
      <c r="H179" s="72" t="s">
        <v>72</v>
      </c>
    </row>
    <row r="180" spans="1:8" x14ac:dyDescent="0.25">
      <c r="A180" s="43" t="s">
        <v>626</v>
      </c>
      <c r="B180" s="43" t="s">
        <v>102</v>
      </c>
      <c r="C180" s="46">
        <v>208</v>
      </c>
      <c r="D180" s="46">
        <v>5158181.4294304317</v>
      </c>
      <c r="E180" s="43">
        <v>361072.70006013016</v>
      </c>
      <c r="F180" s="43" t="s">
        <v>70</v>
      </c>
      <c r="G180" s="43" t="s">
        <v>71</v>
      </c>
      <c r="H180" s="43" t="s">
        <v>72</v>
      </c>
    </row>
    <row r="181" spans="1:8" x14ac:dyDescent="0.25">
      <c r="A181" s="43" t="s">
        <v>280</v>
      </c>
      <c r="B181" s="43" t="s">
        <v>83</v>
      </c>
      <c r="C181" s="46">
        <v>208</v>
      </c>
      <c r="D181" s="46">
        <v>6226166.9392377529</v>
      </c>
      <c r="E181" s="43">
        <v>747140.03270853031</v>
      </c>
      <c r="F181" s="43" t="s">
        <v>84</v>
      </c>
      <c r="G181" s="43" t="s">
        <v>71</v>
      </c>
      <c r="H181" s="43" t="s">
        <v>72</v>
      </c>
    </row>
    <row r="182" spans="1:8" x14ac:dyDescent="0.25">
      <c r="A182" s="72" t="s">
        <v>627</v>
      </c>
      <c r="B182" s="72" t="s">
        <v>112</v>
      </c>
      <c r="C182" s="73">
        <v>208</v>
      </c>
      <c r="D182" s="73">
        <v>5158181.4294304317</v>
      </c>
      <c r="E182" s="72">
        <v>361072.70006013016</v>
      </c>
      <c r="F182" s="72" t="s">
        <v>70</v>
      </c>
      <c r="G182" s="72" t="s">
        <v>71</v>
      </c>
      <c r="H182" s="72" t="s">
        <v>72</v>
      </c>
    </row>
    <row r="183" spans="1:8" x14ac:dyDescent="0.25">
      <c r="A183" s="72" t="s">
        <v>1046</v>
      </c>
      <c r="B183" s="72" t="s">
        <v>79</v>
      </c>
      <c r="C183" s="73">
        <v>207</v>
      </c>
      <c r="D183" s="73">
        <v>4826333.1047893539</v>
      </c>
      <c r="E183" s="72">
        <v>289579.9862873613</v>
      </c>
      <c r="F183" s="72" t="s">
        <v>70</v>
      </c>
      <c r="G183" s="72" t="s">
        <v>71</v>
      </c>
      <c r="H183" s="72" t="s">
        <v>72</v>
      </c>
    </row>
    <row r="184" spans="1:8" x14ac:dyDescent="0.25">
      <c r="A184" s="43" t="s">
        <v>1047</v>
      </c>
      <c r="B184" s="43" t="s">
        <v>211</v>
      </c>
      <c r="C184" s="46">
        <v>207</v>
      </c>
      <c r="D184" s="46">
        <v>4826333.1047893539</v>
      </c>
      <c r="E184" s="43">
        <v>289579.9862873613</v>
      </c>
      <c r="F184" s="43" t="s">
        <v>70</v>
      </c>
      <c r="G184" s="43" t="s">
        <v>71</v>
      </c>
      <c r="H184" s="43" t="s">
        <v>72</v>
      </c>
    </row>
    <row r="185" spans="1:8" x14ac:dyDescent="0.25">
      <c r="A185" s="72" t="s">
        <v>396</v>
      </c>
      <c r="B185" s="72" t="s">
        <v>132</v>
      </c>
      <c r="C185" s="73">
        <v>207</v>
      </c>
      <c r="D185" s="73">
        <v>6534881.91247705</v>
      </c>
      <c r="E185" s="72">
        <v>457441.73387339344</v>
      </c>
      <c r="F185" s="72" t="s">
        <v>106</v>
      </c>
      <c r="G185" s="72" t="s">
        <v>71</v>
      </c>
      <c r="H185" s="72" t="s">
        <v>72</v>
      </c>
    </row>
    <row r="186" spans="1:8" x14ac:dyDescent="0.25">
      <c r="A186" s="72" t="s">
        <v>1048</v>
      </c>
      <c r="B186" s="72" t="s">
        <v>93</v>
      </c>
      <c r="C186" s="73">
        <v>207</v>
      </c>
      <c r="D186" s="73">
        <v>4826333.1047893539</v>
      </c>
      <c r="E186" s="72">
        <v>289579.9862873613</v>
      </c>
      <c r="F186" s="72" t="s">
        <v>70</v>
      </c>
      <c r="G186" s="72" t="s">
        <v>71</v>
      </c>
      <c r="H186" s="72" t="s">
        <v>72</v>
      </c>
    </row>
    <row r="187" spans="1:8" x14ac:dyDescent="0.25">
      <c r="A187" s="72" t="s">
        <v>505</v>
      </c>
      <c r="B187" s="72" t="s">
        <v>105</v>
      </c>
      <c r="C187" s="73">
        <v>207</v>
      </c>
      <c r="D187" s="73">
        <v>6392597.2674488276</v>
      </c>
      <c r="E187" s="72">
        <v>383555.8360469297</v>
      </c>
      <c r="F187" s="72" t="s">
        <v>106</v>
      </c>
      <c r="G187" s="72" t="s">
        <v>71</v>
      </c>
      <c r="H187" s="72" t="s">
        <v>72</v>
      </c>
    </row>
    <row r="188" spans="1:8" x14ac:dyDescent="0.25">
      <c r="A188" s="72" t="s">
        <v>216</v>
      </c>
      <c r="B188" s="72" t="s">
        <v>115</v>
      </c>
      <c r="C188" s="73">
        <v>207</v>
      </c>
      <c r="D188" s="73">
        <v>7778669.9999481412</v>
      </c>
      <c r="E188" s="72">
        <v>1089013.7999927397</v>
      </c>
      <c r="F188" s="72" t="s">
        <v>78</v>
      </c>
      <c r="G188" s="72" t="s">
        <v>71</v>
      </c>
      <c r="H188" s="72" t="s">
        <v>72</v>
      </c>
    </row>
    <row r="189" spans="1:8" x14ac:dyDescent="0.25">
      <c r="A189" s="43" t="s">
        <v>256</v>
      </c>
      <c r="B189" s="43" t="s">
        <v>257</v>
      </c>
      <c r="C189" s="46">
        <v>206</v>
      </c>
      <c r="D189" s="46">
        <v>6917858.7570404606</v>
      </c>
      <c r="E189" s="43">
        <v>830143.05084485526</v>
      </c>
      <c r="F189" s="43" t="s">
        <v>106</v>
      </c>
      <c r="G189" s="43" t="s">
        <v>71</v>
      </c>
      <c r="H189" s="43" t="s">
        <v>72</v>
      </c>
    </row>
    <row r="190" spans="1:8" x14ac:dyDescent="0.25">
      <c r="A190" s="43" t="s">
        <v>160</v>
      </c>
      <c r="B190" s="43" t="s">
        <v>160</v>
      </c>
      <c r="C190" s="46">
        <v>206</v>
      </c>
      <c r="D190" s="46">
        <v>6756871.9384497171</v>
      </c>
      <c r="E190" s="43">
        <v>675687.19384497171</v>
      </c>
      <c r="F190" s="43" t="s">
        <v>106</v>
      </c>
      <c r="G190" s="43" t="s">
        <v>71</v>
      </c>
      <c r="H190" s="43" t="s">
        <v>72</v>
      </c>
    </row>
    <row r="191" spans="1:8" x14ac:dyDescent="0.25">
      <c r="A191" s="72" t="s">
        <v>258</v>
      </c>
      <c r="B191" s="72" t="s">
        <v>105</v>
      </c>
      <c r="C191" s="73">
        <v>206</v>
      </c>
      <c r="D191" s="73">
        <v>6917858.7570404606</v>
      </c>
      <c r="E191" s="72">
        <v>830143.05084485526</v>
      </c>
      <c r="F191" s="72" t="s">
        <v>106</v>
      </c>
      <c r="G191" s="72" t="s">
        <v>71</v>
      </c>
      <c r="H191" s="72" t="s">
        <v>72</v>
      </c>
    </row>
    <row r="192" spans="1:8" x14ac:dyDescent="0.25">
      <c r="A192" s="43" t="s">
        <v>1265</v>
      </c>
      <c r="B192" s="43" t="s">
        <v>83</v>
      </c>
      <c r="C192" s="46">
        <v>206</v>
      </c>
      <c r="D192" s="46">
        <v>4348609.5385406883</v>
      </c>
      <c r="E192" s="43">
        <v>260916.57231244131</v>
      </c>
      <c r="F192" s="43" t="s">
        <v>84</v>
      </c>
      <c r="G192" s="43" t="s">
        <v>71</v>
      </c>
      <c r="H192" s="43" t="s">
        <v>72</v>
      </c>
    </row>
    <row r="193" spans="1:8" x14ac:dyDescent="0.25">
      <c r="A193" s="72" t="s">
        <v>1673</v>
      </c>
      <c r="B193" s="72" t="s">
        <v>75</v>
      </c>
      <c r="C193" s="73">
        <v>205</v>
      </c>
      <c r="D193" s="73">
        <v>4363292.9823675705</v>
      </c>
      <c r="E193" s="72">
        <v>218164.64911837853</v>
      </c>
      <c r="F193" s="72" t="s">
        <v>70</v>
      </c>
      <c r="G193" s="72" t="s">
        <v>71</v>
      </c>
      <c r="H193" s="72" t="s">
        <v>72</v>
      </c>
    </row>
    <row r="194" spans="1:8" x14ac:dyDescent="0.25">
      <c r="A194" s="72" t="s">
        <v>1526</v>
      </c>
      <c r="B194" s="72" t="s">
        <v>112</v>
      </c>
      <c r="C194" s="73">
        <v>205</v>
      </c>
      <c r="D194" s="73">
        <v>5817065.5515212035</v>
      </c>
      <c r="E194" s="72">
        <v>232682.62206084814</v>
      </c>
      <c r="F194" s="72" t="s">
        <v>106</v>
      </c>
      <c r="G194" s="72" t="s">
        <v>71</v>
      </c>
      <c r="H194" s="72" t="s">
        <v>72</v>
      </c>
    </row>
    <row r="195" spans="1:8" x14ac:dyDescent="0.25">
      <c r="A195" s="72" t="s">
        <v>1064</v>
      </c>
      <c r="B195" s="72" t="s">
        <v>162</v>
      </c>
      <c r="C195" s="73">
        <v>205</v>
      </c>
      <c r="D195" s="73">
        <v>4785324.6203911239</v>
      </c>
      <c r="E195" s="72">
        <v>287119.47722346749</v>
      </c>
      <c r="F195" s="72" t="s">
        <v>70</v>
      </c>
      <c r="G195" s="72" t="s">
        <v>71</v>
      </c>
      <c r="H195" s="72" t="s">
        <v>72</v>
      </c>
    </row>
    <row r="196" spans="1:8" x14ac:dyDescent="0.25">
      <c r="A196" s="72" t="s">
        <v>1693</v>
      </c>
      <c r="B196" s="72" t="s">
        <v>73</v>
      </c>
      <c r="C196" s="73">
        <v>204</v>
      </c>
      <c r="D196" s="73">
        <v>4344810.1727885772</v>
      </c>
      <c r="E196" s="72">
        <v>217240.50863942888</v>
      </c>
      <c r="F196" s="72" t="s">
        <v>70</v>
      </c>
      <c r="G196" s="72" t="s">
        <v>71</v>
      </c>
      <c r="H196" s="72" t="s">
        <v>72</v>
      </c>
    </row>
    <row r="197" spans="1:8" x14ac:dyDescent="0.25">
      <c r="A197" s="72" t="s">
        <v>754</v>
      </c>
      <c r="B197" s="72" t="s">
        <v>232</v>
      </c>
      <c r="C197" s="73">
        <v>204</v>
      </c>
      <c r="D197" s="73">
        <v>4768261.8702731691</v>
      </c>
      <c r="E197" s="72">
        <v>333778.3309191218</v>
      </c>
      <c r="F197" s="72" t="s">
        <v>84</v>
      </c>
      <c r="G197" s="72" t="s">
        <v>71</v>
      </c>
      <c r="H197" s="72" t="s">
        <v>72</v>
      </c>
    </row>
    <row r="198" spans="1:8" x14ac:dyDescent="0.25">
      <c r="A198" s="72" t="s">
        <v>655</v>
      </c>
      <c r="B198" s="72" t="s">
        <v>81</v>
      </c>
      <c r="C198" s="73">
        <v>204</v>
      </c>
      <c r="D198" s="73">
        <v>5070176.2880256195</v>
      </c>
      <c r="E198" s="72">
        <v>354912.34016179334</v>
      </c>
      <c r="F198" s="72" t="s">
        <v>70</v>
      </c>
      <c r="G198" s="72" t="s">
        <v>71</v>
      </c>
      <c r="H198" s="72" t="s">
        <v>72</v>
      </c>
    </row>
    <row r="199" spans="1:8" x14ac:dyDescent="0.25">
      <c r="A199" s="72" t="s">
        <v>1357</v>
      </c>
      <c r="B199" s="72" t="s">
        <v>1054</v>
      </c>
      <c r="C199" s="73">
        <v>204</v>
      </c>
      <c r="D199" s="73">
        <v>5007027.7254847474</v>
      </c>
      <c r="E199" s="72">
        <v>250351.38627423739</v>
      </c>
      <c r="F199" s="72" t="s">
        <v>87</v>
      </c>
      <c r="G199" s="72" t="s">
        <v>71</v>
      </c>
      <c r="H199" s="72" t="s">
        <v>88</v>
      </c>
    </row>
    <row r="200" spans="1:8" x14ac:dyDescent="0.25">
      <c r="A200" s="72" t="s">
        <v>313</v>
      </c>
      <c r="B200" s="72" t="s">
        <v>232</v>
      </c>
      <c r="C200" s="73">
        <v>203</v>
      </c>
      <c r="D200" s="73">
        <v>5879593.3555480465</v>
      </c>
      <c r="E200" s="72">
        <v>646755.26911028521</v>
      </c>
      <c r="F200" s="72" t="s">
        <v>84</v>
      </c>
      <c r="G200" s="72" t="s">
        <v>71</v>
      </c>
      <c r="H200" s="72" t="s">
        <v>72</v>
      </c>
    </row>
    <row r="201" spans="1:8" x14ac:dyDescent="0.25">
      <c r="A201" s="43" t="s">
        <v>1082</v>
      </c>
      <c r="B201" s="43" t="s">
        <v>162</v>
      </c>
      <c r="C201" s="46">
        <v>203</v>
      </c>
      <c r="D201" s="46">
        <v>4744216.7329445407</v>
      </c>
      <c r="E201" s="43">
        <v>284653.00397667248</v>
      </c>
      <c r="F201" s="43" t="s">
        <v>70</v>
      </c>
      <c r="G201" s="43" t="s">
        <v>71</v>
      </c>
      <c r="H201" s="43" t="s">
        <v>72</v>
      </c>
    </row>
    <row r="202" spans="1:8" x14ac:dyDescent="0.25">
      <c r="A202" s="43" t="s">
        <v>417</v>
      </c>
      <c r="B202" s="43" t="s">
        <v>127</v>
      </c>
      <c r="C202" s="46">
        <v>203</v>
      </c>
      <c r="D202" s="46">
        <v>6160894.59570383</v>
      </c>
      <c r="E202" s="43">
        <v>431262.62169926806</v>
      </c>
      <c r="F202" s="43" t="s">
        <v>106</v>
      </c>
      <c r="G202" s="43" t="s">
        <v>71</v>
      </c>
      <c r="H202" s="43" t="s">
        <v>72</v>
      </c>
    </row>
    <row r="203" spans="1:8" x14ac:dyDescent="0.25">
      <c r="A203" s="72" t="s">
        <v>522</v>
      </c>
      <c r="B203" s="72" t="s">
        <v>149</v>
      </c>
      <c r="C203" s="73">
        <v>202</v>
      </c>
      <c r="D203" s="73">
        <v>5423918.1196647054</v>
      </c>
      <c r="E203" s="72">
        <v>379674.26837652933</v>
      </c>
      <c r="F203" s="72" t="s">
        <v>87</v>
      </c>
      <c r="G203" s="72" t="s">
        <v>71</v>
      </c>
      <c r="H203" s="72" t="s">
        <v>88</v>
      </c>
    </row>
    <row r="204" spans="1:8" x14ac:dyDescent="0.25">
      <c r="A204" s="72" t="s">
        <v>1382</v>
      </c>
      <c r="B204" s="72" t="s">
        <v>143</v>
      </c>
      <c r="C204" s="73">
        <v>202</v>
      </c>
      <c r="D204" s="73">
        <v>4962627.4322536876</v>
      </c>
      <c r="E204" s="72">
        <v>248131.37161268439</v>
      </c>
      <c r="F204" s="72" t="s">
        <v>87</v>
      </c>
      <c r="G204" s="72" t="s">
        <v>71</v>
      </c>
      <c r="H204" s="72" t="s">
        <v>88</v>
      </c>
    </row>
    <row r="205" spans="1:8" x14ac:dyDescent="0.25">
      <c r="A205" s="72" t="s">
        <v>228</v>
      </c>
      <c r="B205" s="72" t="s">
        <v>83</v>
      </c>
      <c r="C205" s="73">
        <v>202</v>
      </c>
      <c r="D205" s="73">
        <v>6629119.7293051779</v>
      </c>
      <c r="E205" s="72">
        <v>994367.95939577662</v>
      </c>
      <c r="F205" s="72" t="s">
        <v>84</v>
      </c>
      <c r="G205" s="72" t="s">
        <v>71</v>
      </c>
      <c r="H205" s="72" t="s">
        <v>72</v>
      </c>
    </row>
    <row r="206" spans="1:8" x14ac:dyDescent="0.25">
      <c r="A206" s="72" t="s">
        <v>774</v>
      </c>
      <c r="B206" s="72" t="s">
        <v>83</v>
      </c>
      <c r="C206" s="73">
        <v>202</v>
      </c>
      <c r="D206" s="73">
        <v>4728514.1209854502</v>
      </c>
      <c r="E206" s="72">
        <v>330995.98846898146</v>
      </c>
      <c r="F206" s="72" t="s">
        <v>84</v>
      </c>
      <c r="G206" s="72" t="s">
        <v>71</v>
      </c>
      <c r="H206" s="72" t="s">
        <v>72</v>
      </c>
    </row>
    <row r="207" spans="1:8" x14ac:dyDescent="0.25">
      <c r="A207" s="72" t="s">
        <v>891</v>
      </c>
      <c r="B207" s="72" t="s">
        <v>176</v>
      </c>
      <c r="C207" s="73">
        <v>201</v>
      </c>
      <c r="D207" s="73">
        <v>5197252.6610285388</v>
      </c>
      <c r="E207" s="72">
        <v>311835.1596617123</v>
      </c>
      <c r="F207" s="72" t="s">
        <v>87</v>
      </c>
      <c r="G207" s="72" t="s">
        <v>71</v>
      </c>
      <c r="H207" s="72" t="s">
        <v>88</v>
      </c>
    </row>
    <row r="208" spans="1:8" x14ac:dyDescent="0.25">
      <c r="A208" s="43" t="s">
        <v>244</v>
      </c>
      <c r="B208" s="43" t="s">
        <v>69</v>
      </c>
      <c r="C208" s="46">
        <v>201</v>
      </c>
      <c r="D208" s="46">
        <v>6848404.8403942073</v>
      </c>
      <c r="E208" s="43">
        <v>890292.62925124692</v>
      </c>
      <c r="F208" s="43" t="s">
        <v>78</v>
      </c>
      <c r="G208" s="43" t="s">
        <v>71</v>
      </c>
      <c r="H208" s="43" t="s">
        <v>72</v>
      </c>
    </row>
    <row r="209" spans="1:8" x14ac:dyDescent="0.25">
      <c r="A209" s="43" t="s">
        <v>288</v>
      </c>
      <c r="B209" s="43" t="s">
        <v>81</v>
      </c>
      <c r="C209" s="46">
        <v>201</v>
      </c>
      <c r="D209" s="46">
        <v>6510239.9995480934</v>
      </c>
      <c r="E209" s="43">
        <v>716126.39995029033</v>
      </c>
      <c r="F209" s="43" t="s">
        <v>78</v>
      </c>
      <c r="G209" s="43" t="s">
        <v>71</v>
      </c>
      <c r="H209" s="43" t="s">
        <v>72</v>
      </c>
    </row>
    <row r="210" spans="1:8" x14ac:dyDescent="0.25">
      <c r="A210" s="72" t="s">
        <v>673</v>
      </c>
      <c r="B210" s="72" t="s">
        <v>85</v>
      </c>
      <c r="C210" s="73">
        <v>201</v>
      </c>
      <c r="D210" s="73">
        <v>5003911.2487725019</v>
      </c>
      <c r="E210" s="72">
        <v>350273.78741407511</v>
      </c>
      <c r="F210" s="72" t="s">
        <v>70</v>
      </c>
      <c r="G210" s="72" t="s">
        <v>71</v>
      </c>
      <c r="H210" s="72" t="s">
        <v>72</v>
      </c>
    </row>
    <row r="211" spans="1:8" x14ac:dyDescent="0.25">
      <c r="A211" s="72" t="s">
        <v>1390</v>
      </c>
      <c r="B211" s="72" t="s">
        <v>83</v>
      </c>
      <c r="C211" s="73">
        <v>201</v>
      </c>
      <c r="D211" s="73">
        <v>4940395.2400884144</v>
      </c>
      <c r="E211" s="72">
        <v>247019.76200442074</v>
      </c>
      <c r="F211" s="72" t="s">
        <v>87</v>
      </c>
      <c r="G211" s="72" t="s">
        <v>71</v>
      </c>
      <c r="H211" s="72" t="s">
        <v>88</v>
      </c>
    </row>
    <row r="212" spans="1:8" x14ac:dyDescent="0.25">
      <c r="A212" s="72" t="s">
        <v>1109</v>
      </c>
      <c r="B212" s="72" t="s">
        <v>93</v>
      </c>
      <c r="C212" s="73">
        <v>200</v>
      </c>
      <c r="D212" s="73">
        <v>4682367.8956625219</v>
      </c>
      <c r="E212" s="72">
        <v>280942.07373975136</v>
      </c>
      <c r="F212" s="72" t="s">
        <v>70</v>
      </c>
      <c r="G212" s="72" t="s">
        <v>71</v>
      </c>
      <c r="H212" s="72" t="s">
        <v>72</v>
      </c>
    </row>
    <row r="213" spans="1:8" x14ac:dyDescent="0.25">
      <c r="A213" s="43" t="s">
        <v>542</v>
      </c>
      <c r="B213" s="43" t="s">
        <v>77</v>
      </c>
      <c r="C213" s="46">
        <v>200</v>
      </c>
      <c r="D213" s="46">
        <v>5374865.1023201486</v>
      </c>
      <c r="E213" s="43">
        <v>376240.55716241035</v>
      </c>
      <c r="F213" s="43" t="s">
        <v>87</v>
      </c>
      <c r="G213" s="43" t="s">
        <v>71</v>
      </c>
      <c r="H213" s="43" t="s">
        <v>88</v>
      </c>
    </row>
    <row r="214" spans="1:8" x14ac:dyDescent="0.25">
      <c r="A214" s="43" t="s">
        <v>680</v>
      </c>
      <c r="B214" s="43" t="s">
        <v>176</v>
      </c>
      <c r="C214" s="46">
        <v>200</v>
      </c>
      <c r="D214" s="46">
        <v>4981772.962457302</v>
      </c>
      <c r="E214" s="43">
        <v>348724.10737201112</v>
      </c>
      <c r="F214" s="43" t="s">
        <v>70</v>
      </c>
      <c r="G214" s="43" t="s">
        <v>71</v>
      </c>
      <c r="H214" s="43" t="s">
        <v>72</v>
      </c>
    </row>
    <row r="215" spans="1:8" x14ac:dyDescent="0.25">
      <c r="A215" s="72" t="s">
        <v>293</v>
      </c>
      <c r="B215" s="72" t="s">
        <v>100</v>
      </c>
      <c r="C215" s="73">
        <v>200</v>
      </c>
      <c r="D215" s="73">
        <v>6393748.2616113527</v>
      </c>
      <c r="E215" s="72">
        <v>703312.30877724884</v>
      </c>
      <c r="F215" s="72" t="s">
        <v>78</v>
      </c>
      <c r="G215" s="72" t="s">
        <v>71</v>
      </c>
      <c r="H215" s="72" t="s">
        <v>72</v>
      </c>
    </row>
    <row r="216" spans="1:8" x14ac:dyDescent="0.25">
      <c r="A216" s="72" t="s">
        <v>543</v>
      </c>
      <c r="B216" s="72" t="s">
        <v>202</v>
      </c>
      <c r="C216" s="73">
        <v>200</v>
      </c>
      <c r="D216" s="73">
        <v>5374865.1023201486</v>
      </c>
      <c r="E216" s="72">
        <v>376240.55716241035</v>
      </c>
      <c r="F216" s="72" t="s">
        <v>87</v>
      </c>
      <c r="G216" s="72" t="s">
        <v>71</v>
      </c>
      <c r="H216" s="72" t="s">
        <v>88</v>
      </c>
    </row>
    <row r="217" spans="1:8" x14ac:dyDescent="0.25">
      <c r="A217" s="43" t="s">
        <v>2446</v>
      </c>
      <c r="B217" s="43" t="s">
        <v>160</v>
      </c>
      <c r="C217" s="46">
        <v>200</v>
      </c>
      <c r="D217" s="46">
        <v>5082245.4266310493</v>
      </c>
      <c r="E217" s="43">
        <v>152467.36279893151</v>
      </c>
      <c r="F217" s="43" t="s">
        <v>106</v>
      </c>
      <c r="G217" s="43" t="s">
        <v>71</v>
      </c>
      <c r="H217" s="43" t="s">
        <v>72</v>
      </c>
    </row>
    <row r="218" spans="1:8" x14ac:dyDescent="0.25">
      <c r="A218" s="72" t="s">
        <v>1721</v>
      </c>
      <c r="B218" s="72" t="s">
        <v>77</v>
      </c>
      <c r="C218" s="73">
        <v>200</v>
      </c>
      <c r="D218" s="73">
        <v>4270629.7122249091</v>
      </c>
      <c r="E218" s="72">
        <v>213531.48561124547</v>
      </c>
      <c r="F218" s="72" t="s">
        <v>70</v>
      </c>
      <c r="G218" s="72" t="s">
        <v>71</v>
      </c>
      <c r="H218" s="72" t="s">
        <v>72</v>
      </c>
    </row>
    <row r="219" spans="1:8" x14ac:dyDescent="0.25">
      <c r="A219" s="43" t="s">
        <v>1722</v>
      </c>
      <c r="B219" s="43" t="s">
        <v>75</v>
      </c>
      <c r="C219" s="46">
        <v>200</v>
      </c>
      <c r="D219" s="46">
        <v>4270629.7122249091</v>
      </c>
      <c r="E219" s="43">
        <v>213531.48561124547</v>
      </c>
      <c r="F219" s="43" t="s">
        <v>70</v>
      </c>
      <c r="G219" s="43" t="s">
        <v>71</v>
      </c>
      <c r="H219" s="43" t="s">
        <v>72</v>
      </c>
    </row>
    <row r="220" spans="1:8" x14ac:dyDescent="0.25">
      <c r="A220" s="72" t="s">
        <v>287</v>
      </c>
      <c r="B220" s="72" t="s">
        <v>115</v>
      </c>
      <c r="C220" s="73">
        <v>200</v>
      </c>
      <c r="D220" s="73">
        <v>6014391.0792393852</v>
      </c>
      <c r="E220" s="72">
        <v>721726.92950872623</v>
      </c>
      <c r="F220" s="72" t="s">
        <v>84</v>
      </c>
      <c r="G220" s="72" t="s">
        <v>71</v>
      </c>
      <c r="H220" s="72" t="s">
        <v>72</v>
      </c>
    </row>
    <row r="221" spans="1:8" x14ac:dyDescent="0.25">
      <c r="A221" s="72" t="s">
        <v>2078</v>
      </c>
      <c r="B221" s="72" t="s">
        <v>93</v>
      </c>
      <c r="C221" s="73">
        <v>200</v>
      </c>
      <c r="D221" s="73">
        <v>4547166.9303622963</v>
      </c>
      <c r="E221" s="72">
        <v>181886.67721449185</v>
      </c>
      <c r="F221" s="72" t="s">
        <v>87</v>
      </c>
      <c r="G221" s="72" t="s">
        <v>71</v>
      </c>
      <c r="H221" s="72" t="s">
        <v>88</v>
      </c>
    </row>
    <row r="222" spans="1:8" x14ac:dyDescent="0.25">
      <c r="A222" s="43" t="s">
        <v>455</v>
      </c>
      <c r="B222" s="43" t="s">
        <v>160</v>
      </c>
      <c r="C222" s="46">
        <v>199</v>
      </c>
      <c r="D222" s="46">
        <v>5009101.4803921664</v>
      </c>
      <c r="E222" s="43">
        <v>400728.11843137332</v>
      </c>
      <c r="F222" s="43" t="s">
        <v>84</v>
      </c>
      <c r="G222" s="43" t="s">
        <v>71</v>
      </c>
      <c r="H222" s="43" t="s">
        <v>72</v>
      </c>
    </row>
    <row r="223" spans="1:8" x14ac:dyDescent="0.25">
      <c r="A223" s="72" t="s">
        <v>534</v>
      </c>
      <c r="B223" s="72" t="s">
        <v>83</v>
      </c>
      <c r="C223" s="73">
        <v>199</v>
      </c>
      <c r="D223" s="73">
        <v>5392812.7371420059</v>
      </c>
      <c r="E223" s="72">
        <v>377496.89159994037</v>
      </c>
      <c r="F223" s="72" t="s">
        <v>78</v>
      </c>
      <c r="G223" s="72" t="s">
        <v>71</v>
      </c>
      <c r="H223" s="72" t="s">
        <v>72</v>
      </c>
    </row>
    <row r="224" spans="1:8" x14ac:dyDescent="0.25">
      <c r="A224" s="72" t="s">
        <v>1733</v>
      </c>
      <c r="B224" s="72" t="s">
        <v>112</v>
      </c>
      <c r="C224" s="73">
        <v>199</v>
      </c>
      <c r="D224" s="73">
        <v>4252022.1124448739</v>
      </c>
      <c r="E224" s="72">
        <v>212601.10562224372</v>
      </c>
      <c r="F224" s="72" t="s">
        <v>70</v>
      </c>
      <c r="G224" s="72" t="s">
        <v>71</v>
      </c>
      <c r="H224" s="72" t="s">
        <v>72</v>
      </c>
    </row>
    <row r="225" spans="1:8" x14ac:dyDescent="0.25">
      <c r="A225" s="72" t="s">
        <v>1117</v>
      </c>
      <c r="B225" s="72" t="s">
        <v>112</v>
      </c>
      <c r="C225" s="73">
        <v>199</v>
      </c>
      <c r="D225" s="73">
        <v>4661701.6049652994</v>
      </c>
      <c r="E225" s="72">
        <v>279702.096297918</v>
      </c>
      <c r="F225" s="72" t="s">
        <v>70</v>
      </c>
      <c r="G225" s="72" t="s">
        <v>71</v>
      </c>
      <c r="H225" s="72" t="s">
        <v>72</v>
      </c>
    </row>
    <row r="226" spans="1:8" x14ac:dyDescent="0.25">
      <c r="A226" s="72" t="s">
        <v>687</v>
      </c>
      <c r="B226" s="72" t="s">
        <v>93</v>
      </c>
      <c r="C226" s="73">
        <v>199</v>
      </c>
      <c r="D226" s="73">
        <v>4959609.6464261059</v>
      </c>
      <c r="E226" s="72">
        <v>347172.67524982739</v>
      </c>
      <c r="F226" s="72" t="s">
        <v>70</v>
      </c>
      <c r="G226" s="72" t="s">
        <v>71</v>
      </c>
      <c r="H226" s="72" t="s">
        <v>72</v>
      </c>
    </row>
    <row r="227" spans="1:8" x14ac:dyDescent="0.25">
      <c r="A227" s="43" t="s">
        <v>1734</v>
      </c>
      <c r="B227" s="43" t="s">
        <v>93</v>
      </c>
      <c r="C227" s="46">
        <v>199</v>
      </c>
      <c r="D227" s="46">
        <v>4252022.1124448739</v>
      </c>
      <c r="E227" s="43">
        <v>212601.10562224372</v>
      </c>
      <c r="F227" s="43" t="s">
        <v>70</v>
      </c>
      <c r="G227" s="43" t="s">
        <v>71</v>
      </c>
      <c r="H227" s="43" t="s">
        <v>72</v>
      </c>
    </row>
    <row r="228" spans="1:8" x14ac:dyDescent="0.25">
      <c r="A228" s="43" t="s">
        <v>307</v>
      </c>
      <c r="B228" s="43" t="s">
        <v>92</v>
      </c>
      <c r="C228" s="46">
        <v>198</v>
      </c>
      <c r="D228" s="46">
        <v>6164039.2695054188</v>
      </c>
      <c r="E228" s="43">
        <v>678044.3196455962</v>
      </c>
      <c r="F228" s="43" t="s">
        <v>78</v>
      </c>
      <c r="G228" s="43" t="s">
        <v>71</v>
      </c>
      <c r="H228" s="43" t="s">
        <v>72</v>
      </c>
    </row>
    <row r="229" spans="1:8" x14ac:dyDescent="0.25">
      <c r="A229" s="43" t="s">
        <v>694</v>
      </c>
      <c r="B229" s="43" t="s">
        <v>102</v>
      </c>
      <c r="C229" s="46">
        <v>198</v>
      </c>
      <c r="D229" s="46">
        <v>4937421.2647510823</v>
      </c>
      <c r="E229" s="43">
        <v>345619.48853257572</v>
      </c>
      <c r="F229" s="43" t="s">
        <v>70</v>
      </c>
      <c r="G229" s="43" t="s">
        <v>71</v>
      </c>
      <c r="H229" s="43" t="s">
        <v>72</v>
      </c>
    </row>
    <row r="230" spans="1:8" x14ac:dyDescent="0.25">
      <c r="A230" s="43" t="s">
        <v>1209</v>
      </c>
      <c r="B230" s="43" t="s">
        <v>105</v>
      </c>
      <c r="C230" s="46">
        <v>197</v>
      </c>
      <c r="D230" s="46">
        <v>5348843.5289663756</v>
      </c>
      <c r="E230" s="43">
        <v>267442.17644831882</v>
      </c>
      <c r="F230" s="43" t="s">
        <v>106</v>
      </c>
      <c r="G230" s="43" t="s">
        <v>71</v>
      </c>
      <c r="H230" s="43" t="s">
        <v>72</v>
      </c>
    </row>
    <row r="231" spans="1:8" x14ac:dyDescent="0.25">
      <c r="A231" s="43" t="s">
        <v>1428</v>
      </c>
      <c r="B231" s="43" t="s">
        <v>77</v>
      </c>
      <c r="C231" s="46">
        <v>197</v>
      </c>
      <c r="D231" s="46">
        <v>4851252.2251967257</v>
      </c>
      <c r="E231" s="43">
        <v>242562.6112598363</v>
      </c>
      <c r="F231" s="43" t="s">
        <v>87</v>
      </c>
      <c r="G231" s="43" t="s">
        <v>71</v>
      </c>
      <c r="H231" s="43" t="s">
        <v>88</v>
      </c>
    </row>
    <row r="232" spans="1:8" x14ac:dyDescent="0.25">
      <c r="A232" s="72" t="s">
        <v>2108</v>
      </c>
      <c r="B232" s="72" t="s">
        <v>93</v>
      </c>
      <c r="C232" s="73">
        <v>197</v>
      </c>
      <c r="D232" s="73">
        <v>4485842.1269072024</v>
      </c>
      <c r="E232" s="72">
        <v>179433.68507628809</v>
      </c>
      <c r="F232" s="72" t="s">
        <v>87</v>
      </c>
      <c r="G232" s="72" t="s">
        <v>71</v>
      </c>
      <c r="H232" s="72" t="s">
        <v>88</v>
      </c>
    </row>
    <row r="233" spans="1:8" x14ac:dyDescent="0.25">
      <c r="A233" s="72" t="s">
        <v>1141</v>
      </c>
      <c r="B233" s="72" t="s">
        <v>73</v>
      </c>
      <c r="C233" s="73">
        <v>197</v>
      </c>
      <c r="D233" s="73">
        <v>4620293.7906664843</v>
      </c>
      <c r="E233" s="72">
        <v>277217.62743998913</v>
      </c>
      <c r="F233" s="72" t="s">
        <v>70</v>
      </c>
      <c r="G233" s="72" t="s">
        <v>71</v>
      </c>
      <c r="H233" s="72" t="s">
        <v>72</v>
      </c>
    </row>
    <row r="234" spans="1:8" x14ac:dyDescent="0.25">
      <c r="A234" s="72" t="s">
        <v>247</v>
      </c>
      <c r="B234" s="72" t="s">
        <v>83</v>
      </c>
      <c r="C234" s="73">
        <v>196</v>
      </c>
      <c r="D234" s="73">
        <v>6281483.1369722309</v>
      </c>
      <c r="E234" s="72">
        <v>879407.63917611225</v>
      </c>
      <c r="F234" s="72" t="s">
        <v>84</v>
      </c>
      <c r="G234" s="72" t="s">
        <v>71</v>
      </c>
      <c r="H234" s="72" t="s">
        <v>72</v>
      </c>
    </row>
    <row r="235" spans="1:8" x14ac:dyDescent="0.25">
      <c r="A235" s="72" t="s">
        <v>575</v>
      </c>
      <c r="B235" s="72" t="s">
        <v>75</v>
      </c>
      <c r="C235" s="73">
        <v>196</v>
      </c>
      <c r="D235" s="73">
        <v>5276501.7629115311</v>
      </c>
      <c r="E235" s="72">
        <v>369355.12340380717</v>
      </c>
      <c r="F235" s="72" t="s">
        <v>87</v>
      </c>
      <c r="G235" s="72" t="s">
        <v>71</v>
      </c>
      <c r="H235" s="72" t="s">
        <v>88</v>
      </c>
    </row>
    <row r="236" spans="1:8" x14ac:dyDescent="0.25">
      <c r="A236" s="72" t="s">
        <v>1767</v>
      </c>
      <c r="B236" s="72" t="s">
        <v>162</v>
      </c>
      <c r="C236" s="73">
        <v>196</v>
      </c>
      <c r="D236" s="73">
        <v>4196048.7753051417</v>
      </c>
      <c r="E236" s="72">
        <v>209802.4387652571</v>
      </c>
      <c r="F236" s="72" t="s">
        <v>70</v>
      </c>
      <c r="G236" s="72" t="s">
        <v>71</v>
      </c>
      <c r="H236" s="72" t="s">
        <v>72</v>
      </c>
    </row>
    <row r="237" spans="1:8" x14ac:dyDescent="0.25">
      <c r="A237" s="43" t="s">
        <v>584</v>
      </c>
      <c r="B237" s="43" t="s">
        <v>77</v>
      </c>
      <c r="C237" s="46">
        <v>195</v>
      </c>
      <c r="D237" s="46">
        <v>5251857.1701530144</v>
      </c>
      <c r="E237" s="43">
        <v>367630.00191071094</v>
      </c>
      <c r="F237" s="43" t="s">
        <v>87</v>
      </c>
      <c r="G237" s="43" t="s">
        <v>71</v>
      </c>
      <c r="H237" s="43" t="s">
        <v>88</v>
      </c>
    </row>
    <row r="238" spans="1:8" x14ac:dyDescent="0.25">
      <c r="A238" s="43" t="s">
        <v>1772</v>
      </c>
      <c r="B238" s="43" t="s">
        <v>73</v>
      </c>
      <c r="C238" s="46">
        <v>195</v>
      </c>
      <c r="D238" s="46">
        <v>4177340.6969319694</v>
      </c>
      <c r="E238" s="43">
        <v>208867.03484659849</v>
      </c>
      <c r="F238" s="43" t="s">
        <v>70</v>
      </c>
      <c r="G238" s="43" t="s">
        <v>71</v>
      </c>
      <c r="H238" s="43" t="s">
        <v>72</v>
      </c>
    </row>
    <row r="239" spans="1:8" x14ac:dyDescent="0.25">
      <c r="A239" s="72" t="s">
        <v>2620</v>
      </c>
      <c r="B239" s="72" t="s">
        <v>101</v>
      </c>
      <c r="C239" s="73">
        <v>195</v>
      </c>
      <c r="D239" s="73">
        <v>4702006.3879300794</v>
      </c>
      <c r="E239" s="72">
        <v>141060.1916379024</v>
      </c>
      <c r="F239" s="72" t="s">
        <v>106</v>
      </c>
      <c r="G239" s="72" t="s">
        <v>71</v>
      </c>
      <c r="H239" s="72" t="s">
        <v>72</v>
      </c>
    </row>
    <row r="240" spans="1:8" x14ac:dyDescent="0.25">
      <c r="A240" s="43" t="s">
        <v>712</v>
      </c>
      <c r="B240" s="43" t="s">
        <v>97</v>
      </c>
      <c r="C240" s="46">
        <v>195</v>
      </c>
      <c r="D240" s="46">
        <v>4870705.3659085529</v>
      </c>
      <c r="E240" s="43">
        <v>340949.37561359868</v>
      </c>
      <c r="F240" s="43" t="s">
        <v>70</v>
      </c>
      <c r="G240" s="43" t="s">
        <v>71</v>
      </c>
      <c r="H240" s="43" t="s">
        <v>72</v>
      </c>
    </row>
    <row r="241" spans="1:8" x14ac:dyDescent="0.25">
      <c r="A241" s="43" t="s">
        <v>1454</v>
      </c>
      <c r="B241" s="43" t="s">
        <v>143</v>
      </c>
      <c r="C241" s="46">
        <v>195</v>
      </c>
      <c r="D241" s="46">
        <v>4806551.8035928737</v>
      </c>
      <c r="E241" s="43">
        <v>240327.59017964371</v>
      </c>
      <c r="F241" s="43" t="s">
        <v>87</v>
      </c>
      <c r="G241" s="43" t="s">
        <v>71</v>
      </c>
      <c r="H241" s="43" t="s">
        <v>88</v>
      </c>
    </row>
    <row r="242" spans="1:8" x14ac:dyDescent="0.25">
      <c r="A242" s="43" t="s">
        <v>942</v>
      </c>
      <c r="B242" s="43" t="s">
        <v>77</v>
      </c>
      <c r="C242" s="46">
        <v>195</v>
      </c>
      <c r="D242" s="46">
        <v>5055741.8388332939</v>
      </c>
      <c r="E242" s="43">
        <v>303344.51032999763</v>
      </c>
      <c r="F242" s="43" t="s">
        <v>87</v>
      </c>
      <c r="G242" s="43" t="s">
        <v>71</v>
      </c>
      <c r="H242" s="43" t="s">
        <v>88</v>
      </c>
    </row>
    <row r="243" spans="1:8" x14ac:dyDescent="0.25">
      <c r="A243" s="43" t="s">
        <v>264</v>
      </c>
      <c r="B243" s="43" t="s">
        <v>92</v>
      </c>
      <c r="C243" s="46">
        <v>195</v>
      </c>
      <c r="D243" s="46">
        <v>6072760.9331059493</v>
      </c>
      <c r="E243" s="43">
        <v>789458.92130377342</v>
      </c>
      <c r="F243" s="43" t="s">
        <v>84</v>
      </c>
      <c r="G243" s="43" t="s">
        <v>71</v>
      </c>
      <c r="H243" s="43" t="s">
        <v>72</v>
      </c>
    </row>
    <row r="244" spans="1:8" x14ac:dyDescent="0.25">
      <c r="A244" s="72" t="s">
        <v>951</v>
      </c>
      <c r="B244" s="72" t="s">
        <v>132</v>
      </c>
      <c r="C244" s="73">
        <v>194</v>
      </c>
      <c r="D244" s="73">
        <v>5032081.4100743271</v>
      </c>
      <c r="E244" s="72">
        <v>301924.88460445963</v>
      </c>
      <c r="F244" s="72" t="s">
        <v>87</v>
      </c>
      <c r="G244" s="72" t="s">
        <v>71</v>
      </c>
      <c r="H244" s="72" t="s">
        <v>88</v>
      </c>
    </row>
    <row r="245" spans="1:8" x14ac:dyDescent="0.25">
      <c r="A245" s="43" t="s">
        <v>952</v>
      </c>
      <c r="B245" s="43" t="s">
        <v>149</v>
      </c>
      <c r="C245" s="46">
        <v>194</v>
      </c>
      <c r="D245" s="46">
        <v>5032081.4100743271</v>
      </c>
      <c r="E245" s="43">
        <v>301924.88460445963</v>
      </c>
      <c r="F245" s="43" t="s">
        <v>87</v>
      </c>
      <c r="G245" s="43" t="s">
        <v>71</v>
      </c>
      <c r="H245" s="43" t="s">
        <v>88</v>
      </c>
    </row>
    <row r="246" spans="1:8" x14ac:dyDescent="0.25">
      <c r="A246" s="72" t="s">
        <v>294</v>
      </c>
      <c r="B246" s="72" t="s">
        <v>92</v>
      </c>
      <c r="C246" s="73">
        <v>194</v>
      </c>
      <c r="D246" s="73">
        <v>5854260.7682894021</v>
      </c>
      <c r="E246" s="72">
        <v>702511.29219472827</v>
      </c>
      <c r="F246" s="72" t="s">
        <v>84</v>
      </c>
      <c r="G246" s="72" t="s">
        <v>71</v>
      </c>
      <c r="H246" s="72" t="s">
        <v>72</v>
      </c>
    </row>
    <row r="247" spans="1:8" x14ac:dyDescent="0.25">
      <c r="A247" s="72" t="s">
        <v>1791</v>
      </c>
      <c r="B247" s="72" t="s">
        <v>85</v>
      </c>
      <c r="C247" s="73">
        <v>194</v>
      </c>
      <c r="D247" s="73">
        <v>4158607.4087525336</v>
      </c>
      <c r="E247" s="72">
        <v>207930.3704376267</v>
      </c>
      <c r="F247" s="72" t="s">
        <v>70</v>
      </c>
      <c r="G247" s="72" t="s">
        <v>71</v>
      </c>
      <c r="H247" s="72" t="s">
        <v>72</v>
      </c>
    </row>
    <row r="248" spans="1:8" x14ac:dyDescent="0.25">
      <c r="A248" s="43" t="s">
        <v>1352</v>
      </c>
      <c r="B248" s="43" t="s">
        <v>176</v>
      </c>
      <c r="C248" s="46">
        <v>193</v>
      </c>
      <c r="D248" s="46">
        <v>5018374.7892271522</v>
      </c>
      <c r="E248" s="43">
        <v>250918.73946135762</v>
      </c>
      <c r="F248" s="43" t="s">
        <v>106</v>
      </c>
      <c r="G248" s="43" t="s">
        <v>71</v>
      </c>
      <c r="H248" s="43" t="s">
        <v>72</v>
      </c>
    </row>
    <row r="249" spans="1:8" x14ac:dyDescent="0.25">
      <c r="A249" s="43" t="s">
        <v>419</v>
      </c>
      <c r="B249" s="43" t="s">
        <v>77</v>
      </c>
      <c r="C249" s="46">
        <v>193</v>
      </c>
      <c r="D249" s="46">
        <v>5365031.7481137197</v>
      </c>
      <c r="E249" s="43">
        <v>429202.53984909761</v>
      </c>
      <c r="F249" s="43" t="s">
        <v>87</v>
      </c>
      <c r="G249" s="43" t="s">
        <v>71</v>
      </c>
      <c r="H249" s="43" t="s">
        <v>88</v>
      </c>
    </row>
    <row r="250" spans="1:8" x14ac:dyDescent="0.25">
      <c r="A250" s="72" t="s">
        <v>424</v>
      </c>
      <c r="B250" s="72" t="s">
        <v>176</v>
      </c>
      <c r="C250" s="73">
        <v>192</v>
      </c>
      <c r="D250" s="73">
        <v>5281665.6234381627</v>
      </c>
      <c r="E250" s="72">
        <v>422533.24987505301</v>
      </c>
      <c r="F250" s="72" t="s">
        <v>106</v>
      </c>
      <c r="G250" s="72" t="s">
        <v>71</v>
      </c>
      <c r="H250" s="72" t="s">
        <v>72</v>
      </c>
    </row>
    <row r="251" spans="1:8" x14ac:dyDescent="0.25">
      <c r="A251" s="72" t="s">
        <v>1787</v>
      </c>
      <c r="B251" s="72" t="s">
        <v>69</v>
      </c>
      <c r="C251" s="73">
        <v>192</v>
      </c>
      <c r="D251" s="73">
        <v>4159572.5979050756</v>
      </c>
      <c r="E251" s="72">
        <v>207978.62989525381</v>
      </c>
      <c r="F251" s="72" t="s">
        <v>78</v>
      </c>
      <c r="G251" s="72" t="s">
        <v>71</v>
      </c>
      <c r="H251" s="72" t="s">
        <v>72</v>
      </c>
    </row>
    <row r="252" spans="1:8" x14ac:dyDescent="0.25">
      <c r="A252" s="72" t="s">
        <v>1806</v>
      </c>
      <c r="B252" s="72" t="s">
        <v>112</v>
      </c>
      <c r="C252" s="73">
        <v>192</v>
      </c>
      <c r="D252" s="73">
        <v>4121065.0583149432</v>
      </c>
      <c r="E252" s="72">
        <v>206053.25291574717</v>
      </c>
      <c r="F252" s="72" t="s">
        <v>70</v>
      </c>
      <c r="G252" s="72" t="s">
        <v>71</v>
      </c>
      <c r="H252" s="72" t="s">
        <v>72</v>
      </c>
    </row>
    <row r="253" spans="1:8" x14ac:dyDescent="0.25">
      <c r="A253" s="43" t="s">
        <v>1788</v>
      </c>
      <c r="B253" s="43" t="s">
        <v>92</v>
      </c>
      <c r="C253" s="46">
        <v>192</v>
      </c>
      <c r="D253" s="46">
        <v>4159572.5979050756</v>
      </c>
      <c r="E253" s="43">
        <v>207978.62989525381</v>
      </c>
      <c r="F253" s="43" t="s">
        <v>78</v>
      </c>
      <c r="G253" s="43" t="s">
        <v>71</v>
      </c>
      <c r="H253" s="43" t="s">
        <v>72</v>
      </c>
    </row>
    <row r="254" spans="1:8" x14ac:dyDescent="0.25">
      <c r="A254" s="72" t="s">
        <v>618</v>
      </c>
      <c r="B254" s="72" t="s">
        <v>77</v>
      </c>
      <c r="C254" s="73">
        <v>192</v>
      </c>
      <c r="D254" s="73">
        <v>5177793.9527920838</v>
      </c>
      <c r="E254" s="72">
        <v>362445.57669544581</v>
      </c>
      <c r="F254" s="72" t="s">
        <v>87</v>
      </c>
      <c r="G254" s="72" t="s">
        <v>71</v>
      </c>
      <c r="H254" s="72" t="s">
        <v>88</v>
      </c>
    </row>
    <row r="255" spans="1:8" x14ac:dyDescent="0.25">
      <c r="A255" s="72" t="s">
        <v>358</v>
      </c>
      <c r="B255" s="72" t="s">
        <v>257</v>
      </c>
      <c r="C255" s="73">
        <v>192</v>
      </c>
      <c r="D255" s="73">
        <v>5439211.9407149106</v>
      </c>
      <c r="E255" s="72">
        <v>543921.19407149113</v>
      </c>
      <c r="F255" s="72" t="s">
        <v>106</v>
      </c>
      <c r="G255" s="72" t="s">
        <v>71</v>
      </c>
      <c r="H255" s="72" t="s">
        <v>72</v>
      </c>
    </row>
    <row r="256" spans="1:8" x14ac:dyDescent="0.25">
      <c r="A256" s="72" t="s">
        <v>1503</v>
      </c>
      <c r="B256" s="72" t="s">
        <v>113</v>
      </c>
      <c r="C256" s="73">
        <v>191</v>
      </c>
      <c r="D256" s="73">
        <v>4716892.082073912</v>
      </c>
      <c r="E256" s="72">
        <v>235844.6041036956</v>
      </c>
      <c r="F256" s="72" t="s">
        <v>87</v>
      </c>
      <c r="G256" s="72" t="s">
        <v>71</v>
      </c>
      <c r="H256" s="72" t="s">
        <v>88</v>
      </c>
    </row>
    <row r="257" spans="1:8" x14ac:dyDescent="0.25">
      <c r="A257" s="72" t="s">
        <v>268</v>
      </c>
      <c r="B257" s="72" t="s">
        <v>83</v>
      </c>
      <c r="C257" s="73">
        <v>191</v>
      </c>
      <c r="D257" s="73">
        <v>5961575.1080315746</v>
      </c>
      <c r="E257" s="72">
        <v>775004.76404410473</v>
      </c>
      <c r="F257" s="72" t="s">
        <v>84</v>
      </c>
      <c r="G257" s="72" t="s">
        <v>71</v>
      </c>
      <c r="H257" s="72" t="s">
        <v>72</v>
      </c>
    </row>
    <row r="258" spans="1:8" x14ac:dyDescent="0.25">
      <c r="A258" s="72" t="s">
        <v>240</v>
      </c>
      <c r="B258" s="72" t="s">
        <v>115</v>
      </c>
      <c r="C258" s="73">
        <v>191</v>
      </c>
      <c r="D258" s="73">
        <v>6304792.0583913969</v>
      </c>
      <c r="E258" s="72">
        <v>945718.80875870946</v>
      </c>
      <c r="F258" s="72" t="s">
        <v>84</v>
      </c>
      <c r="G258" s="72" t="s">
        <v>71</v>
      </c>
      <c r="H258" s="72" t="s">
        <v>72</v>
      </c>
    </row>
    <row r="259" spans="1:8" x14ac:dyDescent="0.25">
      <c r="A259" s="72" t="s">
        <v>875</v>
      </c>
      <c r="B259" s="72" t="s">
        <v>92</v>
      </c>
      <c r="C259" s="73">
        <v>191</v>
      </c>
      <c r="D259" s="73">
        <v>4507684.7752771992</v>
      </c>
      <c r="E259" s="72">
        <v>315537.93426940392</v>
      </c>
      <c r="F259" s="72" t="s">
        <v>84</v>
      </c>
      <c r="G259" s="72" t="s">
        <v>71</v>
      </c>
      <c r="H259" s="72" t="s">
        <v>72</v>
      </c>
    </row>
    <row r="260" spans="1:8" x14ac:dyDescent="0.25">
      <c r="A260" s="72" t="s">
        <v>735</v>
      </c>
      <c r="B260" s="72" t="s">
        <v>155</v>
      </c>
      <c r="C260" s="73">
        <v>190</v>
      </c>
      <c r="D260" s="73">
        <v>4815302.0318994066</v>
      </c>
      <c r="E260" s="72">
        <v>337071.1422329584</v>
      </c>
      <c r="F260" s="72" t="s">
        <v>78</v>
      </c>
      <c r="G260" s="72" t="s">
        <v>71</v>
      </c>
      <c r="H260" s="72" t="s">
        <v>72</v>
      </c>
    </row>
    <row r="261" spans="1:8" x14ac:dyDescent="0.25">
      <c r="A261" s="72" t="s">
        <v>301</v>
      </c>
      <c r="B261" s="72" t="s">
        <v>101</v>
      </c>
      <c r="C261" s="73">
        <v>190</v>
      </c>
      <c r="D261" s="73">
        <v>5746882.5464635324</v>
      </c>
      <c r="E261" s="72">
        <v>689625.90557562385</v>
      </c>
      <c r="F261" s="72" t="s">
        <v>84</v>
      </c>
      <c r="G261" s="72" t="s">
        <v>71</v>
      </c>
      <c r="H261" s="72" t="s">
        <v>72</v>
      </c>
    </row>
    <row r="262" spans="1:8" x14ac:dyDescent="0.25">
      <c r="A262" s="72" t="s">
        <v>758</v>
      </c>
      <c r="B262" s="72" t="s">
        <v>89</v>
      </c>
      <c r="C262" s="73">
        <v>190</v>
      </c>
      <c r="D262" s="73">
        <v>4759007.5219397349</v>
      </c>
      <c r="E262" s="72">
        <v>333130.52653578139</v>
      </c>
      <c r="F262" s="72" t="s">
        <v>70</v>
      </c>
      <c r="G262" s="72" t="s">
        <v>71</v>
      </c>
      <c r="H262" s="72" t="s">
        <v>72</v>
      </c>
    </row>
    <row r="263" spans="1:8" x14ac:dyDescent="0.25">
      <c r="A263" s="43" t="s">
        <v>302</v>
      </c>
      <c r="B263" s="43" t="s">
        <v>115</v>
      </c>
      <c r="C263" s="46">
        <v>190</v>
      </c>
      <c r="D263" s="46">
        <v>5746882.5464635324</v>
      </c>
      <c r="E263" s="43">
        <v>689625.90557562385</v>
      </c>
      <c r="F263" s="43" t="s">
        <v>84</v>
      </c>
      <c r="G263" s="43" t="s">
        <v>71</v>
      </c>
      <c r="H263" s="43" t="s">
        <v>72</v>
      </c>
    </row>
    <row r="264" spans="1:8" x14ac:dyDescent="0.25">
      <c r="A264" s="72" t="s">
        <v>361</v>
      </c>
      <c r="B264" s="72" t="s">
        <v>127</v>
      </c>
      <c r="C264" s="73">
        <v>190</v>
      </c>
      <c r="D264" s="73">
        <v>5262051.9852729524</v>
      </c>
      <c r="E264" s="72">
        <v>526205.19852729526</v>
      </c>
      <c r="F264" s="72" t="s">
        <v>106</v>
      </c>
      <c r="G264" s="72" t="s">
        <v>71</v>
      </c>
      <c r="H264" s="72" t="s">
        <v>72</v>
      </c>
    </row>
    <row r="265" spans="1:8" x14ac:dyDescent="0.25">
      <c r="A265" s="72" t="s">
        <v>347</v>
      </c>
      <c r="B265" s="72" t="s">
        <v>149</v>
      </c>
      <c r="C265" s="73">
        <v>189</v>
      </c>
      <c r="D265" s="73">
        <v>5238301.779291966</v>
      </c>
      <c r="E265" s="72">
        <v>576213.19572211639</v>
      </c>
      <c r="F265" s="72" t="s">
        <v>106</v>
      </c>
      <c r="G265" s="72" t="s">
        <v>71</v>
      </c>
      <c r="H265" s="72" t="s">
        <v>72</v>
      </c>
    </row>
    <row r="266" spans="1:8" x14ac:dyDescent="0.25">
      <c r="A266" s="72" t="s">
        <v>318</v>
      </c>
      <c r="B266" s="72" t="s">
        <v>149</v>
      </c>
      <c r="C266" s="73">
        <v>189</v>
      </c>
      <c r="D266" s="73">
        <v>5296651.0889601149</v>
      </c>
      <c r="E266" s="72">
        <v>635598.13067521376</v>
      </c>
      <c r="F266" s="72" t="s">
        <v>106</v>
      </c>
      <c r="G266" s="72" t="s">
        <v>71</v>
      </c>
      <c r="H266" s="72" t="s">
        <v>72</v>
      </c>
    </row>
    <row r="267" spans="1:8" x14ac:dyDescent="0.25">
      <c r="A267" s="43" t="s">
        <v>1211</v>
      </c>
      <c r="B267" s="43" t="s">
        <v>143</v>
      </c>
      <c r="C267" s="46">
        <v>189</v>
      </c>
      <c r="D267" s="46">
        <v>4453654.137144722</v>
      </c>
      <c r="E267" s="43">
        <v>267219.24822868337</v>
      </c>
      <c r="F267" s="43" t="s">
        <v>70</v>
      </c>
      <c r="G267" s="43" t="s">
        <v>71</v>
      </c>
      <c r="H267" s="43" t="s">
        <v>72</v>
      </c>
    </row>
    <row r="268" spans="1:8" x14ac:dyDescent="0.25">
      <c r="A268" s="43" t="s">
        <v>696</v>
      </c>
      <c r="B268" s="43" t="s">
        <v>127</v>
      </c>
      <c r="C268" s="46">
        <v>189</v>
      </c>
      <c r="D268" s="46">
        <v>4934411.6620449759</v>
      </c>
      <c r="E268" s="43">
        <v>345408.8163431483</v>
      </c>
      <c r="F268" s="43" t="s">
        <v>106</v>
      </c>
      <c r="G268" s="43" t="s">
        <v>71</v>
      </c>
      <c r="H268" s="43" t="s">
        <v>72</v>
      </c>
    </row>
    <row r="269" spans="1:8" x14ac:dyDescent="0.25">
      <c r="A269" s="72" t="s">
        <v>1844</v>
      </c>
      <c r="B269" s="72" t="s">
        <v>102</v>
      </c>
      <c r="C269" s="73">
        <v>188</v>
      </c>
      <c r="D269" s="73">
        <v>4045676.2459643148</v>
      </c>
      <c r="E269" s="72">
        <v>202283.81229821575</v>
      </c>
      <c r="F269" s="72" t="s">
        <v>70</v>
      </c>
      <c r="G269" s="72" t="s">
        <v>71</v>
      </c>
      <c r="H269" s="72" t="s">
        <v>72</v>
      </c>
    </row>
    <row r="270" spans="1:8" x14ac:dyDescent="0.25">
      <c r="A270" s="43" t="s">
        <v>430</v>
      </c>
      <c r="B270" s="43" t="s">
        <v>73</v>
      </c>
      <c r="C270" s="46">
        <v>188</v>
      </c>
      <c r="D270" s="46">
        <v>5237057.8633082835</v>
      </c>
      <c r="E270" s="43">
        <v>418964.62906466267</v>
      </c>
      <c r="F270" s="43" t="s">
        <v>87</v>
      </c>
      <c r="G270" s="43" t="s">
        <v>71</v>
      </c>
      <c r="H270" s="43" t="s">
        <v>88</v>
      </c>
    </row>
    <row r="271" spans="1:8" x14ac:dyDescent="0.25">
      <c r="A271" s="72" t="s">
        <v>274</v>
      </c>
      <c r="B271" s="72" t="s">
        <v>143</v>
      </c>
      <c r="C271" s="73">
        <v>188</v>
      </c>
      <c r="D271" s="73">
        <v>5834792.7151364814</v>
      </c>
      <c r="E271" s="72">
        <v>758523.05296774267</v>
      </c>
      <c r="F271" s="72" t="s">
        <v>78</v>
      </c>
      <c r="G271" s="72" t="s">
        <v>71</v>
      </c>
      <c r="H271" s="72" t="s">
        <v>72</v>
      </c>
    </row>
    <row r="272" spans="1:8" x14ac:dyDescent="0.25">
      <c r="A272" s="72" t="s">
        <v>1229</v>
      </c>
      <c r="B272" s="72" t="s">
        <v>229</v>
      </c>
      <c r="C272" s="73">
        <v>187</v>
      </c>
      <c r="D272" s="73">
        <v>4411740.6758111566</v>
      </c>
      <c r="E272" s="72">
        <v>264704.44054866943</v>
      </c>
      <c r="F272" s="72" t="s">
        <v>70</v>
      </c>
      <c r="G272" s="72" t="s">
        <v>71</v>
      </c>
      <c r="H272" s="72" t="s">
        <v>72</v>
      </c>
    </row>
    <row r="273" spans="1:8" x14ac:dyDescent="0.25">
      <c r="A273" s="43" t="s">
        <v>1032</v>
      </c>
      <c r="B273" s="43" t="s">
        <v>101</v>
      </c>
      <c r="C273" s="46">
        <v>187</v>
      </c>
      <c r="D273" s="46">
        <v>4865852.6385414768</v>
      </c>
      <c r="E273" s="43">
        <v>291951.15831248858</v>
      </c>
      <c r="F273" s="43" t="s">
        <v>87</v>
      </c>
      <c r="G273" s="43" t="s">
        <v>71</v>
      </c>
      <c r="H273" s="43" t="s">
        <v>88</v>
      </c>
    </row>
    <row r="274" spans="1:8" x14ac:dyDescent="0.25">
      <c r="A274" s="43" t="s">
        <v>2197</v>
      </c>
      <c r="B274" s="43" t="s">
        <v>77</v>
      </c>
      <c r="C274" s="46">
        <v>187</v>
      </c>
      <c r="D274" s="46">
        <v>4280024.421898257</v>
      </c>
      <c r="E274" s="43">
        <v>171200.9768759303</v>
      </c>
      <c r="F274" s="43" t="s">
        <v>87</v>
      </c>
      <c r="G274" s="43" t="s">
        <v>71</v>
      </c>
      <c r="H274" s="43" t="s">
        <v>88</v>
      </c>
    </row>
    <row r="275" spans="1:8" x14ac:dyDescent="0.25">
      <c r="A275" s="72" t="s">
        <v>1868</v>
      </c>
      <c r="B275" s="72" t="s">
        <v>97</v>
      </c>
      <c r="C275" s="73">
        <v>187</v>
      </c>
      <c r="D275" s="73">
        <v>4026765.4742969871</v>
      </c>
      <c r="E275" s="72">
        <v>201338.27371484938</v>
      </c>
      <c r="F275" s="72" t="s">
        <v>70</v>
      </c>
      <c r="G275" s="72" t="s">
        <v>71</v>
      </c>
      <c r="H275" s="72" t="s">
        <v>72</v>
      </c>
    </row>
    <row r="276" spans="1:8" x14ac:dyDescent="0.25">
      <c r="A276" s="43" t="s">
        <v>796</v>
      </c>
      <c r="B276" s="43" t="s">
        <v>79</v>
      </c>
      <c r="C276" s="46">
        <v>186</v>
      </c>
      <c r="D276" s="46">
        <v>4669192.4250382958</v>
      </c>
      <c r="E276" s="43">
        <v>326843.46975268068</v>
      </c>
      <c r="F276" s="43" t="s">
        <v>70</v>
      </c>
      <c r="G276" s="43" t="s">
        <v>71</v>
      </c>
      <c r="H276" s="43" t="s">
        <v>72</v>
      </c>
    </row>
    <row r="277" spans="1:8" x14ac:dyDescent="0.25">
      <c r="A277" s="72" t="s">
        <v>788</v>
      </c>
      <c r="B277" s="72" t="s">
        <v>176</v>
      </c>
      <c r="C277" s="73">
        <v>186</v>
      </c>
      <c r="D277" s="73">
        <v>4688323.8333797101</v>
      </c>
      <c r="E277" s="72">
        <v>328182.66833657969</v>
      </c>
      <c r="F277" s="72" t="s">
        <v>106</v>
      </c>
      <c r="G277" s="72" t="s">
        <v>71</v>
      </c>
      <c r="H277" s="72" t="s">
        <v>72</v>
      </c>
    </row>
    <row r="278" spans="1:8" x14ac:dyDescent="0.25">
      <c r="A278" s="43" t="s">
        <v>1545</v>
      </c>
      <c r="B278" s="43" t="s">
        <v>101</v>
      </c>
      <c r="C278" s="46">
        <v>186</v>
      </c>
      <c r="D278" s="46">
        <v>4604329.8590307645</v>
      </c>
      <c r="E278" s="43">
        <v>230216.49295153824</v>
      </c>
      <c r="F278" s="43" t="s">
        <v>87</v>
      </c>
      <c r="G278" s="43" t="s">
        <v>71</v>
      </c>
      <c r="H278" s="43" t="s">
        <v>88</v>
      </c>
    </row>
    <row r="279" spans="1:8" x14ac:dyDescent="0.25">
      <c r="A279" s="72" t="s">
        <v>462</v>
      </c>
      <c r="B279" s="72" t="s">
        <v>115</v>
      </c>
      <c r="C279" s="73">
        <v>186</v>
      </c>
      <c r="D279" s="73">
        <v>4958300.0582236713</v>
      </c>
      <c r="E279" s="72">
        <v>396664.00465789373</v>
      </c>
      <c r="F279" s="72" t="s">
        <v>78</v>
      </c>
      <c r="G279" s="72" t="s">
        <v>71</v>
      </c>
      <c r="H279" s="72" t="s">
        <v>72</v>
      </c>
    </row>
    <row r="280" spans="1:8" x14ac:dyDescent="0.25">
      <c r="A280" s="72" t="s">
        <v>1043</v>
      </c>
      <c r="B280" s="72" t="s">
        <v>1044</v>
      </c>
      <c r="C280" s="73">
        <v>186</v>
      </c>
      <c r="D280" s="73">
        <v>4842018.8157216273</v>
      </c>
      <c r="E280" s="72">
        <v>290521.1289432976</v>
      </c>
      <c r="F280" s="72" t="s">
        <v>87</v>
      </c>
      <c r="G280" s="72" t="s">
        <v>71</v>
      </c>
      <c r="H280" s="72" t="s">
        <v>88</v>
      </c>
    </row>
    <row r="281" spans="1:8" x14ac:dyDescent="0.25">
      <c r="A281" s="43" t="s">
        <v>435</v>
      </c>
      <c r="B281" s="43" t="s">
        <v>73</v>
      </c>
      <c r="C281" s="46">
        <v>186</v>
      </c>
      <c r="D281" s="46">
        <v>5185716.3124333946</v>
      </c>
      <c r="E281" s="43">
        <v>414857.30499467161</v>
      </c>
      <c r="F281" s="43" t="s">
        <v>87</v>
      </c>
      <c r="G281" s="43" t="s">
        <v>71</v>
      </c>
      <c r="H281" s="43" t="s">
        <v>88</v>
      </c>
    </row>
    <row r="282" spans="1:8" x14ac:dyDescent="0.25">
      <c r="A282" s="43" t="s">
        <v>478</v>
      </c>
      <c r="B282" s="43" t="s">
        <v>79</v>
      </c>
      <c r="C282" s="46">
        <v>185</v>
      </c>
      <c r="D282" s="46">
        <v>4872270.1191491382</v>
      </c>
      <c r="E282" s="43">
        <v>389781.60953193106</v>
      </c>
      <c r="F282" s="43" t="s">
        <v>70</v>
      </c>
      <c r="G282" s="43" t="s">
        <v>71</v>
      </c>
      <c r="H282" s="43" t="s">
        <v>72</v>
      </c>
    </row>
    <row r="283" spans="1:8" x14ac:dyDescent="0.25">
      <c r="A283" s="72" t="s">
        <v>342</v>
      </c>
      <c r="B283" s="72" t="s">
        <v>75</v>
      </c>
      <c r="C283" s="73">
        <v>185</v>
      </c>
      <c r="D283" s="73">
        <v>4945073.7730018822</v>
      </c>
      <c r="E283" s="72">
        <v>593408.85276022588</v>
      </c>
      <c r="F283" s="72" t="s">
        <v>106</v>
      </c>
      <c r="G283" s="72" t="s">
        <v>71</v>
      </c>
      <c r="H283" s="72" t="s">
        <v>72</v>
      </c>
    </row>
    <row r="284" spans="1:8" x14ac:dyDescent="0.25">
      <c r="A284" s="72" t="s">
        <v>479</v>
      </c>
      <c r="B284" s="72" t="s">
        <v>103</v>
      </c>
      <c r="C284" s="73">
        <v>185</v>
      </c>
      <c r="D284" s="73">
        <v>4872270.1191491382</v>
      </c>
      <c r="E284" s="72">
        <v>389781.60953193106</v>
      </c>
      <c r="F284" s="72" t="s">
        <v>70</v>
      </c>
      <c r="G284" s="72" t="s">
        <v>71</v>
      </c>
      <c r="H284" s="72" t="s">
        <v>72</v>
      </c>
    </row>
    <row r="285" spans="1:8" x14ac:dyDescent="0.25">
      <c r="A285" s="43" t="s">
        <v>480</v>
      </c>
      <c r="B285" s="43" t="s">
        <v>103</v>
      </c>
      <c r="C285" s="46">
        <v>185</v>
      </c>
      <c r="D285" s="46">
        <v>4872270.1191491382</v>
      </c>
      <c r="E285" s="43">
        <v>389781.60953193106</v>
      </c>
      <c r="F285" s="43" t="s">
        <v>70</v>
      </c>
      <c r="G285" s="43" t="s">
        <v>71</v>
      </c>
      <c r="H285" s="43" t="s">
        <v>72</v>
      </c>
    </row>
    <row r="286" spans="1:8" x14ac:dyDescent="0.25">
      <c r="A286" s="43" t="s">
        <v>2222</v>
      </c>
      <c r="B286" s="43" t="s">
        <v>151</v>
      </c>
      <c r="C286" s="46">
        <v>185</v>
      </c>
      <c r="D286" s="46">
        <v>4238600.5253924886</v>
      </c>
      <c r="E286" s="43">
        <v>169544.02101569955</v>
      </c>
      <c r="F286" s="43" t="s">
        <v>87</v>
      </c>
      <c r="G286" s="43" t="s">
        <v>71</v>
      </c>
      <c r="H286" s="43" t="s">
        <v>88</v>
      </c>
    </row>
    <row r="287" spans="1:8" x14ac:dyDescent="0.25">
      <c r="A287" s="72" t="s">
        <v>805</v>
      </c>
      <c r="B287" s="72" t="s">
        <v>211</v>
      </c>
      <c r="C287" s="73">
        <v>185</v>
      </c>
      <c r="D287" s="73">
        <v>4646674.8999871062</v>
      </c>
      <c r="E287" s="72">
        <v>325267.24299909739</v>
      </c>
      <c r="F287" s="72" t="s">
        <v>70</v>
      </c>
      <c r="G287" s="72" t="s">
        <v>71</v>
      </c>
      <c r="H287" s="72" t="s">
        <v>72</v>
      </c>
    </row>
    <row r="288" spans="1:8" x14ac:dyDescent="0.25">
      <c r="A288" s="43" t="s">
        <v>806</v>
      </c>
      <c r="B288" s="43" t="s">
        <v>86</v>
      </c>
      <c r="C288" s="46">
        <v>185</v>
      </c>
      <c r="D288" s="46">
        <v>4646674.8999871062</v>
      </c>
      <c r="E288" s="43">
        <v>325267.24299909739</v>
      </c>
      <c r="F288" s="43" t="s">
        <v>70</v>
      </c>
      <c r="G288" s="43" t="s">
        <v>71</v>
      </c>
      <c r="H288" s="43" t="s">
        <v>72</v>
      </c>
    </row>
    <row r="289" spans="1:8" x14ac:dyDescent="0.25">
      <c r="A289" s="72" t="s">
        <v>1891</v>
      </c>
      <c r="B289" s="72" t="s">
        <v>170</v>
      </c>
      <c r="C289" s="73">
        <v>184</v>
      </c>
      <c r="D289" s="73">
        <v>3969880.011333433</v>
      </c>
      <c r="E289" s="72">
        <v>198494.00056667166</v>
      </c>
      <c r="F289" s="72" t="s">
        <v>70</v>
      </c>
      <c r="G289" s="72" t="s">
        <v>71</v>
      </c>
      <c r="H289" s="72" t="s">
        <v>72</v>
      </c>
    </row>
    <row r="290" spans="1:8" x14ac:dyDescent="0.25">
      <c r="A290" s="43" t="s">
        <v>555</v>
      </c>
      <c r="B290" s="43" t="s">
        <v>143</v>
      </c>
      <c r="C290" s="46">
        <v>184</v>
      </c>
      <c r="D290" s="46">
        <v>4679960.4661267428</v>
      </c>
      <c r="E290" s="43">
        <v>374396.8372901394</v>
      </c>
      <c r="F290" s="43" t="s">
        <v>84</v>
      </c>
      <c r="G290" s="43" t="s">
        <v>71</v>
      </c>
      <c r="H290" s="43" t="s">
        <v>72</v>
      </c>
    </row>
    <row r="291" spans="1:8" x14ac:dyDescent="0.25">
      <c r="A291" s="43" t="s">
        <v>343</v>
      </c>
      <c r="B291" s="43" t="s">
        <v>92</v>
      </c>
      <c r="C291" s="46">
        <v>184</v>
      </c>
      <c r="D291" s="46">
        <v>5390496.4039785769</v>
      </c>
      <c r="E291" s="43">
        <v>592954.60443764355</v>
      </c>
      <c r="F291" s="43" t="s">
        <v>84</v>
      </c>
      <c r="G291" s="43" t="s">
        <v>71</v>
      </c>
      <c r="H291" s="43" t="s">
        <v>72</v>
      </c>
    </row>
    <row r="292" spans="1:8" x14ac:dyDescent="0.25">
      <c r="A292" s="72" t="s">
        <v>1745</v>
      </c>
      <c r="B292" s="72" t="s">
        <v>75</v>
      </c>
      <c r="C292" s="73">
        <v>183</v>
      </c>
      <c r="D292" s="73">
        <v>4235619.1214036075</v>
      </c>
      <c r="E292" s="72">
        <v>211780.9560701804</v>
      </c>
      <c r="F292" s="72" t="s">
        <v>106</v>
      </c>
      <c r="G292" s="72" t="s">
        <v>71</v>
      </c>
      <c r="H292" s="72" t="s">
        <v>72</v>
      </c>
    </row>
    <row r="293" spans="1:8" x14ac:dyDescent="0.25">
      <c r="A293" s="43" t="s">
        <v>1263</v>
      </c>
      <c r="B293" s="43" t="s">
        <v>77</v>
      </c>
      <c r="C293" s="46">
        <v>183</v>
      </c>
      <c r="D293" s="46">
        <v>4352635.9230761137</v>
      </c>
      <c r="E293" s="43">
        <v>261158.15538456687</v>
      </c>
      <c r="F293" s="43" t="s">
        <v>106</v>
      </c>
      <c r="G293" s="43" t="s">
        <v>71</v>
      </c>
      <c r="H293" s="43" t="s">
        <v>72</v>
      </c>
    </row>
    <row r="294" spans="1:8" x14ac:dyDescent="0.25">
      <c r="A294" s="43" t="s">
        <v>690</v>
      </c>
      <c r="B294" s="43" t="s">
        <v>75</v>
      </c>
      <c r="C294" s="46">
        <v>183</v>
      </c>
      <c r="D294" s="46">
        <v>4954433.1768558268</v>
      </c>
      <c r="E294" s="43">
        <v>346810.32237990783</v>
      </c>
      <c r="F294" s="43" t="s">
        <v>87</v>
      </c>
      <c r="G294" s="43" t="s">
        <v>71</v>
      </c>
      <c r="H294" s="43" t="s">
        <v>88</v>
      </c>
    </row>
    <row r="295" spans="1:8" x14ac:dyDescent="0.25">
      <c r="A295" s="72" t="s">
        <v>495</v>
      </c>
      <c r="B295" s="72" t="s">
        <v>112</v>
      </c>
      <c r="C295" s="73">
        <v>183</v>
      </c>
      <c r="D295" s="73">
        <v>4824719.4450372607</v>
      </c>
      <c r="E295" s="72">
        <v>385977.55560298084</v>
      </c>
      <c r="F295" s="72" t="s">
        <v>70</v>
      </c>
      <c r="G295" s="72" t="s">
        <v>71</v>
      </c>
      <c r="H295" s="72" t="s">
        <v>72</v>
      </c>
    </row>
    <row r="296" spans="1:8" x14ac:dyDescent="0.25">
      <c r="A296" s="72" t="s">
        <v>1068</v>
      </c>
      <c r="B296" s="72" t="s">
        <v>124</v>
      </c>
      <c r="C296" s="73">
        <v>183</v>
      </c>
      <c r="D296" s="73">
        <v>4770386.4813096263</v>
      </c>
      <c r="E296" s="72">
        <v>286223.18887857755</v>
      </c>
      <c r="F296" s="72" t="s">
        <v>87</v>
      </c>
      <c r="G296" s="72" t="s">
        <v>71</v>
      </c>
      <c r="H296" s="72" t="s">
        <v>88</v>
      </c>
    </row>
    <row r="297" spans="1:8" x14ac:dyDescent="0.25">
      <c r="A297" s="43" t="s">
        <v>1069</v>
      </c>
      <c r="B297" s="43" t="s">
        <v>77</v>
      </c>
      <c r="C297" s="46">
        <v>183</v>
      </c>
      <c r="D297" s="46">
        <v>4770386.4813096263</v>
      </c>
      <c r="E297" s="43">
        <v>286223.18887857755</v>
      </c>
      <c r="F297" s="43" t="s">
        <v>87</v>
      </c>
      <c r="G297" s="43" t="s">
        <v>71</v>
      </c>
      <c r="H297" s="43" t="s">
        <v>88</v>
      </c>
    </row>
    <row r="298" spans="1:8" x14ac:dyDescent="0.25">
      <c r="A298" s="72" t="s">
        <v>827</v>
      </c>
      <c r="B298" s="72" t="s">
        <v>162</v>
      </c>
      <c r="C298" s="73">
        <v>183</v>
      </c>
      <c r="D298" s="73">
        <v>4601563.0931094131</v>
      </c>
      <c r="E298" s="72">
        <v>322109.41651765886</v>
      </c>
      <c r="F298" s="72" t="s">
        <v>70</v>
      </c>
      <c r="G298" s="72" t="s">
        <v>71</v>
      </c>
      <c r="H298" s="72" t="s">
        <v>72</v>
      </c>
    </row>
    <row r="299" spans="1:8" x14ac:dyDescent="0.25">
      <c r="A299" s="72" t="s">
        <v>1508</v>
      </c>
      <c r="B299" s="72" t="s">
        <v>85</v>
      </c>
      <c r="C299" s="73">
        <v>182</v>
      </c>
      <c r="D299" s="73">
        <v>3918411.5187966786</v>
      </c>
      <c r="E299" s="72">
        <v>235104.6911278007</v>
      </c>
      <c r="F299" s="72" t="s">
        <v>84</v>
      </c>
      <c r="G299" s="72" t="s">
        <v>71</v>
      </c>
      <c r="H299" s="72" t="s">
        <v>72</v>
      </c>
    </row>
    <row r="300" spans="1:8" x14ac:dyDescent="0.25">
      <c r="A300" s="72" t="s">
        <v>365</v>
      </c>
      <c r="B300" s="72" t="s">
        <v>176</v>
      </c>
      <c r="C300" s="73">
        <v>182</v>
      </c>
      <c r="D300" s="73">
        <v>4637414.417983829</v>
      </c>
      <c r="E300" s="72">
        <v>510115.58597822126</v>
      </c>
      <c r="F300" s="72" t="s">
        <v>106</v>
      </c>
      <c r="G300" s="72" t="s">
        <v>71</v>
      </c>
      <c r="H300" s="72" t="s">
        <v>72</v>
      </c>
    </row>
    <row r="301" spans="1:8" x14ac:dyDescent="0.25">
      <c r="A301" s="72" t="s">
        <v>1288</v>
      </c>
      <c r="B301" s="72" t="s">
        <v>73</v>
      </c>
      <c r="C301" s="73">
        <v>182</v>
      </c>
      <c r="D301" s="73">
        <v>4306510.1272352673</v>
      </c>
      <c r="E301" s="72">
        <v>258390.60763411608</v>
      </c>
      <c r="F301" s="72" t="s">
        <v>70</v>
      </c>
      <c r="G301" s="72" t="s">
        <v>71</v>
      </c>
      <c r="H301" s="72" t="s">
        <v>72</v>
      </c>
    </row>
    <row r="302" spans="1:8" x14ac:dyDescent="0.25">
      <c r="A302" s="72" t="s">
        <v>2256</v>
      </c>
      <c r="B302" s="72" t="s">
        <v>133</v>
      </c>
      <c r="C302" s="73">
        <v>182</v>
      </c>
      <c r="D302" s="73">
        <v>4176300.965357237</v>
      </c>
      <c r="E302" s="72">
        <v>167052.03861428949</v>
      </c>
      <c r="F302" s="72" t="s">
        <v>87</v>
      </c>
      <c r="G302" s="72" t="s">
        <v>71</v>
      </c>
      <c r="H302" s="72" t="s">
        <v>88</v>
      </c>
    </row>
    <row r="303" spans="1:8" x14ac:dyDescent="0.25">
      <c r="A303" s="43" t="s">
        <v>578</v>
      </c>
      <c r="B303" s="43" t="s">
        <v>232</v>
      </c>
      <c r="C303" s="46">
        <v>181</v>
      </c>
      <c r="D303" s="46">
        <v>4613279.2538073817</v>
      </c>
      <c r="E303" s="43">
        <v>369062.34030459053</v>
      </c>
      <c r="F303" s="43" t="s">
        <v>84</v>
      </c>
      <c r="G303" s="43" t="s">
        <v>71</v>
      </c>
      <c r="H303" s="43" t="s">
        <v>72</v>
      </c>
    </row>
    <row r="304" spans="1:8" x14ac:dyDescent="0.25">
      <c r="A304" s="43" t="s">
        <v>458</v>
      </c>
      <c r="B304" s="43" t="s">
        <v>73</v>
      </c>
      <c r="C304" s="46">
        <v>181</v>
      </c>
      <c r="D304" s="46">
        <v>4438120.6861163955</v>
      </c>
      <c r="E304" s="43">
        <v>399430.8617504756</v>
      </c>
      <c r="F304" s="43" t="s">
        <v>106</v>
      </c>
      <c r="G304" s="43" t="s">
        <v>71</v>
      </c>
      <c r="H304" s="43" t="s">
        <v>72</v>
      </c>
    </row>
    <row r="305" spans="1:8" x14ac:dyDescent="0.25">
      <c r="A305" s="72" t="s">
        <v>1300</v>
      </c>
      <c r="B305" s="72" t="s">
        <v>234</v>
      </c>
      <c r="C305" s="73">
        <v>181</v>
      </c>
      <c r="D305" s="73">
        <v>4285387.1141242357</v>
      </c>
      <c r="E305" s="72">
        <v>257123.22684745418</v>
      </c>
      <c r="F305" s="72" t="s">
        <v>70</v>
      </c>
      <c r="G305" s="72" t="s">
        <v>71</v>
      </c>
      <c r="H305" s="72" t="s">
        <v>72</v>
      </c>
    </row>
    <row r="306" spans="1:8" x14ac:dyDescent="0.25">
      <c r="A306" s="43" t="s">
        <v>3087</v>
      </c>
      <c r="B306" s="43" t="s">
        <v>238</v>
      </c>
      <c r="C306" s="46">
        <v>181</v>
      </c>
      <c r="D306" s="46">
        <v>3710953.7578360862</v>
      </c>
      <c r="E306" s="43">
        <v>111328.61273508261</v>
      </c>
      <c r="F306" s="43" t="s">
        <v>106</v>
      </c>
      <c r="G306" s="43" t="s">
        <v>71</v>
      </c>
      <c r="H306" s="43" t="s">
        <v>72</v>
      </c>
    </row>
    <row r="307" spans="1:8" x14ac:dyDescent="0.25">
      <c r="A307" s="43" t="s">
        <v>857</v>
      </c>
      <c r="B307" s="43" t="s">
        <v>97</v>
      </c>
      <c r="C307" s="46">
        <v>180</v>
      </c>
      <c r="D307" s="46">
        <v>4264238.3809121</v>
      </c>
      <c r="E307" s="43">
        <v>255854.30285472606</v>
      </c>
      <c r="F307" s="43" t="s">
        <v>70</v>
      </c>
      <c r="G307" s="43" t="s">
        <v>71</v>
      </c>
      <c r="H307" s="43" t="s">
        <v>72</v>
      </c>
    </row>
    <row r="308" spans="1:8" x14ac:dyDescent="0.25">
      <c r="A308" s="72" t="s">
        <v>857</v>
      </c>
      <c r="B308" s="72" t="s">
        <v>211</v>
      </c>
      <c r="C308" s="73">
        <v>180</v>
      </c>
      <c r="D308" s="73">
        <v>4533702.9410274019</v>
      </c>
      <c r="E308" s="72">
        <v>317359.20587191812</v>
      </c>
      <c r="F308" s="72" t="s">
        <v>70</v>
      </c>
      <c r="G308" s="72" t="s">
        <v>71</v>
      </c>
      <c r="H308" s="72" t="s">
        <v>72</v>
      </c>
    </row>
    <row r="309" spans="1:8" x14ac:dyDescent="0.25">
      <c r="A309" s="72" t="s">
        <v>1907</v>
      </c>
      <c r="B309" s="72" t="s">
        <v>77</v>
      </c>
      <c r="C309" s="73">
        <v>180</v>
      </c>
      <c r="D309" s="73">
        <v>3933560.0631305631</v>
      </c>
      <c r="E309" s="72">
        <v>196678.00315652817</v>
      </c>
      <c r="F309" s="72" t="s">
        <v>78</v>
      </c>
      <c r="G309" s="72" t="s">
        <v>71</v>
      </c>
      <c r="H309" s="72" t="s">
        <v>72</v>
      </c>
    </row>
    <row r="310" spans="1:8" x14ac:dyDescent="0.25">
      <c r="A310" s="43" t="s">
        <v>344</v>
      </c>
      <c r="B310" s="43" t="s">
        <v>92</v>
      </c>
      <c r="C310" s="46">
        <v>180</v>
      </c>
      <c r="D310" s="46">
        <v>5286077.8151109833</v>
      </c>
      <c r="E310" s="43">
        <v>581468.55966220819</v>
      </c>
      <c r="F310" s="43" t="s">
        <v>84</v>
      </c>
      <c r="G310" s="43" t="s">
        <v>71</v>
      </c>
      <c r="H310" s="43" t="s">
        <v>72</v>
      </c>
    </row>
    <row r="311" spans="1:8" x14ac:dyDescent="0.25">
      <c r="A311" s="72" t="s">
        <v>518</v>
      </c>
      <c r="B311" s="72" t="s">
        <v>85</v>
      </c>
      <c r="C311" s="73">
        <v>180</v>
      </c>
      <c r="D311" s="73">
        <v>4753200.9921039725</v>
      </c>
      <c r="E311" s="72">
        <v>380256.07936831779</v>
      </c>
      <c r="F311" s="72" t="s">
        <v>70</v>
      </c>
      <c r="G311" s="72" t="s">
        <v>71</v>
      </c>
      <c r="H311" s="72" t="s">
        <v>72</v>
      </c>
    </row>
    <row r="312" spans="1:8" x14ac:dyDescent="0.25">
      <c r="A312" s="43" t="s">
        <v>467</v>
      </c>
      <c r="B312" s="43" t="s">
        <v>105</v>
      </c>
      <c r="C312" s="46">
        <v>180</v>
      </c>
      <c r="D312" s="46">
        <v>4357963.7405057736</v>
      </c>
      <c r="E312" s="43">
        <v>392216.73664551962</v>
      </c>
      <c r="F312" s="43" t="s">
        <v>106</v>
      </c>
      <c r="G312" s="43" t="s">
        <v>71</v>
      </c>
      <c r="H312" s="43" t="s">
        <v>72</v>
      </c>
    </row>
    <row r="313" spans="1:8" x14ac:dyDescent="0.25">
      <c r="A313" s="43" t="s">
        <v>519</v>
      </c>
      <c r="B313" s="43" t="s">
        <v>112</v>
      </c>
      <c r="C313" s="46">
        <v>180</v>
      </c>
      <c r="D313" s="46">
        <v>4753200.9921039725</v>
      </c>
      <c r="E313" s="43">
        <v>380256.07936831779</v>
      </c>
      <c r="F313" s="43" t="s">
        <v>70</v>
      </c>
      <c r="G313" s="43" t="s">
        <v>71</v>
      </c>
      <c r="H313" s="43" t="s">
        <v>72</v>
      </c>
    </row>
    <row r="314" spans="1:8" x14ac:dyDescent="0.25">
      <c r="A314" s="43" t="s">
        <v>858</v>
      </c>
      <c r="B314" s="43" t="s">
        <v>86</v>
      </c>
      <c r="C314" s="46">
        <v>180</v>
      </c>
      <c r="D314" s="46">
        <v>4533702.9410274019</v>
      </c>
      <c r="E314" s="43">
        <v>317359.20587191812</v>
      </c>
      <c r="F314" s="43" t="s">
        <v>70</v>
      </c>
      <c r="G314" s="43" t="s">
        <v>71</v>
      </c>
      <c r="H314" s="43" t="s">
        <v>72</v>
      </c>
    </row>
    <row r="315" spans="1:8" x14ac:dyDescent="0.25">
      <c r="A315" s="72" t="s">
        <v>859</v>
      </c>
      <c r="B315" s="72" t="s">
        <v>107</v>
      </c>
      <c r="C315" s="73">
        <v>180</v>
      </c>
      <c r="D315" s="73">
        <v>4533702.9410274019</v>
      </c>
      <c r="E315" s="72">
        <v>317359.20587191812</v>
      </c>
      <c r="F315" s="72" t="s">
        <v>70</v>
      </c>
      <c r="G315" s="72" t="s">
        <v>71</v>
      </c>
      <c r="H315" s="72" t="s">
        <v>72</v>
      </c>
    </row>
    <row r="316" spans="1:8" x14ac:dyDescent="0.25">
      <c r="A316" s="43" t="s">
        <v>527</v>
      </c>
      <c r="B316" s="43" t="s">
        <v>211</v>
      </c>
      <c r="C316" s="46">
        <v>179</v>
      </c>
      <c r="D316" s="46">
        <v>4729310.043046657</v>
      </c>
      <c r="E316" s="43">
        <v>378344.80344373256</v>
      </c>
      <c r="F316" s="43" t="s">
        <v>70</v>
      </c>
      <c r="G316" s="43" t="s">
        <v>71</v>
      </c>
      <c r="H316" s="43" t="s">
        <v>72</v>
      </c>
    </row>
    <row r="317" spans="1:8" x14ac:dyDescent="0.25">
      <c r="A317" s="72" t="s">
        <v>596</v>
      </c>
      <c r="B317" s="72" t="s">
        <v>223</v>
      </c>
      <c r="C317" s="73">
        <v>179</v>
      </c>
      <c r="D317" s="73">
        <v>4568665.3404043633</v>
      </c>
      <c r="E317" s="72">
        <v>365493.22723234905</v>
      </c>
      <c r="F317" s="72" t="s">
        <v>84</v>
      </c>
      <c r="G317" s="72" t="s">
        <v>71</v>
      </c>
      <c r="H317" s="72" t="s">
        <v>72</v>
      </c>
    </row>
    <row r="318" spans="1:8" x14ac:dyDescent="0.25">
      <c r="A318" s="72" t="s">
        <v>456</v>
      </c>
      <c r="B318" s="72" t="s">
        <v>93</v>
      </c>
      <c r="C318" s="73">
        <v>179</v>
      </c>
      <c r="D318" s="73">
        <v>5005332.9999869987</v>
      </c>
      <c r="E318" s="72">
        <v>400426.6399989599</v>
      </c>
      <c r="F318" s="72" t="s">
        <v>87</v>
      </c>
      <c r="G318" s="72" t="s">
        <v>71</v>
      </c>
      <c r="H318" s="72" t="s">
        <v>88</v>
      </c>
    </row>
    <row r="319" spans="1:8" x14ac:dyDescent="0.25">
      <c r="A319" s="72" t="s">
        <v>1317</v>
      </c>
      <c r="B319" s="72" t="s">
        <v>158</v>
      </c>
      <c r="C319" s="73">
        <v>179</v>
      </c>
      <c r="D319" s="73">
        <v>4243063.8908058489</v>
      </c>
      <c r="E319" s="72">
        <v>254583.83344835098</v>
      </c>
      <c r="F319" s="72" t="s">
        <v>70</v>
      </c>
      <c r="G319" s="72" t="s">
        <v>71</v>
      </c>
      <c r="H319" s="72" t="s">
        <v>72</v>
      </c>
    </row>
    <row r="320" spans="1:8" x14ac:dyDescent="0.25">
      <c r="A320" s="72" t="s">
        <v>1333</v>
      </c>
      <c r="B320" s="72" t="s">
        <v>85</v>
      </c>
      <c r="C320" s="73">
        <v>178</v>
      </c>
      <c r="D320" s="73">
        <v>4221863.6069664015</v>
      </c>
      <c r="E320" s="72">
        <v>253311.81641798414</v>
      </c>
      <c r="F320" s="72" t="s">
        <v>70</v>
      </c>
      <c r="G320" s="72" t="s">
        <v>71</v>
      </c>
      <c r="H320" s="72" t="s">
        <v>72</v>
      </c>
    </row>
    <row r="321" spans="1:8" x14ac:dyDescent="0.25">
      <c r="A321" s="72" t="s">
        <v>260</v>
      </c>
      <c r="B321" s="72" t="s">
        <v>83</v>
      </c>
      <c r="C321" s="73">
        <v>178</v>
      </c>
      <c r="D321" s="73">
        <v>5761111.2791145304</v>
      </c>
      <c r="E321" s="72">
        <v>806555.57907603413</v>
      </c>
      <c r="F321" s="72" t="s">
        <v>84</v>
      </c>
      <c r="G321" s="72" t="s">
        <v>71</v>
      </c>
      <c r="H321" s="72" t="s">
        <v>72</v>
      </c>
    </row>
    <row r="322" spans="1:8" x14ac:dyDescent="0.25">
      <c r="A322" s="72" t="s">
        <v>245</v>
      </c>
      <c r="B322" s="72" t="s">
        <v>232</v>
      </c>
      <c r="C322" s="73">
        <v>177</v>
      </c>
      <c r="D322" s="73">
        <v>5886501.4294379186</v>
      </c>
      <c r="E322" s="72">
        <v>882975.21441568772</v>
      </c>
      <c r="F322" s="72" t="s">
        <v>84</v>
      </c>
      <c r="G322" s="72" t="s">
        <v>71</v>
      </c>
      <c r="H322" s="72" t="s">
        <v>72</v>
      </c>
    </row>
    <row r="323" spans="1:8" x14ac:dyDescent="0.25">
      <c r="A323" s="43" t="s">
        <v>1958</v>
      </c>
      <c r="B323" s="43" t="s">
        <v>102</v>
      </c>
      <c r="C323" s="46">
        <v>177</v>
      </c>
      <c r="D323" s="46">
        <v>3836249.2001662678</v>
      </c>
      <c r="E323" s="43">
        <v>191812.46000831341</v>
      </c>
      <c r="F323" s="43" t="s">
        <v>70</v>
      </c>
      <c r="G323" s="43" t="s">
        <v>71</v>
      </c>
      <c r="H323" s="43" t="s">
        <v>72</v>
      </c>
    </row>
    <row r="324" spans="1:8" x14ac:dyDescent="0.25">
      <c r="A324" s="72" t="s">
        <v>2319</v>
      </c>
      <c r="B324" s="72" t="s">
        <v>105</v>
      </c>
      <c r="C324" s="73">
        <v>177</v>
      </c>
      <c r="D324" s="73">
        <v>4072030.0162924398</v>
      </c>
      <c r="E324" s="72">
        <v>162881.20065169758</v>
      </c>
      <c r="F324" s="72" t="s">
        <v>87</v>
      </c>
      <c r="G324" s="72" t="s">
        <v>71</v>
      </c>
      <c r="H324" s="72" t="s">
        <v>88</v>
      </c>
    </row>
    <row r="325" spans="1:8" x14ac:dyDescent="0.25">
      <c r="A325" s="72" t="s">
        <v>428</v>
      </c>
      <c r="B325" s="72" t="s">
        <v>429</v>
      </c>
      <c r="C325" s="73">
        <v>177</v>
      </c>
      <c r="D325" s="73">
        <v>4195590.4859333504</v>
      </c>
      <c r="E325" s="72">
        <v>419559.04859333509</v>
      </c>
      <c r="F325" s="72" t="s">
        <v>106</v>
      </c>
      <c r="G325" s="72" t="s">
        <v>71</v>
      </c>
      <c r="H325" s="72" t="s">
        <v>72</v>
      </c>
    </row>
    <row r="326" spans="1:8" x14ac:dyDescent="0.25">
      <c r="A326" s="72" t="s">
        <v>1339</v>
      </c>
      <c r="B326" s="72" t="s">
        <v>102</v>
      </c>
      <c r="C326" s="73">
        <v>177</v>
      </c>
      <c r="D326" s="73">
        <v>4200637.4925085567</v>
      </c>
      <c r="E326" s="72">
        <v>252038.24955051346</v>
      </c>
      <c r="F326" s="72" t="s">
        <v>70</v>
      </c>
      <c r="G326" s="72" t="s">
        <v>71</v>
      </c>
      <c r="H326" s="72" t="s">
        <v>72</v>
      </c>
    </row>
    <row r="327" spans="1:8" x14ac:dyDescent="0.25">
      <c r="A327" s="72" t="s">
        <v>551</v>
      </c>
      <c r="B327" s="72" t="s">
        <v>102</v>
      </c>
      <c r="C327" s="73">
        <v>177</v>
      </c>
      <c r="D327" s="73">
        <v>4681450.7268472314</v>
      </c>
      <c r="E327" s="72">
        <v>374516.0581477785</v>
      </c>
      <c r="F327" s="72" t="s">
        <v>70</v>
      </c>
      <c r="G327" s="72" t="s">
        <v>71</v>
      </c>
      <c r="H327" s="72" t="s">
        <v>72</v>
      </c>
    </row>
    <row r="328" spans="1:8" x14ac:dyDescent="0.25">
      <c r="A328" s="72" t="s">
        <v>895</v>
      </c>
      <c r="B328" s="72" t="s">
        <v>170</v>
      </c>
      <c r="C328" s="73">
        <v>176</v>
      </c>
      <c r="D328" s="73">
        <v>4442861.969280337</v>
      </c>
      <c r="E328" s="72">
        <v>311000.33784962358</v>
      </c>
      <c r="F328" s="72" t="s">
        <v>70</v>
      </c>
      <c r="G328" s="72" t="s">
        <v>71</v>
      </c>
      <c r="H328" s="72" t="s">
        <v>72</v>
      </c>
    </row>
    <row r="329" spans="1:8" x14ac:dyDescent="0.25">
      <c r="A329" s="43" t="s">
        <v>1974</v>
      </c>
      <c r="B329" s="43" t="s">
        <v>97</v>
      </c>
      <c r="C329" s="46">
        <v>176</v>
      </c>
      <c r="D329" s="46">
        <v>3817055.9090758306</v>
      </c>
      <c r="E329" s="43">
        <v>190852.79545379154</v>
      </c>
      <c r="F329" s="43" t="s">
        <v>70</v>
      </c>
      <c r="G329" s="43" t="s">
        <v>71</v>
      </c>
      <c r="H329" s="43" t="s">
        <v>72</v>
      </c>
    </row>
    <row r="330" spans="1:8" x14ac:dyDescent="0.25">
      <c r="A330" s="43" t="s">
        <v>1661</v>
      </c>
      <c r="B330" s="43" t="s">
        <v>73</v>
      </c>
      <c r="C330" s="46">
        <v>176</v>
      </c>
      <c r="D330" s="46">
        <v>4377567.5865944745</v>
      </c>
      <c r="E330" s="43">
        <v>218878.37932972374</v>
      </c>
      <c r="F330" s="43" t="s">
        <v>87</v>
      </c>
      <c r="G330" s="43" t="s">
        <v>71</v>
      </c>
      <c r="H330" s="43" t="s">
        <v>88</v>
      </c>
    </row>
    <row r="331" spans="1:8" x14ac:dyDescent="0.25">
      <c r="A331" s="43" t="s">
        <v>1356</v>
      </c>
      <c r="B331" s="43" t="s">
        <v>107</v>
      </c>
      <c r="C331" s="46">
        <v>176</v>
      </c>
      <c r="D331" s="46">
        <v>4179385.5105009307</v>
      </c>
      <c r="E331" s="43">
        <v>250763.13063005588</v>
      </c>
      <c r="F331" s="43" t="s">
        <v>70</v>
      </c>
      <c r="G331" s="43" t="s">
        <v>71</v>
      </c>
      <c r="H331" s="43" t="s">
        <v>72</v>
      </c>
    </row>
    <row r="332" spans="1:8" x14ac:dyDescent="0.25">
      <c r="A332" s="43" t="s">
        <v>2331</v>
      </c>
      <c r="B332" s="43" t="s">
        <v>151</v>
      </c>
      <c r="C332" s="46">
        <v>176</v>
      </c>
      <c r="D332" s="46">
        <v>4051109.8338078973</v>
      </c>
      <c r="E332" s="43">
        <v>162044.39335231591</v>
      </c>
      <c r="F332" s="43" t="s">
        <v>87</v>
      </c>
      <c r="G332" s="43" t="s">
        <v>71</v>
      </c>
      <c r="H332" s="43" t="s">
        <v>88</v>
      </c>
    </row>
    <row r="333" spans="1:8" x14ac:dyDescent="0.25">
      <c r="A333" s="43" t="s">
        <v>1009</v>
      </c>
      <c r="B333" s="43" t="s">
        <v>83</v>
      </c>
      <c r="C333" s="46">
        <v>176</v>
      </c>
      <c r="D333" s="46">
        <v>4200410.6630465807</v>
      </c>
      <c r="E333" s="43">
        <v>294028.74641326064</v>
      </c>
      <c r="F333" s="43" t="s">
        <v>84</v>
      </c>
      <c r="G333" s="43" t="s">
        <v>71</v>
      </c>
      <c r="H333" s="43" t="s">
        <v>72</v>
      </c>
    </row>
    <row r="334" spans="1:8" x14ac:dyDescent="0.25">
      <c r="A334" s="43" t="s">
        <v>2557</v>
      </c>
      <c r="B334" s="43" t="s">
        <v>291</v>
      </c>
      <c r="C334" s="46">
        <v>175</v>
      </c>
      <c r="D334" s="46">
        <v>3636766.8352795327</v>
      </c>
      <c r="E334" s="43">
        <v>145470.67341118131</v>
      </c>
      <c r="F334" s="43" t="s">
        <v>106</v>
      </c>
      <c r="G334" s="43" t="s">
        <v>71</v>
      </c>
      <c r="H334" s="43" t="s">
        <v>72</v>
      </c>
    </row>
    <row r="335" spans="1:8" x14ac:dyDescent="0.25">
      <c r="A335" s="72" t="s">
        <v>825</v>
      </c>
      <c r="B335" s="72" t="s">
        <v>176</v>
      </c>
      <c r="C335" s="73">
        <v>175</v>
      </c>
      <c r="D335" s="73">
        <v>4033647.4798206966</v>
      </c>
      <c r="E335" s="72">
        <v>322691.79838565574</v>
      </c>
      <c r="F335" s="72" t="s">
        <v>106</v>
      </c>
      <c r="G335" s="72" t="s">
        <v>71</v>
      </c>
      <c r="H335" s="72" t="s">
        <v>72</v>
      </c>
    </row>
    <row r="336" spans="1:8" x14ac:dyDescent="0.25">
      <c r="A336" s="43" t="s">
        <v>266</v>
      </c>
      <c r="B336" s="43" t="s">
        <v>267</v>
      </c>
      <c r="C336" s="46">
        <v>175</v>
      </c>
      <c r="D336" s="46">
        <v>5587179.0445017517</v>
      </c>
      <c r="E336" s="43">
        <v>782205.06623024517</v>
      </c>
      <c r="F336" s="43" t="s">
        <v>78</v>
      </c>
      <c r="G336" s="43" t="s">
        <v>71</v>
      </c>
      <c r="H336" s="43" t="s">
        <v>72</v>
      </c>
    </row>
    <row r="337" spans="1:8" x14ac:dyDescent="0.25">
      <c r="A337" s="72" t="s">
        <v>1683</v>
      </c>
      <c r="B337" s="72" t="s">
        <v>277</v>
      </c>
      <c r="C337" s="73">
        <v>175</v>
      </c>
      <c r="D337" s="73">
        <v>4354770.4704855718</v>
      </c>
      <c r="E337" s="72">
        <v>217738.5235242786</v>
      </c>
      <c r="F337" s="72" t="s">
        <v>87</v>
      </c>
      <c r="G337" s="72" t="s">
        <v>71</v>
      </c>
      <c r="H337" s="72" t="s">
        <v>88</v>
      </c>
    </row>
    <row r="338" spans="1:8" x14ac:dyDescent="0.25">
      <c r="A338" s="72" t="s">
        <v>1155</v>
      </c>
      <c r="B338" s="72" t="s">
        <v>133</v>
      </c>
      <c r="C338" s="73">
        <v>175</v>
      </c>
      <c r="D338" s="73">
        <v>4578402.5533936424</v>
      </c>
      <c r="E338" s="72">
        <v>274704.15320361854</v>
      </c>
      <c r="F338" s="72" t="s">
        <v>87</v>
      </c>
      <c r="G338" s="72" t="s">
        <v>71</v>
      </c>
      <c r="H338" s="72" t="s">
        <v>88</v>
      </c>
    </row>
    <row r="339" spans="1:8" x14ac:dyDescent="0.25">
      <c r="A339" s="43" t="s">
        <v>374</v>
      </c>
      <c r="B339" s="43" t="s">
        <v>83</v>
      </c>
      <c r="C339" s="46">
        <v>175</v>
      </c>
      <c r="D339" s="46">
        <v>4953803.9398741322</v>
      </c>
      <c r="E339" s="43">
        <v>495380.39398741326</v>
      </c>
      <c r="F339" s="43" t="s">
        <v>84</v>
      </c>
      <c r="G339" s="43" t="s">
        <v>71</v>
      </c>
      <c r="H339" s="43" t="s">
        <v>72</v>
      </c>
    </row>
    <row r="340" spans="1:8" x14ac:dyDescent="0.25">
      <c r="A340" s="43" t="s">
        <v>1983</v>
      </c>
      <c r="B340" s="43" t="s">
        <v>162</v>
      </c>
      <c r="C340" s="46">
        <v>175</v>
      </c>
      <c r="D340" s="46">
        <v>3797836.7134580044</v>
      </c>
      <c r="E340" s="43">
        <v>189891.83567290023</v>
      </c>
      <c r="F340" s="43" t="s">
        <v>70</v>
      </c>
      <c r="G340" s="43" t="s">
        <v>71</v>
      </c>
      <c r="H340" s="43" t="s">
        <v>72</v>
      </c>
    </row>
    <row r="341" spans="1:8" x14ac:dyDescent="0.25">
      <c r="A341" s="43" t="s">
        <v>582</v>
      </c>
      <c r="B341" s="43" t="s">
        <v>127</v>
      </c>
      <c r="C341" s="46">
        <v>175</v>
      </c>
      <c r="D341" s="46">
        <v>4096643.287383996</v>
      </c>
      <c r="E341" s="43">
        <v>368697.89586455963</v>
      </c>
      <c r="F341" s="43" t="s">
        <v>106</v>
      </c>
      <c r="G341" s="43" t="s">
        <v>71</v>
      </c>
      <c r="H341" s="43" t="s">
        <v>72</v>
      </c>
    </row>
    <row r="342" spans="1:8" x14ac:dyDescent="0.25">
      <c r="A342" s="43" t="s">
        <v>474</v>
      </c>
      <c r="B342" s="43" t="s">
        <v>77</v>
      </c>
      <c r="C342" s="46">
        <v>174</v>
      </c>
      <c r="D342" s="46">
        <v>4875828.9174741777</v>
      </c>
      <c r="E342" s="43">
        <v>390066.31339793419</v>
      </c>
      <c r="F342" s="43" t="s">
        <v>87</v>
      </c>
      <c r="G342" s="43" t="s">
        <v>71</v>
      </c>
      <c r="H342" s="43" t="s">
        <v>88</v>
      </c>
    </row>
    <row r="343" spans="1:8" x14ac:dyDescent="0.25">
      <c r="A343" s="43" t="s">
        <v>441</v>
      </c>
      <c r="B343" s="43" t="s">
        <v>149</v>
      </c>
      <c r="C343" s="46">
        <v>174</v>
      </c>
      <c r="D343" s="46">
        <v>4131376.3571677175</v>
      </c>
      <c r="E343" s="43">
        <v>413137.63571677177</v>
      </c>
      <c r="F343" s="43" t="s">
        <v>106</v>
      </c>
      <c r="G343" s="43" t="s">
        <v>71</v>
      </c>
      <c r="H343" s="43" t="s">
        <v>72</v>
      </c>
    </row>
    <row r="344" spans="1:8" x14ac:dyDescent="0.25">
      <c r="A344" s="43" t="s">
        <v>370</v>
      </c>
      <c r="B344" s="43" t="s">
        <v>92</v>
      </c>
      <c r="C344" s="46">
        <v>174</v>
      </c>
      <c r="D344" s="46">
        <v>5024069.9283507057</v>
      </c>
      <c r="E344" s="43">
        <v>502406.99283507059</v>
      </c>
      <c r="F344" s="43" t="s">
        <v>78</v>
      </c>
      <c r="G344" s="43" t="s">
        <v>71</v>
      </c>
      <c r="H344" s="43" t="s">
        <v>72</v>
      </c>
    </row>
    <row r="345" spans="1:8" x14ac:dyDescent="0.25">
      <c r="A345" s="72" t="s">
        <v>833</v>
      </c>
      <c r="B345" s="72" t="s">
        <v>132</v>
      </c>
      <c r="C345" s="73">
        <v>174</v>
      </c>
      <c r="D345" s="73">
        <v>4012899.8889617668</v>
      </c>
      <c r="E345" s="72">
        <v>321031.99111694138</v>
      </c>
      <c r="F345" s="72" t="s">
        <v>106</v>
      </c>
      <c r="G345" s="72" t="s">
        <v>71</v>
      </c>
      <c r="H345" s="72" t="s">
        <v>72</v>
      </c>
    </row>
    <row r="346" spans="1:8" x14ac:dyDescent="0.25">
      <c r="A346" s="72" t="s">
        <v>377</v>
      </c>
      <c r="B346" s="72" t="s">
        <v>160</v>
      </c>
      <c r="C346" s="73">
        <v>174</v>
      </c>
      <c r="D346" s="73">
        <v>4928607.1435904084</v>
      </c>
      <c r="E346" s="72">
        <v>492860.71435904084</v>
      </c>
      <c r="F346" s="72" t="s">
        <v>84</v>
      </c>
      <c r="G346" s="72" t="s">
        <v>71</v>
      </c>
      <c r="H346" s="72" t="s">
        <v>72</v>
      </c>
    </row>
    <row r="347" spans="1:8" x14ac:dyDescent="0.25">
      <c r="A347" s="43" t="s">
        <v>1381</v>
      </c>
      <c r="B347" s="43" t="s">
        <v>102</v>
      </c>
      <c r="C347" s="46">
        <v>174</v>
      </c>
      <c r="D347" s="46">
        <v>4136803.7958796173</v>
      </c>
      <c r="E347" s="43">
        <v>248208.22775277708</v>
      </c>
      <c r="F347" s="43" t="s">
        <v>70</v>
      </c>
      <c r="G347" s="43" t="s">
        <v>71</v>
      </c>
      <c r="H347" s="43" t="s">
        <v>72</v>
      </c>
    </row>
    <row r="348" spans="1:8" x14ac:dyDescent="0.25">
      <c r="A348" s="43" t="s">
        <v>920</v>
      </c>
      <c r="B348" s="43" t="s">
        <v>112</v>
      </c>
      <c r="C348" s="46">
        <v>174</v>
      </c>
      <c r="D348" s="46">
        <v>4397286.203991075</v>
      </c>
      <c r="E348" s="43">
        <v>307810.03427937522</v>
      </c>
      <c r="F348" s="43" t="s">
        <v>70</v>
      </c>
      <c r="G348" s="43" t="s">
        <v>71</v>
      </c>
      <c r="H348" s="43" t="s">
        <v>72</v>
      </c>
    </row>
    <row r="349" spans="1:8" x14ac:dyDescent="0.25">
      <c r="A349" s="72" t="s">
        <v>2011</v>
      </c>
      <c r="B349" s="72" t="s">
        <v>393</v>
      </c>
      <c r="C349" s="73">
        <v>173</v>
      </c>
      <c r="D349" s="73">
        <v>3734654.9541563038</v>
      </c>
      <c r="E349" s="72">
        <v>186732.7477078152</v>
      </c>
      <c r="F349" s="72" t="s">
        <v>106</v>
      </c>
      <c r="G349" s="72" t="s">
        <v>71</v>
      </c>
      <c r="H349" s="72" t="s">
        <v>72</v>
      </c>
    </row>
    <row r="350" spans="1:8" x14ac:dyDescent="0.25">
      <c r="A350" s="43" t="s">
        <v>1179</v>
      </c>
      <c r="B350" s="43" t="s">
        <v>93</v>
      </c>
      <c r="C350" s="46">
        <v>173</v>
      </c>
      <c r="D350" s="46">
        <v>4530186.2385037784</v>
      </c>
      <c r="E350" s="43">
        <v>271811.17431022669</v>
      </c>
      <c r="F350" s="43" t="s">
        <v>87</v>
      </c>
      <c r="G350" s="43" t="s">
        <v>71</v>
      </c>
      <c r="H350" s="43" t="s">
        <v>88</v>
      </c>
    </row>
    <row r="351" spans="1:8" x14ac:dyDescent="0.25">
      <c r="A351" s="43" t="s">
        <v>1391</v>
      </c>
      <c r="B351" s="43" t="s">
        <v>211</v>
      </c>
      <c r="C351" s="46">
        <v>173</v>
      </c>
      <c r="D351" s="46">
        <v>4115473.9891717983</v>
      </c>
      <c r="E351" s="43">
        <v>246928.43935030795</v>
      </c>
      <c r="F351" s="43" t="s">
        <v>70</v>
      </c>
      <c r="G351" s="43" t="s">
        <v>71</v>
      </c>
      <c r="H351" s="43" t="s">
        <v>72</v>
      </c>
    </row>
    <row r="352" spans="1:8" x14ac:dyDescent="0.25">
      <c r="A352" s="43" t="s">
        <v>1191</v>
      </c>
      <c r="B352" s="43" t="s">
        <v>79</v>
      </c>
      <c r="C352" s="46">
        <v>172</v>
      </c>
      <c r="D352" s="46">
        <v>4506044.8835918577</v>
      </c>
      <c r="E352" s="43">
        <v>270362.69301551144</v>
      </c>
      <c r="F352" s="43" t="s">
        <v>87</v>
      </c>
      <c r="G352" s="43" t="s">
        <v>71</v>
      </c>
      <c r="H352" s="43" t="s">
        <v>88</v>
      </c>
    </row>
    <row r="353" spans="1:8" x14ac:dyDescent="0.25">
      <c r="A353" s="43" t="s">
        <v>496</v>
      </c>
      <c r="B353" s="43" t="s">
        <v>77</v>
      </c>
      <c r="C353" s="46">
        <v>172</v>
      </c>
      <c r="D353" s="46">
        <v>4823872.6762500517</v>
      </c>
      <c r="E353" s="43">
        <v>385909.81410000415</v>
      </c>
      <c r="F353" s="43" t="s">
        <v>87</v>
      </c>
      <c r="G353" s="43" t="s">
        <v>71</v>
      </c>
      <c r="H353" s="43" t="s">
        <v>88</v>
      </c>
    </row>
    <row r="354" spans="1:8" x14ac:dyDescent="0.25">
      <c r="A354" s="43" t="s">
        <v>2371</v>
      </c>
      <c r="B354" s="43" t="s">
        <v>77</v>
      </c>
      <c r="C354" s="46">
        <v>172</v>
      </c>
      <c r="D354" s="46">
        <v>3967208.2351285769</v>
      </c>
      <c r="E354" s="43">
        <v>158688.32940514307</v>
      </c>
      <c r="F354" s="43" t="s">
        <v>87</v>
      </c>
      <c r="G354" s="43" t="s">
        <v>71</v>
      </c>
      <c r="H354" s="43" t="s">
        <v>88</v>
      </c>
    </row>
    <row r="355" spans="1:8" x14ac:dyDescent="0.25">
      <c r="A355" s="72" t="s">
        <v>1192</v>
      </c>
      <c r="B355" s="72" t="s">
        <v>83</v>
      </c>
      <c r="C355" s="73">
        <v>172</v>
      </c>
      <c r="D355" s="73">
        <v>4506044.8835918577</v>
      </c>
      <c r="E355" s="72">
        <v>270362.69301551144</v>
      </c>
      <c r="F355" s="72" t="s">
        <v>87</v>
      </c>
      <c r="G355" s="72" t="s">
        <v>71</v>
      </c>
      <c r="H355" s="72" t="s">
        <v>88</v>
      </c>
    </row>
    <row r="356" spans="1:8" x14ac:dyDescent="0.25">
      <c r="A356" s="72" t="s">
        <v>292</v>
      </c>
      <c r="B356" s="72" t="s">
        <v>83</v>
      </c>
      <c r="C356" s="73">
        <v>172</v>
      </c>
      <c r="D356" s="73">
        <v>5426515.6475412408</v>
      </c>
      <c r="E356" s="72">
        <v>705447.03418036131</v>
      </c>
      <c r="F356" s="72" t="s">
        <v>84</v>
      </c>
      <c r="G356" s="72" t="s">
        <v>71</v>
      </c>
      <c r="H356" s="72" t="s">
        <v>72</v>
      </c>
    </row>
    <row r="357" spans="1:8" x14ac:dyDescent="0.25">
      <c r="A357" s="72" t="s">
        <v>569</v>
      </c>
      <c r="B357" s="72" t="s">
        <v>77</v>
      </c>
      <c r="C357" s="73">
        <v>172</v>
      </c>
      <c r="D357" s="73">
        <v>4623230.7887200918</v>
      </c>
      <c r="E357" s="72">
        <v>369858.46309760737</v>
      </c>
      <c r="F357" s="72" t="s">
        <v>78</v>
      </c>
      <c r="G357" s="72" t="s">
        <v>71</v>
      </c>
      <c r="H357" s="72" t="s">
        <v>72</v>
      </c>
    </row>
    <row r="358" spans="1:8" x14ac:dyDescent="0.25">
      <c r="A358" s="43" t="s">
        <v>1728</v>
      </c>
      <c r="B358" s="43" t="s">
        <v>101</v>
      </c>
      <c r="C358" s="46">
        <v>171</v>
      </c>
      <c r="D358" s="46">
        <v>4263360.8687141454</v>
      </c>
      <c r="E358" s="43">
        <v>213168.04343570728</v>
      </c>
      <c r="F358" s="43" t="s">
        <v>87</v>
      </c>
      <c r="G358" s="43" t="s">
        <v>71</v>
      </c>
      <c r="H358" s="43" t="s">
        <v>88</v>
      </c>
    </row>
    <row r="359" spans="1:8" x14ac:dyDescent="0.25">
      <c r="A359" s="43" t="s">
        <v>2020</v>
      </c>
      <c r="B359" s="43" t="s">
        <v>77</v>
      </c>
      <c r="C359" s="46">
        <v>171</v>
      </c>
      <c r="D359" s="46">
        <v>3720700.1445394903</v>
      </c>
      <c r="E359" s="43">
        <v>186035.00722697453</v>
      </c>
      <c r="F359" s="43" t="s">
        <v>70</v>
      </c>
      <c r="G359" s="43" t="s">
        <v>71</v>
      </c>
      <c r="H359" s="43" t="s">
        <v>72</v>
      </c>
    </row>
    <row r="360" spans="1:8" x14ac:dyDescent="0.25">
      <c r="A360" s="43" t="s">
        <v>321</v>
      </c>
      <c r="B360" s="43" t="s">
        <v>83</v>
      </c>
      <c r="C360" s="46">
        <v>171</v>
      </c>
      <c r="D360" s="46">
        <v>5229897.3510212656</v>
      </c>
      <c r="E360" s="43">
        <v>627587.68212255184</v>
      </c>
      <c r="F360" s="43" t="s">
        <v>84</v>
      </c>
      <c r="G360" s="43" t="s">
        <v>71</v>
      </c>
      <c r="H360" s="43" t="s">
        <v>72</v>
      </c>
    </row>
    <row r="361" spans="1:8" x14ac:dyDescent="0.25">
      <c r="A361" s="72" t="s">
        <v>801</v>
      </c>
      <c r="B361" s="72" t="s">
        <v>130</v>
      </c>
      <c r="C361" s="73">
        <v>171</v>
      </c>
      <c r="D361" s="73">
        <v>4653859.4209284214</v>
      </c>
      <c r="E361" s="72">
        <v>325770.15946498944</v>
      </c>
      <c r="F361" s="72" t="s">
        <v>87</v>
      </c>
      <c r="G361" s="72" t="s">
        <v>71</v>
      </c>
      <c r="H361" s="72" t="s">
        <v>88</v>
      </c>
    </row>
    <row r="362" spans="1:8" x14ac:dyDescent="0.25">
      <c r="A362" s="72" t="s">
        <v>2021</v>
      </c>
      <c r="B362" s="72" t="s">
        <v>97</v>
      </c>
      <c r="C362" s="73">
        <v>171</v>
      </c>
      <c r="D362" s="73">
        <v>3720700.1445394903</v>
      </c>
      <c r="E362" s="72">
        <v>186035.00722697453</v>
      </c>
      <c r="F362" s="72" t="s">
        <v>70</v>
      </c>
      <c r="G362" s="72" t="s">
        <v>71</v>
      </c>
      <c r="H362" s="72" t="s">
        <v>72</v>
      </c>
    </row>
    <row r="363" spans="1:8" x14ac:dyDescent="0.25">
      <c r="A363" s="43" t="s">
        <v>2038</v>
      </c>
      <c r="B363" s="43" t="s">
        <v>303</v>
      </c>
      <c r="C363" s="46">
        <v>170</v>
      </c>
      <c r="D363" s="46">
        <v>3701350.8699987014</v>
      </c>
      <c r="E363" s="43">
        <v>185067.54349993507</v>
      </c>
      <c r="F363" s="43" t="s">
        <v>70</v>
      </c>
      <c r="G363" s="43" t="s">
        <v>71</v>
      </c>
      <c r="H363" s="43" t="s">
        <v>72</v>
      </c>
    </row>
    <row r="364" spans="1:8" x14ac:dyDescent="0.25">
      <c r="A364" s="72" t="s">
        <v>1423</v>
      </c>
      <c r="B364" s="72" t="s">
        <v>127</v>
      </c>
      <c r="C364" s="73">
        <v>170</v>
      </c>
      <c r="D364" s="73">
        <v>4051328.3259206722</v>
      </c>
      <c r="E364" s="72">
        <v>243079.69955524037</v>
      </c>
      <c r="F364" s="72" t="s">
        <v>70</v>
      </c>
      <c r="G364" s="72" t="s">
        <v>71</v>
      </c>
      <c r="H364" s="72" t="s">
        <v>72</v>
      </c>
    </row>
    <row r="365" spans="1:8" x14ac:dyDescent="0.25">
      <c r="A365" s="43" t="s">
        <v>270</v>
      </c>
      <c r="B365" s="43" t="s">
        <v>83</v>
      </c>
      <c r="C365" s="46">
        <v>170</v>
      </c>
      <c r="D365" s="46">
        <v>5526511.5228175865</v>
      </c>
      <c r="E365" s="43">
        <v>773711.61319446203</v>
      </c>
      <c r="F365" s="43" t="s">
        <v>84</v>
      </c>
      <c r="G365" s="43" t="s">
        <v>71</v>
      </c>
      <c r="H365" s="43" t="s">
        <v>72</v>
      </c>
    </row>
    <row r="366" spans="1:8" x14ac:dyDescent="0.25">
      <c r="A366" s="43" t="s">
        <v>326</v>
      </c>
      <c r="B366" s="43" t="s">
        <v>115</v>
      </c>
      <c r="C366" s="46">
        <v>170</v>
      </c>
      <c r="D366" s="46">
        <v>5202365.679541694</v>
      </c>
      <c r="E366" s="43">
        <v>624283.88154500327</v>
      </c>
      <c r="F366" s="43" t="s">
        <v>84</v>
      </c>
      <c r="G366" s="43" t="s">
        <v>71</v>
      </c>
      <c r="H366" s="43" t="s">
        <v>72</v>
      </c>
    </row>
    <row r="367" spans="1:8" x14ac:dyDescent="0.25">
      <c r="A367" s="72" t="s">
        <v>271</v>
      </c>
      <c r="B367" s="72" t="s">
        <v>83</v>
      </c>
      <c r="C367" s="73">
        <v>170</v>
      </c>
      <c r="D367" s="73">
        <v>5526511.5228175865</v>
      </c>
      <c r="E367" s="72">
        <v>773711.61319446203</v>
      </c>
      <c r="F367" s="72" t="s">
        <v>84</v>
      </c>
      <c r="G367" s="72" t="s">
        <v>71</v>
      </c>
      <c r="H367" s="72" t="s">
        <v>72</v>
      </c>
    </row>
    <row r="368" spans="1:8" x14ac:dyDescent="0.25">
      <c r="A368" s="43" t="s">
        <v>272</v>
      </c>
      <c r="B368" s="43" t="s">
        <v>83</v>
      </c>
      <c r="C368" s="46">
        <v>170</v>
      </c>
      <c r="D368" s="46">
        <v>5526511.5228175865</v>
      </c>
      <c r="E368" s="43">
        <v>773711.61319446203</v>
      </c>
      <c r="F368" s="43" t="s">
        <v>84</v>
      </c>
      <c r="G368" s="43" t="s">
        <v>71</v>
      </c>
      <c r="H368" s="43" t="s">
        <v>72</v>
      </c>
    </row>
    <row r="369" spans="1:8" x14ac:dyDescent="0.25">
      <c r="A369" s="72" t="s">
        <v>633</v>
      </c>
      <c r="B369" s="72" t="s">
        <v>97</v>
      </c>
      <c r="C369" s="73">
        <v>169</v>
      </c>
      <c r="D369" s="73">
        <v>4488975.7958259191</v>
      </c>
      <c r="E369" s="72">
        <v>359118.06366607355</v>
      </c>
      <c r="F369" s="72" t="s">
        <v>70</v>
      </c>
      <c r="G369" s="72" t="s">
        <v>71</v>
      </c>
      <c r="H369" s="72" t="s">
        <v>72</v>
      </c>
    </row>
    <row r="370" spans="1:8" x14ac:dyDescent="0.25">
      <c r="A370" s="43" t="s">
        <v>634</v>
      </c>
      <c r="B370" s="43" t="s">
        <v>102</v>
      </c>
      <c r="C370" s="46">
        <v>169</v>
      </c>
      <c r="D370" s="46">
        <v>4488975.7958259191</v>
      </c>
      <c r="E370" s="43">
        <v>359118.06366607355</v>
      </c>
      <c r="F370" s="43" t="s">
        <v>70</v>
      </c>
      <c r="G370" s="43" t="s">
        <v>71</v>
      </c>
      <c r="H370" s="43" t="s">
        <v>72</v>
      </c>
    </row>
    <row r="371" spans="1:8" x14ac:dyDescent="0.25">
      <c r="A371" s="72" t="s">
        <v>1449</v>
      </c>
      <c r="B371" s="72" t="s">
        <v>102</v>
      </c>
      <c r="C371" s="73">
        <v>168</v>
      </c>
      <c r="D371" s="73">
        <v>4008433.9756012065</v>
      </c>
      <c r="E371" s="72">
        <v>240506.03853607245</v>
      </c>
      <c r="F371" s="72" t="s">
        <v>70</v>
      </c>
      <c r="G371" s="72" t="s">
        <v>71</v>
      </c>
      <c r="H371" s="72" t="s">
        <v>72</v>
      </c>
    </row>
    <row r="372" spans="1:8" x14ac:dyDescent="0.25">
      <c r="A372" s="72" t="s">
        <v>980</v>
      </c>
      <c r="B372" s="72" t="s">
        <v>85</v>
      </c>
      <c r="C372" s="73">
        <v>168</v>
      </c>
      <c r="D372" s="73">
        <v>4259934.2317088209</v>
      </c>
      <c r="E372" s="72">
        <v>298195.39621961745</v>
      </c>
      <c r="F372" s="72" t="s">
        <v>70</v>
      </c>
      <c r="G372" s="72" t="s">
        <v>71</v>
      </c>
      <c r="H372" s="72" t="s">
        <v>72</v>
      </c>
    </row>
    <row r="373" spans="1:8" x14ac:dyDescent="0.25">
      <c r="A373" s="43" t="s">
        <v>981</v>
      </c>
      <c r="B373" s="43" t="s">
        <v>149</v>
      </c>
      <c r="C373" s="46">
        <v>168</v>
      </c>
      <c r="D373" s="46">
        <v>4259934.2317088209</v>
      </c>
      <c r="E373" s="43">
        <v>298195.39621961745</v>
      </c>
      <c r="F373" s="43" t="s">
        <v>70</v>
      </c>
      <c r="G373" s="43" t="s">
        <v>71</v>
      </c>
      <c r="H373" s="43" t="s">
        <v>72</v>
      </c>
    </row>
    <row r="374" spans="1:8" x14ac:dyDescent="0.25">
      <c r="A374" s="43" t="s">
        <v>422</v>
      </c>
      <c r="B374" s="43" t="s">
        <v>100</v>
      </c>
      <c r="C374" s="46">
        <v>168</v>
      </c>
      <c r="D374" s="46">
        <v>4706981.3746728422</v>
      </c>
      <c r="E374" s="43">
        <v>423628.32372055581</v>
      </c>
      <c r="F374" s="43" t="s">
        <v>78</v>
      </c>
      <c r="G374" s="43" t="s">
        <v>71</v>
      </c>
      <c r="H374" s="43" t="s">
        <v>72</v>
      </c>
    </row>
    <row r="375" spans="1:8" x14ac:dyDescent="0.25">
      <c r="A375" s="43" t="s">
        <v>1450</v>
      </c>
      <c r="B375" s="43" t="s">
        <v>303</v>
      </c>
      <c r="C375" s="46">
        <v>168</v>
      </c>
      <c r="D375" s="46">
        <v>4008433.9756012065</v>
      </c>
      <c r="E375" s="43">
        <v>240506.03853607245</v>
      </c>
      <c r="F375" s="43" t="s">
        <v>70</v>
      </c>
      <c r="G375" s="43" t="s">
        <v>71</v>
      </c>
      <c r="H375" s="43" t="s">
        <v>72</v>
      </c>
    </row>
    <row r="376" spans="1:8" x14ac:dyDescent="0.25">
      <c r="A376" s="72" t="s">
        <v>1451</v>
      </c>
      <c r="B376" s="72" t="s">
        <v>102</v>
      </c>
      <c r="C376" s="73">
        <v>168</v>
      </c>
      <c r="D376" s="73">
        <v>4008433.9756012065</v>
      </c>
      <c r="E376" s="72">
        <v>240506.03853607245</v>
      </c>
      <c r="F376" s="72" t="s">
        <v>70</v>
      </c>
      <c r="G376" s="72" t="s">
        <v>71</v>
      </c>
      <c r="H376" s="72" t="s">
        <v>72</v>
      </c>
    </row>
    <row r="377" spans="1:8" x14ac:dyDescent="0.25">
      <c r="A377" s="43" t="s">
        <v>2069</v>
      </c>
      <c r="B377" s="43" t="s">
        <v>105</v>
      </c>
      <c r="C377" s="46">
        <v>168</v>
      </c>
      <c r="D377" s="46">
        <v>3662573.9015136114</v>
      </c>
      <c r="E377" s="43">
        <v>183128.69507568059</v>
      </c>
      <c r="F377" s="43" t="s">
        <v>70</v>
      </c>
      <c r="G377" s="43" t="s">
        <v>71</v>
      </c>
      <c r="H377" s="43" t="s">
        <v>72</v>
      </c>
    </row>
    <row r="378" spans="1:8" x14ac:dyDescent="0.25">
      <c r="A378" s="72" t="s">
        <v>357</v>
      </c>
      <c r="B378" s="72" t="s">
        <v>83</v>
      </c>
      <c r="C378" s="73">
        <v>168</v>
      </c>
      <c r="D378" s="73">
        <v>4969733.369535598</v>
      </c>
      <c r="E378" s="72">
        <v>546670.67064891581</v>
      </c>
      <c r="F378" s="72" t="s">
        <v>84</v>
      </c>
      <c r="G378" s="72" t="s">
        <v>71</v>
      </c>
      <c r="H378" s="72" t="s">
        <v>72</v>
      </c>
    </row>
    <row r="379" spans="1:8" x14ac:dyDescent="0.25">
      <c r="A379" s="72" t="s">
        <v>2072</v>
      </c>
      <c r="B379" s="72" t="s">
        <v>74</v>
      </c>
      <c r="C379" s="73">
        <v>167</v>
      </c>
      <c r="D379" s="73">
        <v>3643146.1329171686</v>
      </c>
      <c r="E379" s="72">
        <v>182157.30664585845</v>
      </c>
      <c r="F379" s="72" t="s">
        <v>70</v>
      </c>
      <c r="G379" s="72" t="s">
        <v>71</v>
      </c>
      <c r="H379" s="72" t="s">
        <v>72</v>
      </c>
    </row>
    <row r="380" spans="1:8" x14ac:dyDescent="0.25">
      <c r="A380" s="43" t="s">
        <v>994</v>
      </c>
      <c r="B380" s="43" t="s">
        <v>97</v>
      </c>
      <c r="C380" s="46">
        <v>167</v>
      </c>
      <c r="D380" s="46">
        <v>4236950.7468612157</v>
      </c>
      <c r="E380" s="43">
        <v>296586.55228028505</v>
      </c>
      <c r="F380" s="43" t="s">
        <v>70</v>
      </c>
      <c r="G380" s="43" t="s">
        <v>71</v>
      </c>
      <c r="H380" s="43" t="s">
        <v>72</v>
      </c>
    </row>
    <row r="381" spans="1:8" x14ac:dyDescent="0.25">
      <c r="A381" s="72" t="s">
        <v>995</v>
      </c>
      <c r="B381" s="72" t="s">
        <v>996</v>
      </c>
      <c r="C381" s="73">
        <v>167</v>
      </c>
      <c r="D381" s="73">
        <v>4236950.7468612157</v>
      </c>
      <c r="E381" s="72">
        <v>296586.55228028505</v>
      </c>
      <c r="F381" s="72" t="s">
        <v>70</v>
      </c>
      <c r="G381" s="72" t="s">
        <v>71</v>
      </c>
      <c r="H381" s="72" t="s">
        <v>72</v>
      </c>
    </row>
    <row r="382" spans="1:8" x14ac:dyDescent="0.25">
      <c r="A382" s="43" t="s">
        <v>997</v>
      </c>
      <c r="B382" s="43" t="s">
        <v>75</v>
      </c>
      <c r="C382" s="46">
        <v>167</v>
      </c>
      <c r="D382" s="46">
        <v>4236950.7468612157</v>
      </c>
      <c r="E382" s="43">
        <v>296586.55228028505</v>
      </c>
      <c r="F382" s="43" t="s">
        <v>70</v>
      </c>
      <c r="G382" s="43" t="s">
        <v>71</v>
      </c>
      <c r="H382" s="43" t="s">
        <v>72</v>
      </c>
    </row>
    <row r="383" spans="1:8" x14ac:dyDescent="0.25">
      <c r="A383" s="43" t="s">
        <v>327</v>
      </c>
      <c r="B383" s="43" t="s">
        <v>83</v>
      </c>
      <c r="C383" s="46">
        <v>167</v>
      </c>
      <c r="D383" s="46">
        <v>5119574.9744740799</v>
      </c>
      <c r="E383" s="43">
        <v>614348.9969368896</v>
      </c>
      <c r="F383" s="43" t="s">
        <v>84</v>
      </c>
      <c r="G383" s="43" t="s">
        <v>71</v>
      </c>
      <c r="H383" s="43" t="s">
        <v>72</v>
      </c>
    </row>
    <row r="384" spans="1:8" x14ac:dyDescent="0.25">
      <c r="A384" s="72" t="s">
        <v>386</v>
      </c>
      <c r="B384" s="72" t="s">
        <v>115</v>
      </c>
      <c r="C384" s="73">
        <v>167</v>
      </c>
      <c r="D384" s="73">
        <v>4751320.4837791799</v>
      </c>
      <c r="E384" s="72">
        <v>475132.04837791802</v>
      </c>
      <c r="F384" s="72" t="s">
        <v>84</v>
      </c>
      <c r="G384" s="72" t="s">
        <v>71</v>
      </c>
      <c r="H384" s="72" t="s">
        <v>72</v>
      </c>
    </row>
    <row r="385" spans="1:8" x14ac:dyDescent="0.25">
      <c r="A385" s="43" t="s">
        <v>1230</v>
      </c>
      <c r="B385" s="43" t="s">
        <v>291</v>
      </c>
      <c r="C385" s="46">
        <v>166</v>
      </c>
      <c r="D385" s="46">
        <v>3777718.5012937631</v>
      </c>
      <c r="E385" s="43">
        <v>264440.29509056336</v>
      </c>
      <c r="F385" s="43" t="s">
        <v>106</v>
      </c>
      <c r="G385" s="43" t="s">
        <v>71</v>
      </c>
      <c r="H385" s="43" t="s">
        <v>72</v>
      </c>
    </row>
    <row r="386" spans="1:8" x14ac:dyDescent="0.25">
      <c r="A386" s="72" t="s">
        <v>639</v>
      </c>
      <c r="B386" s="72" t="s">
        <v>143</v>
      </c>
      <c r="C386" s="73">
        <v>166</v>
      </c>
      <c r="D386" s="73">
        <v>4477893.6619438175</v>
      </c>
      <c r="E386" s="72">
        <v>358231.49295550538</v>
      </c>
      <c r="F386" s="72" t="s">
        <v>78</v>
      </c>
      <c r="G386" s="72" t="s">
        <v>71</v>
      </c>
      <c r="H386" s="72" t="s">
        <v>72</v>
      </c>
    </row>
    <row r="387" spans="1:8" x14ac:dyDescent="0.25">
      <c r="A387" s="72" t="s">
        <v>408</v>
      </c>
      <c r="B387" s="72" t="s">
        <v>75</v>
      </c>
      <c r="C387" s="73">
        <v>166</v>
      </c>
      <c r="D387" s="73">
        <v>4007272.6477233008</v>
      </c>
      <c r="E387" s="72">
        <v>440799.99124956317</v>
      </c>
      <c r="F387" s="72" t="s">
        <v>106</v>
      </c>
      <c r="G387" s="72" t="s">
        <v>71</v>
      </c>
      <c r="H387" s="72" t="s">
        <v>72</v>
      </c>
    </row>
    <row r="388" spans="1:8" x14ac:dyDescent="0.25">
      <c r="A388" s="72" t="s">
        <v>275</v>
      </c>
      <c r="B388" s="72" t="s">
        <v>115</v>
      </c>
      <c r="C388" s="73">
        <v>166</v>
      </c>
      <c r="D388" s="73">
        <v>5408431.539417712</v>
      </c>
      <c r="E388" s="72">
        <v>757180.41551847965</v>
      </c>
      <c r="F388" s="72" t="s">
        <v>84</v>
      </c>
      <c r="G388" s="72" t="s">
        <v>71</v>
      </c>
      <c r="H388" s="72" t="s">
        <v>72</v>
      </c>
    </row>
    <row r="389" spans="1:8" x14ac:dyDescent="0.25">
      <c r="A389" s="43" t="s">
        <v>409</v>
      </c>
      <c r="B389" s="43" t="s">
        <v>77</v>
      </c>
      <c r="C389" s="46">
        <v>166</v>
      </c>
      <c r="D389" s="46">
        <v>4007272.6477233008</v>
      </c>
      <c r="E389" s="43">
        <v>440799.99124956317</v>
      </c>
      <c r="F389" s="43" t="s">
        <v>106</v>
      </c>
      <c r="G389" s="43" t="s">
        <v>71</v>
      </c>
      <c r="H389" s="43" t="s">
        <v>72</v>
      </c>
    </row>
    <row r="390" spans="1:8" x14ac:dyDescent="0.25">
      <c r="A390" s="43" t="s">
        <v>678</v>
      </c>
      <c r="B390" s="43" t="s">
        <v>257</v>
      </c>
      <c r="C390" s="46">
        <v>165</v>
      </c>
      <c r="D390" s="46">
        <v>3884489.8431227147</v>
      </c>
      <c r="E390" s="43">
        <v>349604.08588104433</v>
      </c>
      <c r="F390" s="43" t="s">
        <v>106</v>
      </c>
      <c r="G390" s="43" t="s">
        <v>71</v>
      </c>
      <c r="H390" s="43" t="s">
        <v>72</v>
      </c>
    </row>
    <row r="391" spans="1:8" x14ac:dyDescent="0.25">
      <c r="A391" s="72" t="s">
        <v>2678</v>
      </c>
      <c r="B391" s="72" t="s">
        <v>149</v>
      </c>
      <c r="C391" s="73">
        <v>165</v>
      </c>
      <c r="D391" s="73">
        <v>3450892.0454242202</v>
      </c>
      <c r="E391" s="72">
        <v>138035.6818169688</v>
      </c>
      <c r="F391" s="72" t="s">
        <v>106</v>
      </c>
      <c r="G391" s="72" t="s">
        <v>71</v>
      </c>
      <c r="H391" s="72" t="s">
        <v>72</v>
      </c>
    </row>
    <row r="392" spans="1:8" x14ac:dyDescent="0.25">
      <c r="A392" s="43" t="s">
        <v>3329</v>
      </c>
      <c r="B392" s="43" t="s">
        <v>73</v>
      </c>
      <c r="C392" s="46">
        <v>165</v>
      </c>
      <c r="D392" s="46">
        <v>3253765.033659467</v>
      </c>
      <c r="E392" s="43">
        <v>97612.951009784025</v>
      </c>
      <c r="F392" s="43" t="s">
        <v>106</v>
      </c>
      <c r="G392" s="43" t="s">
        <v>71</v>
      </c>
      <c r="H392" s="43" t="s">
        <v>72</v>
      </c>
    </row>
    <row r="393" spans="1:8" x14ac:dyDescent="0.25">
      <c r="A393" s="72" t="s">
        <v>1497</v>
      </c>
      <c r="B393" s="72" t="s">
        <v>211</v>
      </c>
      <c r="C393" s="73">
        <v>165</v>
      </c>
      <c r="D393" s="73">
        <v>3943895.8413718571</v>
      </c>
      <c r="E393" s="72">
        <v>236633.75048231147</v>
      </c>
      <c r="F393" s="72" t="s">
        <v>70</v>
      </c>
      <c r="G393" s="72" t="s">
        <v>71</v>
      </c>
      <c r="H393" s="72" t="s">
        <v>72</v>
      </c>
    </row>
    <row r="394" spans="1:8" x14ac:dyDescent="0.25">
      <c r="A394" s="72" t="s">
        <v>2686</v>
      </c>
      <c r="B394" s="72" t="s">
        <v>77</v>
      </c>
      <c r="C394" s="73">
        <v>164</v>
      </c>
      <c r="D394" s="73">
        <v>3432172.055024059</v>
      </c>
      <c r="E394" s="72">
        <v>137286.88220096237</v>
      </c>
      <c r="F394" s="72" t="s">
        <v>106</v>
      </c>
      <c r="G394" s="72" t="s">
        <v>71</v>
      </c>
      <c r="H394" s="72" t="s">
        <v>72</v>
      </c>
    </row>
    <row r="395" spans="1:8" x14ac:dyDescent="0.25">
      <c r="A395" s="72" t="s">
        <v>1033</v>
      </c>
      <c r="B395" s="72" t="s">
        <v>223</v>
      </c>
      <c r="C395" s="73">
        <v>164</v>
      </c>
      <c r="D395" s="73">
        <v>4167842.7060088725</v>
      </c>
      <c r="E395" s="72">
        <v>291748.98942062102</v>
      </c>
      <c r="F395" s="72" t="s">
        <v>70</v>
      </c>
      <c r="G395" s="72" t="s">
        <v>71</v>
      </c>
      <c r="H395" s="72" t="s">
        <v>72</v>
      </c>
    </row>
    <row r="396" spans="1:8" x14ac:dyDescent="0.25">
      <c r="A396" s="72" t="s">
        <v>577</v>
      </c>
      <c r="B396" s="72" t="s">
        <v>83</v>
      </c>
      <c r="C396" s="73">
        <v>164</v>
      </c>
      <c r="D396" s="73">
        <v>4615158.8509992603</v>
      </c>
      <c r="E396" s="72">
        <v>369212.70807994081</v>
      </c>
      <c r="F396" s="72" t="s">
        <v>87</v>
      </c>
      <c r="G396" s="72" t="s">
        <v>71</v>
      </c>
      <c r="H396" s="72" t="s">
        <v>88</v>
      </c>
    </row>
    <row r="397" spans="1:8" x14ac:dyDescent="0.25">
      <c r="A397" s="43" t="s">
        <v>2109</v>
      </c>
      <c r="B397" s="43" t="s">
        <v>211</v>
      </c>
      <c r="C397" s="46">
        <v>164</v>
      </c>
      <c r="D397" s="46">
        <v>3584705.2408183101</v>
      </c>
      <c r="E397" s="43">
        <v>179235.26204091552</v>
      </c>
      <c r="F397" s="43" t="s">
        <v>70</v>
      </c>
      <c r="G397" s="43" t="s">
        <v>71</v>
      </c>
      <c r="H397" s="43" t="s">
        <v>72</v>
      </c>
    </row>
    <row r="398" spans="1:8" x14ac:dyDescent="0.25">
      <c r="A398" s="72" t="s">
        <v>1284</v>
      </c>
      <c r="B398" s="72" t="s">
        <v>77</v>
      </c>
      <c r="C398" s="73">
        <v>164</v>
      </c>
      <c r="D398" s="73">
        <v>4312113.7463716809</v>
      </c>
      <c r="E398" s="72">
        <v>258726.82478230086</v>
      </c>
      <c r="F398" s="72" t="s">
        <v>87</v>
      </c>
      <c r="G398" s="72" t="s">
        <v>71</v>
      </c>
      <c r="H398" s="72" t="s">
        <v>88</v>
      </c>
    </row>
    <row r="399" spans="1:8" x14ac:dyDescent="0.25">
      <c r="A399" s="72" t="s">
        <v>1812</v>
      </c>
      <c r="B399" s="72" t="s">
        <v>93</v>
      </c>
      <c r="C399" s="73">
        <v>164</v>
      </c>
      <c r="D399" s="73">
        <v>4102538.5372464051</v>
      </c>
      <c r="E399" s="72">
        <v>205126.92686232028</v>
      </c>
      <c r="F399" s="72" t="s">
        <v>87</v>
      </c>
      <c r="G399" s="72" t="s">
        <v>71</v>
      </c>
      <c r="H399" s="72" t="s">
        <v>88</v>
      </c>
    </row>
    <row r="400" spans="1:8" x14ac:dyDescent="0.25">
      <c r="A400" s="43" t="s">
        <v>1285</v>
      </c>
      <c r="B400" s="43" t="s">
        <v>155</v>
      </c>
      <c r="C400" s="46">
        <v>164</v>
      </c>
      <c r="D400" s="46">
        <v>4312113.7463716809</v>
      </c>
      <c r="E400" s="43">
        <v>258726.82478230086</v>
      </c>
      <c r="F400" s="43" t="s">
        <v>87</v>
      </c>
      <c r="G400" s="43" t="s">
        <v>71</v>
      </c>
      <c r="H400" s="43" t="s">
        <v>88</v>
      </c>
    </row>
    <row r="401" spans="1:8" x14ac:dyDescent="0.25">
      <c r="A401" s="72" t="s">
        <v>679</v>
      </c>
      <c r="B401" s="72" t="s">
        <v>85</v>
      </c>
      <c r="C401" s="73">
        <v>164</v>
      </c>
      <c r="D401" s="73">
        <v>4367829.819211971</v>
      </c>
      <c r="E401" s="72">
        <v>349426.38553695771</v>
      </c>
      <c r="F401" s="72" t="s">
        <v>70</v>
      </c>
      <c r="G401" s="72" t="s">
        <v>71</v>
      </c>
      <c r="H401" s="72" t="s">
        <v>72</v>
      </c>
    </row>
    <row r="402" spans="1:8" x14ac:dyDescent="0.25">
      <c r="A402" s="43" t="s">
        <v>1513</v>
      </c>
      <c r="B402" s="43" t="s">
        <v>378</v>
      </c>
      <c r="C402" s="46">
        <v>163</v>
      </c>
      <c r="D402" s="46">
        <v>3900738.9092180422</v>
      </c>
      <c r="E402" s="43">
        <v>234044.33455308256</v>
      </c>
      <c r="F402" s="43" t="s">
        <v>70</v>
      </c>
      <c r="G402" s="43" t="s">
        <v>71</v>
      </c>
      <c r="H402" s="43" t="s">
        <v>72</v>
      </c>
    </row>
    <row r="403" spans="1:8" x14ac:dyDescent="0.25">
      <c r="A403" s="72" t="s">
        <v>1268</v>
      </c>
      <c r="B403" s="72" t="s">
        <v>112</v>
      </c>
      <c r="C403" s="73">
        <v>163</v>
      </c>
      <c r="D403" s="73">
        <v>3715989.860159501</v>
      </c>
      <c r="E403" s="72">
        <v>260119.29021116503</v>
      </c>
      <c r="F403" s="72" t="s">
        <v>106</v>
      </c>
      <c r="G403" s="72" t="s">
        <v>71</v>
      </c>
      <c r="H403" s="72" t="s">
        <v>72</v>
      </c>
    </row>
    <row r="404" spans="1:8" x14ac:dyDescent="0.25">
      <c r="A404" s="43" t="s">
        <v>1045</v>
      </c>
      <c r="B404" s="43" t="s">
        <v>86</v>
      </c>
      <c r="C404" s="46">
        <v>163</v>
      </c>
      <c r="D404" s="46">
        <v>4144754.0386557882</v>
      </c>
      <c r="E404" s="43">
        <v>290132.78270590515</v>
      </c>
      <c r="F404" s="43" t="s">
        <v>70</v>
      </c>
      <c r="G404" s="43" t="s">
        <v>71</v>
      </c>
      <c r="H404" s="43" t="s">
        <v>72</v>
      </c>
    </row>
    <row r="405" spans="1:8" x14ac:dyDescent="0.25">
      <c r="A405" s="72" t="s">
        <v>2475</v>
      </c>
      <c r="B405" s="72" t="s">
        <v>393</v>
      </c>
      <c r="C405" s="73">
        <v>162</v>
      </c>
      <c r="D405" s="73">
        <v>3755898.7287784931</v>
      </c>
      <c r="E405" s="72">
        <v>150235.94915113974</v>
      </c>
      <c r="F405" s="72" t="s">
        <v>87</v>
      </c>
      <c r="G405" s="72" t="s">
        <v>71</v>
      </c>
      <c r="H405" s="72" t="s">
        <v>88</v>
      </c>
    </row>
    <row r="406" spans="1:8" x14ac:dyDescent="0.25">
      <c r="A406" s="72" t="s">
        <v>427</v>
      </c>
      <c r="B406" s="72" t="s">
        <v>73</v>
      </c>
      <c r="C406" s="73">
        <v>162</v>
      </c>
      <c r="D406" s="73">
        <v>4681205.0429314794</v>
      </c>
      <c r="E406" s="72">
        <v>421308.45386383316</v>
      </c>
      <c r="F406" s="72" t="s">
        <v>87</v>
      </c>
      <c r="G406" s="72" t="s">
        <v>71</v>
      </c>
      <c r="H406" s="72" t="s">
        <v>88</v>
      </c>
    </row>
    <row r="407" spans="1:8" x14ac:dyDescent="0.25">
      <c r="A407" s="72" t="s">
        <v>446</v>
      </c>
      <c r="B407" s="72" t="s">
        <v>115</v>
      </c>
      <c r="C407" s="73">
        <v>162</v>
      </c>
      <c r="D407" s="73">
        <v>4554493.9168866789</v>
      </c>
      <c r="E407" s="72">
        <v>409904.4525198011</v>
      </c>
      <c r="F407" s="72" t="s">
        <v>78</v>
      </c>
      <c r="G407" s="72" t="s">
        <v>71</v>
      </c>
      <c r="H407" s="72" t="s">
        <v>72</v>
      </c>
    </row>
    <row r="408" spans="1:8" x14ac:dyDescent="0.25">
      <c r="A408" s="43" t="s">
        <v>1057</v>
      </c>
      <c r="B408" s="43" t="s">
        <v>162</v>
      </c>
      <c r="C408" s="46">
        <v>162</v>
      </c>
      <c r="D408" s="46">
        <v>4121638.9818347557</v>
      </c>
      <c r="E408" s="43">
        <v>288514.72872843285</v>
      </c>
      <c r="F408" s="43" t="s">
        <v>70</v>
      </c>
      <c r="G408" s="43" t="s">
        <v>71</v>
      </c>
      <c r="H408" s="43" t="s">
        <v>72</v>
      </c>
    </row>
    <row r="409" spans="1:8" x14ac:dyDescent="0.25">
      <c r="A409" s="43" t="s">
        <v>702</v>
      </c>
      <c r="B409" s="43" t="s">
        <v>119</v>
      </c>
      <c r="C409" s="46">
        <v>161</v>
      </c>
      <c r="D409" s="46">
        <v>4294826.3102670684</v>
      </c>
      <c r="E409" s="43">
        <v>343586.1048213655</v>
      </c>
      <c r="F409" s="43" t="s">
        <v>70</v>
      </c>
      <c r="G409" s="43" t="s">
        <v>71</v>
      </c>
      <c r="H409" s="43" t="s">
        <v>72</v>
      </c>
    </row>
    <row r="410" spans="1:8" x14ac:dyDescent="0.25">
      <c r="A410" s="72" t="s">
        <v>681</v>
      </c>
      <c r="B410" s="72" t="s">
        <v>92</v>
      </c>
      <c r="C410" s="73">
        <v>161</v>
      </c>
      <c r="D410" s="73">
        <v>4355973.0003797831</v>
      </c>
      <c r="E410" s="72">
        <v>348477.84003038268</v>
      </c>
      <c r="F410" s="72" t="s">
        <v>78</v>
      </c>
      <c r="G410" s="72" t="s">
        <v>71</v>
      </c>
      <c r="H410" s="72" t="s">
        <v>72</v>
      </c>
    </row>
    <row r="411" spans="1:8" x14ac:dyDescent="0.25">
      <c r="A411" s="72" t="s">
        <v>2140</v>
      </c>
      <c r="B411" s="72" t="s">
        <v>97</v>
      </c>
      <c r="C411" s="73">
        <v>161</v>
      </c>
      <c r="D411" s="73">
        <v>3526027.1814781688</v>
      </c>
      <c r="E411" s="72">
        <v>176301.35907390845</v>
      </c>
      <c r="F411" s="72" t="s">
        <v>70</v>
      </c>
      <c r="G411" s="72" t="s">
        <v>71</v>
      </c>
      <c r="H411" s="72" t="s">
        <v>72</v>
      </c>
    </row>
    <row r="412" spans="1:8" x14ac:dyDescent="0.25">
      <c r="A412" s="72" t="s">
        <v>311</v>
      </c>
      <c r="B412" s="72" t="s">
        <v>204</v>
      </c>
      <c r="C412" s="73">
        <v>161</v>
      </c>
      <c r="D412" s="73">
        <v>5065985.6716721226</v>
      </c>
      <c r="E412" s="72">
        <v>658578.13731737598</v>
      </c>
      <c r="F412" s="72" t="s">
        <v>78</v>
      </c>
      <c r="G412" s="72" t="s">
        <v>71</v>
      </c>
      <c r="H412" s="72" t="s">
        <v>72</v>
      </c>
    </row>
    <row r="413" spans="1:8" x14ac:dyDescent="0.25">
      <c r="A413" s="72" t="s">
        <v>711</v>
      </c>
      <c r="B413" s="72" t="s">
        <v>85</v>
      </c>
      <c r="C413" s="73">
        <v>160</v>
      </c>
      <c r="D413" s="73">
        <v>4270438.9279544093</v>
      </c>
      <c r="E413" s="72">
        <v>341635.11423635273</v>
      </c>
      <c r="F413" s="72" t="s">
        <v>70</v>
      </c>
      <c r="G413" s="72" t="s">
        <v>71</v>
      </c>
      <c r="H413" s="72" t="s">
        <v>72</v>
      </c>
    </row>
    <row r="414" spans="1:8" x14ac:dyDescent="0.25">
      <c r="A414" s="72" t="s">
        <v>1546</v>
      </c>
      <c r="B414" s="72" t="s">
        <v>77</v>
      </c>
      <c r="C414" s="73">
        <v>160</v>
      </c>
      <c r="D414" s="73">
        <v>3835805.4957838566</v>
      </c>
      <c r="E414" s="72">
        <v>230148.32974703144</v>
      </c>
      <c r="F414" s="72" t="s">
        <v>70</v>
      </c>
      <c r="G414" s="72" t="s">
        <v>71</v>
      </c>
      <c r="H414" s="72" t="s">
        <v>72</v>
      </c>
    </row>
    <row r="415" spans="1:8" x14ac:dyDescent="0.25">
      <c r="A415" s="43" t="s">
        <v>628</v>
      </c>
      <c r="B415" s="43" t="s">
        <v>105</v>
      </c>
      <c r="C415" s="46">
        <v>160</v>
      </c>
      <c r="D415" s="46">
        <v>4510265.5913459398</v>
      </c>
      <c r="E415" s="43">
        <v>360821.24730767519</v>
      </c>
      <c r="F415" s="43" t="s">
        <v>87</v>
      </c>
      <c r="G415" s="43" t="s">
        <v>71</v>
      </c>
      <c r="H415" s="43" t="s">
        <v>88</v>
      </c>
    </row>
    <row r="416" spans="1:8" x14ac:dyDescent="0.25">
      <c r="A416" s="43" t="s">
        <v>1080</v>
      </c>
      <c r="B416" s="43" t="s">
        <v>303</v>
      </c>
      <c r="C416" s="46">
        <v>160</v>
      </c>
      <c r="D416" s="46">
        <v>4075329.5492196791</v>
      </c>
      <c r="E416" s="43">
        <v>285273.06844537752</v>
      </c>
      <c r="F416" s="43" t="s">
        <v>70</v>
      </c>
      <c r="G416" s="43" t="s">
        <v>71</v>
      </c>
      <c r="H416" s="43" t="s">
        <v>72</v>
      </c>
    </row>
    <row r="417" spans="1:8" x14ac:dyDescent="0.25">
      <c r="A417" s="43" t="s">
        <v>2731</v>
      </c>
      <c r="B417" s="43" t="s">
        <v>127</v>
      </c>
      <c r="C417" s="46">
        <v>160</v>
      </c>
      <c r="D417" s="46">
        <v>3357049.0155856744</v>
      </c>
      <c r="E417" s="43">
        <v>134281.96062342697</v>
      </c>
      <c r="F417" s="43" t="s">
        <v>106</v>
      </c>
      <c r="G417" s="43" t="s">
        <v>71</v>
      </c>
      <c r="H417" s="43" t="s">
        <v>72</v>
      </c>
    </row>
    <row r="418" spans="1:8" x14ac:dyDescent="0.25">
      <c r="A418" s="72" t="s">
        <v>629</v>
      </c>
      <c r="B418" s="72" t="s">
        <v>83</v>
      </c>
      <c r="C418" s="73">
        <v>160</v>
      </c>
      <c r="D418" s="73">
        <v>4510265.5913459398</v>
      </c>
      <c r="E418" s="72">
        <v>360821.24730767519</v>
      </c>
      <c r="F418" s="72" t="s">
        <v>87</v>
      </c>
      <c r="G418" s="72" t="s">
        <v>71</v>
      </c>
      <c r="H418" s="72" t="s">
        <v>88</v>
      </c>
    </row>
    <row r="419" spans="1:8" x14ac:dyDescent="0.25">
      <c r="A419" s="43" t="s">
        <v>312</v>
      </c>
      <c r="B419" s="43" t="s">
        <v>92</v>
      </c>
      <c r="C419" s="46">
        <v>159</v>
      </c>
      <c r="D419" s="46">
        <v>5008190.6790448539</v>
      </c>
      <c r="E419" s="43">
        <v>651064.78827583103</v>
      </c>
      <c r="F419" s="43" t="s">
        <v>78</v>
      </c>
      <c r="G419" s="43" t="s">
        <v>71</v>
      </c>
      <c r="H419" s="43" t="s">
        <v>72</v>
      </c>
    </row>
    <row r="420" spans="1:8" x14ac:dyDescent="0.25">
      <c r="A420" s="72" t="s">
        <v>2524</v>
      </c>
      <c r="B420" s="72" t="s">
        <v>393</v>
      </c>
      <c r="C420" s="73">
        <v>159</v>
      </c>
      <c r="D420" s="73">
        <v>3692069.5653011589</v>
      </c>
      <c r="E420" s="72">
        <v>147682.78261204637</v>
      </c>
      <c r="F420" s="72" t="s">
        <v>87</v>
      </c>
      <c r="G420" s="72" t="s">
        <v>71</v>
      </c>
      <c r="H420" s="72" t="s">
        <v>88</v>
      </c>
    </row>
    <row r="421" spans="1:8" x14ac:dyDescent="0.25">
      <c r="A421" s="43" t="s">
        <v>1088</v>
      </c>
      <c r="B421" s="43" t="s">
        <v>77</v>
      </c>
      <c r="C421" s="46">
        <v>159</v>
      </c>
      <c r="D421" s="46">
        <v>4052135.0980233788</v>
      </c>
      <c r="E421" s="43">
        <v>283649.45686163648</v>
      </c>
      <c r="F421" s="43" t="s">
        <v>70</v>
      </c>
      <c r="G421" s="43" t="s">
        <v>71</v>
      </c>
      <c r="H421" s="43" t="s">
        <v>72</v>
      </c>
    </row>
    <row r="422" spans="1:8" x14ac:dyDescent="0.25">
      <c r="A422" s="72" t="s">
        <v>2746</v>
      </c>
      <c r="B422" s="72" t="s">
        <v>75</v>
      </c>
      <c r="C422" s="73">
        <v>159</v>
      </c>
      <c r="D422" s="73">
        <v>3338207.2701313929</v>
      </c>
      <c r="E422" s="72">
        <v>133528.2908052557</v>
      </c>
      <c r="F422" s="72" t="s">
        <v>106</v>
      </c>
      <c r="G422" s="72" t="s">
        <v>71</v>
      </c>
      <c r="H422" s="72" t="s">
        <v>72</v>
      </c>
    </row>
    <row r="423" spans="1:8" x14ac:dyDescent="0.25">
      <c r="A423" s="43" t="s">
        <v>1324</v>
      </c>
      <c r="B423" s="43" t="s">
        <v>105</v>
      </c>
      <c r="C423" s="46">
        <v>159</v>
      </c>
      <c r="D423" s="46">
        <v>3633344.4944586186</v>
      </c>
      <c r="E423" s="43">
        <v>254334.11461210327</v>
      </c>
      <c r="F423" s="43" t="s">
        <v>106</v>
      </c>
      <c r="G423" s="43" t="s">
        <v>71</v>
      </c>
      <c r="H423" s="43" t="s">
        <v>72</v>
      </c>
    </row>
    <row r="424" spans="1:8" x14ac:dyDescent="0.25">
      <c r="A424" s="43" t="s">
        <v>261</v>
      </c>
      <c r="B424" s="43" t="s">
        <v>83</v>
      </c>
      <c r="C424" s="46">
        <v>159</v>
      </c>
      <c r="D424" s="46">
        <v>5339406.4014194328</v>
      </c>
      <c r="E424" s="43">
        <v>800910.96021291486</v>
      </c>
      <c r="F424" s="43" t="s">
        <v>84</v>
      </c>
      <c r="G424" s="43" t="s">
        <v>71</v>
      </c>
      <c r="H424" s="43" t="s">
        <v>72</v>
      </c>
    </row>
    <row r="425" spans="1:8" x14ac:dyDescent="0.25">
      <c r="A425" s="72" t="s">
        <v>283</v>
      </c>
      <c r="B425" s="72" t="s">
        <v>83</v>
      </c>
      <c r="C425" s="73">
        <v>159</v>
      </c>
      <c r="D425" s="73">
        <v>5200526.5813407367</v>
      </c>
      <c r="E425" s="72">
        <v>728073.72138770309</v>
      </c>
      <c r="F425" s="72" t="s">
        <v>84</v>
      </c>
      <c r="G425" s="72" t="s">
        <v>71</v>
      </c>
      <c r="H425" s="72" t="s">
        <v>72</v>
      </c>
    </row>
    <row r="426" spans="1:8" x14ac:dyDescent="0.25">
      <c r="A426" s="43" t="s">
        <v>1543</v>
      </c>
      <c r="B426" s="43" t="s">
        <v>83</v>
      </c>
      <c r="C426" s="46">
        <v>158</v>
      </c>
      <c r="D426" s="46">
        <v>3842129.6198141486</v>
      </c>
      <c r="E426" s="43">
        <v>230527.77718884897</v>
      </c>
      <c r="F426" s="43" t="s">
        <v>78</v>
      </c>
      <c r="G426" s="43" t="s">
        <v>71</v>
      </c>
      <c r="H426" s="43" t="s">
        <v>72</v>
      </c>
    </row>
    <row r="427" spans="1:8" x14ac:dyDescent="0.25">
      <c r="A427" s="72" t="s">
        <v>737</v>
      </c>
      <c r="B427" s="72" t="s">
        <v>77</v>
      </c>
      <c r="C427" s="73">
        <v>157</v>
      </c>
      <c r="D427" s="73">
        <v>4197117.6148774792</v>
      </c>
      <c r="E427" s="72">
        <v>335769.40919019835</v>
      </c>
      <c r="F427" s="72" t="s">
        <v>70</v>
      </c>
      <c r="G427" s="72" t="s">
        <v>71</v>
      </c>
      <c r="H427" s="72" t="s">
        <v>72</v>
      </c>
    </row>
    <row r="428" spans="1:8" x14ac:dyDescent="0.25">
      <c r="A428" s="72" t="s">
        <v>1586</v>
      </c>
      <c r="B428" s="72" t="s">
        <v>85</v>
      </c>
      <c r="C428" s="73">
        <v>157</v>
      </c>
      <c r="D428" s="73">
        <v>3770633.5595601238</v>
      </c>
      <c r="E428" s="72">
        <v>226238.01357360749</v>
      </c>
      <c r="F428" s="72" t="s">
        <v>70</v>
      </c>
      <c r="G428" s="72" t="s">
        <v>71</v>
      </c>
      <c r="H428" s="72" t="s">
        <v>72</v>
      </c>
    </row>
    <row r="429" spans="1:8" x14ac:dyDescent="0.25">
      <c r="A429" s="43" t="s">
        <v>738</v>
      </c>
      <c r="B429" s="43" t="s">
        <v>102</v>
      </c>
      <c r="C429" s="46">
        <v>157</v>
      </c>
      <c r="D429" s="46">
        <v>4197117.6148774792</v>
      </c>
      <c r="E429" s="43">
        <v>335769.40919019835</v>
      </c>
      <c r="F429" s="43" t="s">
        <v>70</v>
      </c>
      <c r="G429" s="43" t="s">
        <v>71</v>
      </c>
      <c r="H429" s="43" t="s">
        <v>72</v>
      </c>
    </row>
    <row r="430" spans="1:8" x14ac:dyDescent="0.25">
      <c r="A430" s="43" t="s">
        <v>1112</v>
      </c>
      <c r="B430" s="43" t="s">
        <v>89</v>
      </c>
      <c r="C430" s="46">
        <v>157</v>
      </c>
      <c r="D430" s="46">
        <v>4005666.536994026</v>
      </c>
      <c r="E430" s="43">
        <v>280396.6575895818</v>
      </c>
      <c r="F430" s="43" t="s">
        <v>70</v>
      </c>
      <c r="G430" s="43" t="s">
        <v>71</v>
      </c>
      <c r="H430" s="43" t="s">
        <v>72</v>
      </c>
    </row>
    <row r="431" spans="1:8" x14ac:dyDescent="0.25">
      <c r="A431" s="43" t="s">
        <v>1587</v>
      </c>
      <c r="B431" s="43" t="s">
        <v>105</v>
      </c>
      <c r="C431" s="46">
        <v>157</v>
      </c>
      <c r="D431" s="46">
        <v>3770633.5595601238</v>
      </c>
      <c r="E431" s="43">
        <v>226238.01357360749</v>
      </c>
      <c r="F431" s="43" t="s">
        <v>70</v>
      </c>
      <c r="G431" s="43" t="s">
        <v>71</v>
      </c>
      <c r="H431" s="43" t="s">
        <v>72</v>
      </c>
    </row>
    <row r="432" spans="1:8" x14ac:dyDescent="0.25">
      <c r="A432" s="43" t="s">
        <v>3390</v>
      </c>
      <c r="B432" s="43" t="s">
        <v>105</v>
      </c>
      <c r="C432" s="46">
        <v>157</v>
      </c>
      <c r="D432" s="46">
        <v>3112880.9545127484</v>
      </c>
      <c r="E432" s="43">
        <v>93386.428635382472</v>
      </c>
      <c r="F432" s="43" t="s">
        <v>106</v>
      </c>
      <c r="G432" s="43" t="s">
        <v>71</v>
      </c>
      <c r="H432" s="43" t="s">
        <v>72</v>
      </c>
    </row>
    <row r="433" spans="1:8" x14ac:dyDescent="0.25">
      <c r="A433" s="72" t="s">
        <v>739</v>
      </c>
      <c r="B433" s="72" t="s">
        <v>85</v>
      </c>
      <c r="C433" s="73">
        <v>157</v>
      </c>
      <c r="D433" s="73">
        <v>4197117.6148774792</v>
      </c>
      <c r="E433" s="72">
        <v>335769.40919019835</v>
      </c>
      <c r="F433" s="72" t="s">
        <v>70</v>
      </c>
      <c r="G433" s="72" t="s">
        <v>71</v>
      </c>
      <c r="H433" s="72" t="s">
        <v>72</v>
      </c>
    </row>
    <row r="434" spans="1:8" x14ac:dyDescent="0.25">
      <c r="A434" s="72" t="s">
        <v>471</v>
      </c>
      <c r="B434" s="72" t="s">
        <v>102</v>
      </c>
      <c r="C434" s="73">
        <v>156</v>
      </c>
      <c r="D434" s="73">
        <v>4336015.179213319</v>
      </c>
      <c r="E434" s="72">
        <v>390241.36612919869</v>
      </c>
      <c r="F434" s="72" t="s">
        <v>70</v>
      </c>
      <c r="G434" s="72" t="s">
        <v>71</v>
      </c>
      <c r="H434" s="72" t="s">
        <v>72</v>
      </c>
    </row>
    <row r="435" spans="1:8" x14ac:dyDescent="0.25">
      <c r="A435" s="43" t="s">
        <v>753</v>
      </c>
      <c r="B435" s="43" t="s">
        <v>73</v>
      </c>
      <c r="C435" s="46">
        <v>156</v>
      </c>
      <c r="D435" s="46">
        <v>4172623.9957419792</v>
      </c>
      <c r="E435" s="43">
        <v>333809.91965935833</v>
      </c>
      <c r="F435" s="43" t="s">
        <v>70</v>
      </c>
      <c r="G435" s="43" t="s">
        <v>71</v>
      </c>
      <c r="H435" s="43" t="s">
        <v>72</v>
      </c>
    </row>
    <row r="436" spans="1:8" x14ac:dyDescent="0.25">
      <c r="A436" s="43" t="s">
        <v>1126</v>
      </c>
      <c r="B436" s="43" t="s">
        <v>85</v>
      </c>
      <c r="C436" s="46">
        <v>156</v>
      </c>
      <c r="D436" s="46">
        <v>3982392.3514756178</v>
      </c>
      <c r="E436" s="43">
        <v>278767.46460329322</v>
      </c>
      <c r="F436" s="43" t="s">
        <v>70</v>
      </c>
      <c r="G436" s="43" t="s">
        <v>71</v>
      </c>
      <c r="H436" s="43" t="s">
        <v>72</v>
      </c>
    </row>
    <row r="437" spans="1:8" x14ac:dyDescent="0.25">
      <c r="A437" s="43" t="s">
        <v>472</v>
      </c>
      <c r="B437" s="43" t="s">
        <v>112</v>
      </c>
      <c r="C437" s="46">
        <v>156</v>
      </c>
      <c r="D437" s="46">
        <v>4336015.179213319</v>
      </c>
      <c r="E437" s="43">
        <v>390241.36612919869</v>
      </c>
      <c r="F437" s="43" t="s">
        <v>70</v>
      </c>
      <c r="G437" s="43" t="s">
        <v>71</v>
      </c>
      <c r="H437" s="43" t="s">
        <v>72</v>
      </c>
    </row>
    <row r="438" spans="1:8" x14ac:dyDescent="0.25">
      <c r="A438" s="43" t="s">
        <v>448</v>
      </c>
      <c r="B438" s="43" t="s">
        <v>77</v>
      </c>
      <c r="C438" s="46">
        <v>156</v>
      </c>
      <c r="D438" s="46">
        <v>4519073.43096432</v>
      </c>
      <c r="E438" s="43">
        <v>406716.60878678877</v>
      </c>
      <c r="F438" s="43" t="s">
        <v>87</v>
      </c>
      <c r="G438" s="43" t="s">
        <v>71</v>
      </c>
      <c r="H438" s="43" t="s">
        <v>88</v>
      </c>
    </row>
    <row r="439" spans="1:8" x14ac:dyDescent="0.25">
      <c r="A439" s="72" t="s">
        <v>2211</v>
      </c>
      <c r="B439" s="72" t="s">
        <v>75</v>
      </c>
      <c r="C439" s="73">
        <v>155</v>
      </c>
      <c r="D439" s="73">
        <v>3407955.4931555479</v>
      </c>
      <c r="E439" s="72">
        <v>170397.77465777739</v>
      </c>
      <c r="F439" s="72" t="s">
        <v>70</v>
      </c>
      <c r="G439" s="72" t="s">
        <v>71</v>
      </c>
      <c r="H439" s="72" t="s">
        <v>72</v>
      </c>
    </row>
    <row r="440" spans="1:8" x14ac:dyDescent="0.25">
      <c r="A440" s="72" t="s">
        <v>766</v>
      </c>
      <c r="B440" s="72" t="s">
        <v>73</v>
      </c>
      <c r="C440" s="73">
        <v>155</v>
      </c>
      <c r="D440" s="73">
        <v>4148103.722734923</v>
      </c>
      <c r="E440" s="72">
        <v>331848.29781879386</v>
      </c>
      <c r="F440" s="72" t="s">
        <v>70</v>
      </c>
      <c r="G440" s="72" t="s">
        <v>71</v>
      </c>
      <c r="H440" s="72" t="s">
        <v>72</v>
      </c>
    </row>
    <row r="441" spans="1:8" x14ac:dyDescent="0.25">
      <c r="A441" s="72" t="s">
        <v>1614</v>
      </c>
      <c r="B441" s="72" t="s">
        <v>77</v>
      </c>
      <c r="C441" s="73">
        <v>155</v>
      </c>
      <c r="D441" s="73">
        <v>3727052.5853196983</v>
      </c>
      <c r="E441" s="72">
        <v>223623.15511918193</v>
      </c>
      <c r="F441" s="72" t="s">
        <v>70</v>
      </c>
      <c r="G441" s="72" t="s">
        <v>71</v>
      </c>
      <c r="H441" s="72" t="s">
        <v>72</v>
      </c>
    </row>
    <row r="442" spans="1:8" x14ac:dyDescent="0.25">
      <c r="A442" s="43" t="s">
        <v>1615</v>
      </c>
      <c r="B442" s="43" t="s">
        <v>73</v>
      </c>
      <c r="C442" s="46">
        <v>155</v>
      </c>
      <c r="D442" s="46">
        <v>3727052.5853196983</v>
      </c>
      <c r="E442" s="43">
        <v>223623.15511918193</v>
      </c>
      <c r="F442" s="43" t="s">
        <v>70</v>
      </c>
      <c r="G442" s="43" t="s">
        <v>71</v>
      </c>
      <c r="H442" s="43" t="s">
        <v>72</v>
      </c>
    </row>
    <row r="443" spans="1:8" x14ac:dyDescent="0.25">
      <c r="A443" s="43" t="s">
        <v>767</v>
      </c>
      <c r="B443" s="43" t="s">
        <v>75</v>
      </c>
      <c r="C443" s="46">
        <v>155</v>
      </c>
      <c r="D443" s="46">
        <v>4148103.722734923</v>
      </c>
      <c r="E443" s="43">
        <v>331848.29781879386</v>
      </c>
      <c r="F443" s="43" t="s">
        <v>70</v>
      </c>
      <c r="G443" s="43" t="s">
        <v>71</v>
      </c>
      <c r="H443" s="43" t="s">
        <v>72</v>
      </c>
    </row>
    <row r="444" spans="1:8" x14ac:dyDescent="0.25">
      <c r="A444" s="43" t="s">
        <v>348</v>
      </c>
      <c r="B444" s="43" t="s">
        <v>85</v>
      </c>
      <c r="C444" s="46">
        <v>155</v>
      </c>
      <c r="D444" s="46">
        <v>4778686.9738942115</v>
      </c>
      <c r="E444" s="43">
        <v>573442.43686730554</v>
      </c>
      <c r="F444" s="43" t="s">
        <v>78</v>
      </c>
      <c r="G444" s="43" t="s">
        <v>71</v>
      </c>
      <c r="H444" s="43" t="s">
        <v>72</v>
      </c>
    </row>
    <row r="445" spans="1:8" x14ac:dyDescent="0.25">
      <c r="A445" s="43" t="s">
        <v>1815</v>
      </c>
      <c r="B445" s="43" t="s">
        <v>115</v>
      </c>
      <c r="C445" s="46">
        <v>155</v>
      </c>
      <c r="D445" s="46">
        <v>3412422.624497484</v>
      </c>
      <c r="E445" s="43">
        <v>204745.35746984903</v>
      </c>
      <c r="F445" s="43" t="s">
        <v>84</v>
      </c>
      <c r="G445" s="43" t="s">
        <v>71</v>
      </c>
      <c r="H445" s="43" t="s">
        <v>72</v>
      </c>
    </row>
    <row r="446" spans="1:8" x14ac:dyDescent="0.25">
      <c r="A446" s="43" t="s">
        <v>787</v>
      </c>
      <c r="B446" s="43" t="s">
        <v>75</v>
      </c>
      <c r="C446" s="46">
        <v>154</v>
      </c>
      <c r="D446" s="46">
        <v>3648321.7365507442</v>
      </c>
      <c r="E446" s="43">
        <v>328348.95628956694</v>
      </c>
      <c r="F446" s="43" t="s">
        <v>106</v>
      </c>
      <c r="G446" s="43" t="s">
        <v>71</v>
      </c>
      <c r="H446" s="43" t="s">
        <v>72</v>
      </c>
    </row>
    <row r="447" spans="1:8" x14ac:dyDescent="0.25">
      <c r="A447" s="43" t="s">
        <v>320</v>
      </c>
      <c r="B447" s="43" t="s">
        <v>100</v>
      </c>
      <c r="C447" s="46">
        <v>154</v>
      </c>
      <c r="D447" s="46">
        <v>4863183.1346376184</v>
      </c>
      <c r="E447" s="43">
        <v>632213.80750289047</v>
      </c>
      <c r="F447" s="43" t="s">
        <v>78</v>
      </c>
      <c r="G447" s="43" t="s">
        <v>71</v>
      </c>
      <c r="H447" s="43" t="s">
        <v>72</v>
      </c>
    </row>
    <row r="448" spans="1:8" x14ac:dyDescent="0.25">
      <c r="A448" s="72" t="s">
        <v>1121</v>
      </c>
      <c r="B448" s="72" t="s">
        <v>100</v>
      </c>
      <c r="C448" s="73">
        <v>154</v>
      </c>
      <c r="D448" s="73">
        <v>3991375.3708517416</v>
      </c>
      <c r="E448" s="72">
        <v>279396.27595962188</v>
      </c>
      <c r="F448" s="72" t="s">
        <v>78</v>
      </c>
      <c r="G448" s="72" t="s">
        <v>71</v>
      </c>
      <c r="H448" s="72" t="s">
        <v>72</v>
      </c>
    </row>
    <row r="449" spans="1:8" x14ac:dyDescent="0.25">
      <c r="A449" s="72" t="s">
        <v>1630</v>
      </c>
      <c r="B449" s="72" t="s">
        <v>130</v>
      </c>
      <c r="C449" s="73">
        <v>154</v>
      </c>
      <c r="D449" s="73">
        <v>3705222.0794311436</v>
      </c>
      <c r="E449" s="72">
        <v>222313.32476586866</v>
      </c>
      <c r="F449" s="72" t="s">
        <v>70</v>
      </c>
      <c r="G449" s="72" t="s">
        <v>71</v>
      </c>
      <c r="H449" s="72" t="s">
        <v>72</v>
      </c>
    </row>
    <row r="450" spans="1:8" x14ac:dyDescent="0.25">
      <c r="A450" s="72" t="s">
        <v>350</v>
      </c>
      <c r="B450" s="72" t="s">
        <v>160</v>
      </c>
      <c r="C450" s="73">
        <v>154</v>
      </c>
      <c r="D450" s="73">
        <v>4757390.3532717833</v>
      </c>
      <c r="E450" s="72">
        <v>570886.84239261399</v>
      </c>
      <c r="F450" s="72" t="s">
        <v>84</v>
      </c>
      <c r="G450" s="72" t="s">
        <v>71</v>
      </c>
      <c r="H450" s="72" t="s">
        <v>72</v>
      </c>
    </row>
    <row r="451" spans="1:8" x14ac:dyDescent="0.25">
      <c r="A451" s="72" t="s">
        <v>2225</v>
      </c>
      <c r="B451" s="72" t="s">
        <v>2226</v>
      </c>
      <c r="C451" s="73">
        <v>154</v>
      </c>
      <c r="D451" s="73">
        <v>3388183.678184181</v>
      </c>
      <c r="E451" s="72">
        <v>169409.18390920907</v>
      </c>
      <c r="F451" s="72" t="s">
        <v>70</v>
      </c>
      <c r="G451" s="72" t="s">
        <v>71</v>
      </c>
      <c r="H451" s="72" t="s">
        <v>72</v>
      </c>
    </row>
    <row r="452" spans="1:8" x14ac:dyDescent="0.25">
      <c r="A452" s="43" t="s">
        <v>844</v>
      </c>
      <c r="B452" s="43" t="s">
        <v>83</v>
      </c>
      <c r="C452" s="46">
        <v>154</v>
      </c>
      <c r="D452" s="46">
        <v>4000020.7536173081</v>
      </c>
      <c r="E452" s="43">
        <v>320001.66028938466</v>
      </c>
      <c r="F452" s="43" t="s">
        <v>84</v>
      </c>
      <c r="G452" s="43" t="s">
        <v>71</v>
      </c>
      <c r="H452" s="43" t="s">
        <v>72</v>
      </c>
    </row>
    <row r="453" spans="1:8" x14ac:dyDescent="0.25">
      <c r="A453" s="43" t="s">
        <v>2811</v>
      </c>
      <c r="B453" s="43" t="s">
        <v>127</v>
      </c>
      <c r="C453" s="46">
        <v>154</v>
      </c>
      <c r="D453" s="46">
        <v>3243630.4586988161</v>
      </c>
      <c r="E453" s="43">
        <v>129745.21834795264</v>
      </c>
      <c r="F453" s="43" t="s">
        <v>106</v>
      </c>
      <c r="G453" s="43" t="s">
        <v>71</v>
      </c>
      <c r="H453" s="43" t="s">
        <v>72</v>
      </c>
    </row>
    <row r="454" spans="1:8" x14ac:dyDescent="0.25">
      <c r="A454" s="43" t="s">
        <v>789</v>
      </c>
      <c r="B454" s="43" t="s">
        <v>73</v>
      </c>
      <c r="C454" s="46">
        <v>153</v>
      </c>
      <c r="D454" s="46">
        <v>4098983.0632146774</v>
      </c>
      <c r="E454" s="43">
        <v>327918.6450571742</v>
      </c>
      <c r="F454" s="43" t="s">
        <v>70</v>
      </c>
      <c r="G454" s="43" t="s">
        <v>71</v>
      </c>
      <c r="H454" s="43" t="s">
        <v>72</v>
      </c>
    </row>
    <row r="455" spans="1:8" x14ac:dyDescent="0.25">
      <c r="A455" s="43" t="s">
        <v>1167</v>
      </c>
      <c r="B455" s="43" t="s">
        <v>112</v>
      </c>
      <c r="C455" s="46">
        <v>153</v>
      </c>
      <c r="D455" s="46">
        <v>3912409.7197995912</v>
      </c>
      <c r="E455" s="43">
        <v>273868.68038597138</v>
      </c>
      <c r="F455" s="43" t="s">
        <v>70</v>
      </c>
      <c r="G455" s="43" t="s">
        <v>71</v>
      </c>
      <c r="H455" s="43" t="s">
        <v>72</v>
      </c>
    </row>
    <row r="456" spans="1:8" x14ac:dyDescent="0.25">
      <c r="A456" s="72" t="s">
        <v>1168</v>
      </c>
      <c r="B456" s="72" t="s">
        <v>105</v>
      </c>
      <c r="C456" s="73">
        <v>153</v>
      </c>
      <c r="D456" s="73">
        <v>3912409.7197995912</v>
      </c>
      <c r="E456" s="72">
        <v>273868.68038597138</v>
      </c>
      <c r="F456" s="72" t="s">
        <v>70</v>
      </c>
      <c r="G456" s="72" t="s">
        <v>71</v>
      </c>
      <c r="H456" s="72" t="s">
        <v>72</v>
      </c>
    </row>
    <row r="457" spans="1:8" x14ac:dyDescent="0.25">
      <c r="A457" s="72" t="s">
        <v>402</v>
      </c>
      <c r="B457" s="72" t="s">
        <v>265</v>
      </c>
      <c r="C457" s="73">
        <v>153</v>
      </c>
      <c r="D457" s="73">
        <v>4469427.5830820678</v>
      </c>
      <c r="E457" s="72">
        <v>446942.7583082068</v>
      </c>
      <c r="F457" s="72" t="s">
        <v>78</v>
      </c>
      <c r="G457" s="72" t="s">
        <v>71</v>
      </c>
      <c r="H457" s="72" t="s">
        <v>72</v>
      </c>
    </row>
    <row r="458" spans="1:8" x14ac:dyDescent="0.25">
      <c r="A458" s="43" t="s">
        <v>2251</v>
      </c>
      <c r="B458" s="43" t="s">
        <v>119</v>
      </c>
      <c r="C458" s="46">
        <v>152</v>
      </c>
      <c r="D458" s="46">
        <v>3348559.8206625083</v>
      </c>
      <c r="E458" s="43">
        <v>167427.99103312544</v>
      </c>
      <c r="F458" s="43" t="s">
        <v>70</v>
      </c>
      <c r="G458" s="43" t="s">
        <v>71</v>
      </c>
      <c r="H458" s="43" t="s">
        <v>72</v>
      </c>
    </row>
    <row r="459" spans="1:8" x14ac:dyDescent="0.25">
      <c r="A459" s="43" t="s">
        <v>2224</v>
      </c>
      <c r="B459" s="43" t="s">
        <v>83</v>
      </c>
      <c r="C459" s="46">
        <v>152</v>
      </c>
      <c r="D459" s="46">
        <v>3389993.743080602</v>
      </c>
      <c r="E459" s="43">
        <v>169499.68715403011</v>
      </c>
      <c r="F459" s="43" t="s">
        <v>78</v>
      </c>
      <c r="G459" s="43" t="s">
        <v>71</v>
      </c>
      <c r="H459" s="43" t="s">
        <v>72</v>
      </c>
    </row>
    <row r="460" spans="1:8" x14ac:dyDescent="0.25">
      <c r="A460" s="43" t="s">
        <v>273</v>
      </c>
      <c r="B460" s="43" t="s">
        <v>92</v>
      </c>
      <c r="C460" s="46">
        <v>152</v>
      </c>
      <c r="D460" s="46">
        <v>5123760.7350046122</v>
      </c>
      <c r="E460" s="43">
        <v>768564.11025069177</v>
      </c>
      <c r="F460" s="43" t="s">
        <v>84</v>
      </c>
      <c r="G460" s="43" t="s">
        <v>71</v>
      </c>
      <c r="H460" s="43" t="s">
        <v>72</v>
      </c>
    </row>
    <row r="461" spans="1:8" x14ac:dyDescent="0.25">
      <c r="A461" s="43" t="s">
        <v>488</v>
      </c>
      <c r="B461" s="43" t="s">
        <v>93</v>
      </c>
      <c r="C461" s="46">
        <v>152</v>
      </c>
      <c r="D461" s="46">
        <v>4297980.8457620088</v>
      </c>
      <c r="E461" s="43">
        <v>386818.27611858078</v>
      </c>
      <c r="F461" s="43" t="s">
        <v>78</v>
      </c>
      <c r="G461" s="43" t="s">
        <v>71</v>
      </c>
      <c r="H461" s="43" t="s">
        <v>72</v>
      </c>
    </row>
    <row r="462" spans="1:8" x14ac:dyDescent="0.25">
      <c r="A462" s="72" t="s">
        <v>2252</v>
      </c>
      <c r="B462" s="72" t="s">
        <v>105</v>
      </c>
      <c r="C462" s="73">
        <v>152</v>
      </c>
      <c r="D462" s="73">
        <v>3348559.8206625083</v>
      </c>
      <c r="E462" s="72">
        <v>167427.99103312544</v>
      </c>
      <c r="F462" s="72" t="s">
        <v>70</v>
      </c>
      <c r="G462" s="72" t="s">
        <v>71</v>
      </c>
      <c r="H462" s="72" t="s">
        <v>72</v>
      </c>
    </row>
    <row r="463" spans="1:8" x14ac:dyDescent="0.25">
      <c r="A463" s="72" t="s">
        <v>600</v>
      </c>
      <c r="B463" s="72" t="s">
        <v>105</v>
      </c>
      <c r="C463" s="73">
        <v>152</v>
      </c>
      <c r="D463" s="73">
        <v>3653843.0206559445</v>
      </c>
      <c r="E463" s="72">
        <v>365384.30206559447</v>
      </c>
      <c r="F463" s="72" t="s">
        <v>106</v>
      </c>
      <c r="G463" s="72" t="s">
        <v>71</v>
      </c>
      <c r="H463" s="72" t="s">
        <v>72</v>
      </c>
    </row>
    <row r="464" spans="1:8" x14ac:dyDescent="0.25">
      <c r="A464" s="72" t="s">
        <v>3442</v>
      </c>
      <c r="B464" s="72" t="s">
        <v>112</v>
      </c>
      <c r="C464" s="73">
        <v>152</v>
      </c>
      <c r="D464" s="73">
        <v>3024031.3547288952</v>
      </c>
      <c r="E464" s="72">
        <v>90720.94064186688</v>
      </c>
      <c r="F464" s="72" t="s">
        <v>106</v>
      </c>
      <c r="G464" s="72" t="s">
        <v>71</v>
      </c>
      <c r="H464" s="72" t="s">
        <v>72</v>
      </c>
    </row>
    <row r="465" spans="1:8" x14ac:dyDescent="0.25">
      <c r="A465" s="72" t="s">
        <v>295</v>
      </c>
      <c r="B465" s="72" t="s">
        <v>77</v>
      </c>
      <c r="C465" s="73">
        <v>152</v>
      </c>
      <c r="D465" s="73">
        <v>4990995.1208413318</v>
      </c>
      <c r="E465" s="72">
        <v>698739.31691778637</v>
      </c>
      <c r="F465" s="72" t="s">
        <v>84</v>
      </c>
      <c r="G465" s="72" t="s">
        <v>71</v>
      </c>
      <c r="H465" s="72" t="s">
        <v>72</v>
      </c>
    </row>
    <row r="466" spans="1:8" x14ac:dyDescent="0.25">
      <c r="A466" s="43" t="s">
        <v>324</v>
      </c>
      <c r="B466" s="43" t="s">
        <v>115</v>
      </c>
      <c r="C466" s="46">
        <v>152</v>
      </c>
      <c r="D466" s="46">
        <v>4804971.0890870318</v>
      </c>
      <c r="E466" s="43">
        <v>624646.24158131413</v>
      </c>
      <c r="F466" s="43" t="s">
        <v>78</v>
      </c>
      <c r="G466" s="43" t="s">
        <v>71</v>
      </c>
      <c r="H466" s="43" t="s">
        <v>72</v>
      </c>
    </row>
    <row r="467" spans="1:8" x14ac:dyDescent="0.25">
      <c r="A467" s="43" t="s">
        <v>296</v>
      </c>
      <c r="B467" s="43" t="s">
        <v>83</v>
      </c>
      <c r="C467" s="46">
        <v>152</v>
      </c>
      <c r="D467" s="46">
        <v>4990995.1208413318</v>
      </c>
      <c r="E467" s="43">
        <v>698739.31691778637</v>
      </c>
      <c r="F467" s="43" t="s">
        <v>84</v>
      </c>
      <c r="G467" s="43" t="s">
        <v>71</v>
      </c>
      <c r="H467" s="43" t="s">
        <v>72</v>
      </c>
    </row>
    <row r="468" spans="1:8" x14ac:dyDescent="0.25">
      <c r="A468" s="72" t="s">
        <v>352</v>
      </c>
      <c r="B468" s="72" t="s">
        <v>77</v>
      </c>
      <c r="C468" s="73">
        <v>151</v>
      </c>
      <c r="D468" s="73">
        <v>4665193.2977009341</v>
      </c>
      <c r="E468" s="72">
        <v>559823.19572411221</v>
      </c>
      <c r="F468" s="72" t="s">
        <v>78</v>
      </c>
      <c r="G468" s="72" t="s">
        <v>71</v>
      </c>
      <c r="H468" s="72" t="s">
        <v>72</v>
      </c>
    </row>
    <row r="469" spans="1:8" x14ac:dyDescent="0.25">
      <c r="A469" s="43" t="s">
        <v>406</v>
      </c>
      <c r="B469" s="43" t="s">
        <v>92</v>
      </c>
      <c r="C469" s="46">
        <v>151</v>
      </c>
      <c r="D469" s="46">
        <v>4415922.4320778912</v>
      </c>
      <c r="E469" s="43">
        <v>441592.24320778914</v>
      </c>
      <c r="F469" s="43" t="s">
        <v>78</v>
      </c>
      <c r="G469" s="43" t="s">
        <v>71</v>
      </c>
      <c r="H469" s="43" t="s">
        <v>72</v>
      </c>
    </row>
    <row r="470" spans="1:8" x14ac:dyDescent="0.25">
      <c r="A470" s="72" t="s">
        <v>1671</v>
      </c>
      <c r="B470" s="72" t="s">
        <v>112</v>
      </c>
      <c r="C470" s="73">
        <v>151</v>
      </c>
      <c r="D470" s="73">
        <v>3639570.0304482086</v>
      </c>
      <c r="E470" s="72">
        <v>218374.20182689256</v>
      </c>
      <c r="F470" s="72" t="s">
        <v>70</v>
      </c>
      <c r="G470" s="72" t="s">
        <v>71</v>
      </c>
      <c r="H470" s="72" t="s">
        <v>72</v>
      </c>
    </row>
    <row r="471" spans="1:8" x14ac:dyDescent="0.25">
      <c r="A471" s="43" t="s">
        <v>1185</v>
      </c>
      <c r="B471" s="43" t="s">
        <v>149</v>
      </c>
      <c r="C471" s="46">
        <v>151</v>
      </c>
      <c r="D471" s="46">
        <v>3865620.855878267</v>
      </c>
      <c r="E471" s="43">
        <v>270593.45991147868</v>
      </c>
      <c r="F471" s="43" t="s">
        <v>70</v>
      </c>
      <c r="G471" s="43" t="s">
        <v>71</v>
      </c>
      <c r="H471" s="43" t="s">
        <v>72</v>
      </c>
    </row>
    <row r="472" spans="1:8" x14ac:dyDescent="0.25">
      <c r="A472" s="43" t="s">
        <v>299</v>
      </c>
      <c r="B472" s="43" t="s">
        <v>83</v>
      </c>
      <c r="C472" s="46">
        <v>151</v>
      </c>
      <c r="D472" s="46">
        <v>4960928.1476579746</v>
      </c>
      <c r="E472" s="43">
        <v>694529.94067211635</v>
      </c>
      <c r="F472" s="43" t="s">
        <v>84</v>
      </c>
      <c r="G472" s="43" t="s">
        <v>71</v>
      </c>
      <c r="H472" s="43" t="s">
        <v>72</v>
      </c>
    </row>
    <row r="473" spans="1:8" x14ac:dyDescent="0.25">
      <c r="A473" s="72" t="s">
        <v>610</v>
      </c>
      <c r="B473" s="72" t="s">
        <v>93</v>
      </c>
      <c r="C473" s="73">
        <v>151</v>
      </c>
      <c r="D473" s="73">
        <v>3631855.4184196829</v>
      </c>
      <c r="E473" s="72">
        <v>363185.54184196831</v>
      </c>
      <c r="F473" s="72" t="s">
        <v>106</v>
      </c>
      <c r="G473" s="72" t="s">
        <v>71</v>
      </c>
      <c r="H473" s="72" t="s">
        <v>72</v>
      </c>
    </row>
    <row r="474" spans="1:8" x14ac:dyDescent="0.25">
      <c r="A474" s="43" t="s">
        <v>1672</v>
      </c>
      <c r="B474" s="43" t="s">
        <v>89</v>
      </c>
      <c r="C474" s="46">
        <v>151</v>
      </c>
      <c r="D474" s="46">
        <v>3639570.0304482086</v>
      </c>
      <c r="E474" s="43">
        <v>218374.20182689256</v>
      </c>
      <c r="F474" s="43" t="s">
        <v>70</v>
      </c>
      <c r="G474" s="43" t="s">
        <v>71</v>
      </c>
      <c r="H474" s="43" t="s">
        <v>72</v>
      </c>
    </row>
    <row r="475" spans="1:8" x14ac:dyDescent="0.25">
      <c r="A475" s="72" t="s">
        <v>501</v>
      </c>
      <c r="B475" s="72" t="s">
        <v>115</v>
      </c>
      <c r="C475" s="73">
        <v>151</v>
      </c>
      <c r="D475" s="73">
        <v>4272165.301792549</v>
      </c>
      <c r="E475" s="72">
        <v>384494.87716132938</v>
      </c>
      <c r="F475" s="72" t="s">
        <v>78</v>
      </c>
      <c r="G475" s="72" t="s">
        <v>71</v>
      </c>
      <c r="H475" s="72" t="s">
        <v>72</v>
      </c>
    </row>
    <row r="476" spans="1:8" x14ac:dyDescent="0.25">
      <c r="A476" s="72" t="s">
        <v>1186</v>
      </c>
      <c r="B476" s="72" t="s">
        <v>145</v>
      </c>
      <c r="C476" s="73">
        <v>151</v>
      </c>
      <c r="D476" s="73">
        <v>3865620.855878267</v>
      </c>
      <c r="E476" s="72">
        <v>270593.45991147868</v>
      </c>
      <c r="F476" s="72" t="s">
        <v>70</v>
      </c>
      <c r="G476" s="72" t="s">
        <v>71</v>
      </c>
      <c r="H476" s="72" t="s">
        <v>72</v>
      </c>
    </row>
    <row r="477" spans="1:8" x14ac:dyDescent="0.25">
      <c r="A477" s="72" t="s">
        <v>879</v>
      </c>
      <c r="B477" s="72" t="s">
        <v>83</v>
      </c>
      <c r="C477" s="73">
        <v>151</v>
      </c>
      <c r="D477" s="73">
        <v>3930394.7228043452</v>
      </c>
      <c r="E477" s="72">
        <v>314431.57782434759</v>
      </c>
      <c r="F477" s="72" t="s">
        <v>84</v>
      </c>
      <c r="G477" s="72" t="s">
        <v>71</v>
      </c>
      <c r="H477" s="72" t="s">
        <v>72</v>
      </c>
    </row>
    <row r="478" spans="1:8" x14ac:dyDescent="0.25">
      <c r="A478" s="72" t="s">
        <v>2295</v>
      </c>
      <c r="B478" s="72" t="s">
        <v>77</v>
      </c>
      <c r="C478" s="73">
        <v>150</v>
      </c>
      <c r="D478" s="73">
        <v>3284465.1741990554</v>
      </c>
      <c r="E478" s="72">
        <v>164223.25870995279</v>
      </c>
      <c r="F478" s="72" t="s">
        <v>106</v>
      </c>
      <c r="G478" s="72" t="s">
        <v>71</v>
      </c>
      <c r="H478" s="72" t="s">
        <v>72</v>
      </c>
    </row>
    <row r="479" spans="1:8" x14ac:dyDescent="0.25">
      <c r="A479" s="72" t="s">
        <v>1204</v>
      </c>
      <c r="B479" s="72" t="s">
        <v>73</v>
      </c>
      <c r="C479" s="73">
        <v>150</v>
      </c>
      <c r="D479" s="73">
        <v>3842186.1767659439</v>
      </c>
      <c r="E479" s="72">
        <v>268953.03237361606</v>
      </c>
      <c r="F479" s="72" t="s">
        <v>70</v>
      </c>
      <c r="G479" s="72" t="s">
        <v>71</v>
      </c>
      <c r="H479" s="72" t="s">
        <v>72</v>
      </c>
    </row>
    <row r="480" spans="1:8" x14ac:dyDescent="0.25">
      <c r="A480" s="43" t="s">
        <v>830</v>
      </c>
      <c r="B480" s="43" t="s">
        <v>73</v>
      </c>
      <c r="C480" s="46">
        <v>150</v>
      </c>
      <c r="D480" s="46">
        <v>4025101.2193297534</v>
      </c>
      <c r="E480" s="43">
        <v>322008.0975463803</v>
      </c>
      <c r="F480" s="43" t="s">
        <v>70</v>
      </c>
      <c r="G480" s="43" t="s">
        <v>71</v>
      </c>
      <c r="H480" s="43" t="s">
        <v>72</v>
      </c>
    </row>
    <row r="481" spans="1:8" x14ac:dyDescent="0.25">
      <c r="A481" s="72" t="s">
        <v>797</v>
      </c>
      <c r="B481" s="72" t="s">
        <v>69</v>
      </c>
      <c r="C481" s="73">
        <v>150</v>
      </c>
      <c r="D481" s="73">
        <v>4085136.5351451812</v>
      </c>
      <c r="E481" s="72">
        <v>326810.92281161452</v>
      </c>
      <c r="F481" s="72" t="s">
        <v>78</v>
      </c>
      <c r="G481" s="72" t="s">
        <v>71</v>
      </c>
      <c r="H481" s="72" t="s">
        <v>72</v>
      </c>
    </row>
    <row r="482" spans="1:8" x14ac:dyDescent="0.25">
      <c r="A482" s="43" t="s">
        <v>1205</v>
      </c>
      <c r="B482" s="43" t="s">
        <v>77</v>
      </c>
      <c r="C482" s="46">
        <v>150</v>
      </c>
      <c r="D482" s="46">
        <v>3842186.1767659439</v>
      </c>
      <c r="E482" s="43">
        <v>268953.03237361606</v>
      </c>
      <c r="F482" s="43" t="s">
        <v>70</v>
      </c>
      <c r="G482" s="43" t="s">
        <v>71</v>
      </c>
      <c r="H482" s="43" t="s">
        <v>72</v>
      </c>
    </row>
    <row r="483" spans="1:8" x14ac:dyDescent="0.25">
      <c r="A483" s="72" t="s">
        <v>2277</v>
      </c>
      <c r="B483" s="72" t="s">
        <v>97</v>
      </c>
      <c r="C483" s="73">
        <v>150</v>
      </c>
      <c r="D483" s="73">
        <v>3308828.7390916487</v>
      </c>
      <c r="E483" s="72">
        <v>165441.43695458246</v>
      </c>
      <c r="F483" s="72" t="s">
        <v>70</v>
      </c>
      <c r="G483" s="72" t="s">
        <v>71</v>
      </c>
      <c r="H483" s="72" t="s">
        <v>72</v>
      </c>
    </row>
    <row r="484" spans="1:8" x14ac:dyDescent="0.25">
      <c r="A484" s="72" t="s">
        <v>1695</v>
      </c>
      <c r="B484" s="72" t="s">
        <v>211</v>
      </c>
      <c r="C484" s="73">
        <v>150</v>
      </c>
      <c r="D484" s="73">
        <v>3617632.3766698586</v>
      </c>
      <c r="E484" s="72">
        <v>217057.94260019157</v>
      </c>
      <c r="F484" s="72" t="s">
        <v>70</v>
      </c>
      <c r="G484" s="72" t="s">
        <v>71</v>
      </c>
      <c r="H484" s="72" t="s">
        <v>72</v>
      </c>
    </row>
    <row r="485" spans="1:8" x14ac:dyDescent="0.25">
      <c r="A485" s="72" t="s">
        <v>388</v>
      </c>
      <c r="B485" s="72" t="s">
        <v>277</v>
      </c>
      <c r="C485" s="73">
        <v>150</v>
      </c>
      <c r="D485" s="73">
        <v>4721855.1303095296</v>
      </c>
      <c r="E485" s="72">
        <v>472185.51303095301</v>
      </c>
      <c r="F485" s="72" t="s">
        <v>95</v>
      </c>
      <c r="G485" s="72" t="s">
        <v>96</v>
      </c>
      <c r="H485" s="72" t="s">
        <v>88</v>
      </c>
    </row>
    <row r="486" spans="1:8" x14ac:dyDescent="0.25">
      <c r="A486" s="72" t="s">
        <v>1058</v>
      </c>
      <c r="B486" s="72" t="s">
        <v>93</v>
      </c>
      <c r="C486" s="73">
        <v>150</v>
      </c>
      <c r="D486" s="73">
        <v>4120136.6628772714</v>
      </c>
      <c r="E486" s="72">
        <v>288409.56640140899</v>
      </c>
      <c r="F486" s="72" t="s">
        <v>87</v>
      </c>
      <c r="G486" s="72" t="s">
        <v>71</v>
      </c>
      <c r="H486" s="72" t="s">
        <v>88</v>
      </c>
    </row>
    <row r="487" spans="1:8" x14ac:dyDescent="0.25">
      <c r="A487" s="72" t="s">
        <v>1172</v>
      </c>
      <c r="B487" s="72" t="s">
        <v>92</v>
      </c>
      <c r="C487" s="73">
        <v>150</v>
      </c>
      <c r="D487" s="73">
        <v>3897475.6176419188</v>
      </c>
      <c r="E487" s="72">
        <v>272823.29323493427</v>
      </c>
      <c r="F487" s="72" t="s">
        <v>78</v>
      </c>
      <c r="G487" s="72" t="s">
        <v>71</v>
      </c>
      <c r="H487" s="72" t="s">
        <v>72</v>
      </c>
    </row>
    <row r="488" spans="1:8" x14ac:dyDescent="0.25">
      <c r="A488" s="43" t="s">
        <v>1841</v>
      </c>
      <c r="B488" s="43" t="s">
        <v>147</v>
      </c>
      <c r="C488" s="46">
        <v>150</v>
      </c>
      <c r="D488" s="46">
        <v>3373378.7570732157</v>
      </c>
      <c r="E488" s="43">
        <v>202402.72542439299</v>
      </c>
      <c r="F488" s="43" t="s">
        <v>106</v>
      </c>
      <c r="G488" s="43" t="s">
        <v>71</v>
      </c>
      <c r="H488" s="43" t="s">
        <v>72</v>
      </c>
    </row>
    <row r="489" spans="1:8" x14ac:dyDescent="0.25">
      <c r="A489" s="72" t="s">
        <v>2644</v>
      </c>
      <c r="B489" s="72" t="s">
        <v>133</v>
      </c>
      <c r="C489" s="73">
        <v>150</v>
      </c>
      <c r="D489" s="73">
        <v>3499363.0339088822</v>
      </c>
      <c r="E489" s="72">
        <v>139974.52135635528</v>
      </c>
      <c r="F489" s="72" t="s">
        <v>87</v>
      </c>
      <c r="G489" s="72" t="s">
        <v>71</v>
      </c>
      <c r="H489" s="72" t="s">
        <v>88</v>
      </c>
    </row>
    <row r="490" spans="1:8" x14ac:dyDescent="0.25">
      <c r="A490" s="43" t="s">
        <v>2278</v>
      </c>
      <c r="B490" s="43" t="s">
        <v>252</v>
      </c>
      <c r="C490" s="46">
        <v>150</v>
      </c>
      <c r="D490" s="46">
        <v>3308828.7390916487</v>
      </c>
      <c r="E490" s="43">
        <v>165441.43695458246</v>
      </c>
      <c r="F490" s="43" t="s">
        <v>70</v>
      </c>
      <c r="G490" s="43" t="s">
        <v>71</v>
      </c>
      <c r="H490" s="43" t="s">
        <v>72</v>
      </c>
    </row>
    <row r="491" spans="1:8" x14ac:dyDescent="0.25">
      <c r="A491" s="43" t="s">
        <v>376</v>
      </c>
      <c r="B491" s="43" t="s">
        <v>115</v>
      </c>
      <c r="C491" s="46">
        <v>150</v>
      </c>
      <c r="D491" s="46">
        <v>4486360.0803583134</v>
      </c>
      <c r="E491" s="43">
        <v>493499.60883941455</v>
      </c>
      <c r="F491" s="43" t="s">
        <v>84</v>
      </c>
      <c r="G491" s="43" t="s">
        <v>71</v>
      </c>
      <c r="H491" s="43" t="s">
        <v>72</v>
      </c>
    </row>
    <row r="492" spans="1:8" x14ac:dyDescent="0.25">
      <c r="A492" s="43" t="s">
        <v>300</v>
      </c>
      <c r="B492" s="43" t="s">
        <v>83</v>
      </c>
      <c r="C492" s="46">
        <v>150</v>
      </c>
      <c r="D492" s="46">
        <v>4930827.5268604765</v>
      </c>
      <c r="E492" s="43">
        <v>690315.85376046668</v>
      </c>
      <c r="F492" s="43" t="s">
        <v>84</v>
      </c>
      <c r="G492" s="43" t="s">
        <v>71</v>
      </c>
      <c r="H492" s="43" t="s">
        <v>72</v>
      </c>
    </row>
    <row r="493" spans="1:8" x14ac:dyDescent="0.25">
      <c r="A493" s="43" t="s">
        <v>1310</v>
      </c>
      <c r="B493" s="43" t="s">
        <v>83</v>
      </c>
      <c r="C493" s="46">
        <v>150</v>
      </c>
      <c r="D493" s="46">
        <v>3650505.4267907026</v>
      </c>
      <c r="E493" s="43">
        <v>255535.37987534914</v>
      </c>
      <c r="F493" s="43" t="s">
        <v>84</v>
      </c>
      <c r="G493" s="43" t="s">
        <v>71</v>
      </c>
      <c r="H493" s="43" t="s">
        <v>72</v>
      </c>
    </row>
    <row r="494" spans="1:8" x14ac:dyDescent="0.25">
      <c r="A494" s="72" t="s">
        <v>540</v>
      </c>
      <c r="B494" s="72" t="s">
        <v>86</v>
      </c>
      <c r="C494" s="73">
        <v>150</v>
      </c>
      <c r="D494" s="73">
        <v>4182208.126513734</v>
      </c>
      <c r="E494" s="72">
        <v>376398.73138623603</v>
      </c>
      <c r="F494" s="72" t="s">
        <v>70</v>
      </c>
      <c r="G494" s="72" t="s">
        <v>71</v>
      </c>
      <c r="H494" s="72" t="s">
        <v>72</v>
      </c>
    </row>
    <row r="495" spans="1:8" x14ac:dyDescent="0.25">
      <c r="A495" s="43" t="s">
        <v>405</v>
      </c>
      <c r="B495" s="43" t="s">
        <v>127</v>
      </c>
      <c r="C495" s="46">
        <v>150</v>
      </c>
      <c r="D495" s="46">
        <v>3693212.3835666822</v>
      </c>
      <c r="E495" s="43">
        <v>443185.48602800188</v>
      </c>
      <c r="F495" s="43" t="s">
        <v>106</v>
      </c>
      <c r="G495" s="43" t="s">
        <v>71</v>
      </c>
      <c r="H495" s="43" t="s">
        <v>72</v>
      </c>
    </row>
    <row r="496" spans="1:8" x14ac:dyDescent="0.25">
      <c r="A496" s="72" t="s">
        <v>1111</v>
      </c>
      <c r="B496" s="72" t="s">
        <v>75</v>
      </c>
      <c r="C496" s="73">
        <v>150</v>
      </c>
      <c r="D496" s="73">
        <v>3507708.0992802423</v>
      </c>
      <c r="E496" s="72">
        <v>280616.6479424194</v>
      </c>
      <c r="F496" s="72" t="s">
        <v>106</v>
      </c>
      <c r="G496" s="72" t="s">
        <v>71</v>
      </c>
      <c r="H496" s="72" t="s">
        <v>72</v>
      </c>
    </row>
    <row r="497" spans="1:8" x14ac:dyDescent="0.25">
      <c r="A497" s="43" t="s">
        <v>2308</v>
      </c>
      <c r="B497" s="43" t="s">
        <v>77</v>
      </c>
      <c r="C497" s="46">
        <v>149</v>
      </c>
      <c r="D497" s="46">
        <v>3264597.0523305894</v>
      </c>
      <c r="E497" s="43">
        <v>163229.85261652948</v>
      </c>
      <c r="F497" s="43" t="s">
        <v>106</v>
      </c>
      <c r="G497" s="43" t="s">
        <v>71</v>
      </c>
      <c r="H497" s="43" t="s">
        <v>72</v>
      </c>
    </row>
    <row r="498" spans="1:8" x14ac:dyDescent="0.25">
      <c r="A498" s="43" t="s">
        <v>521</v>
      </c>
      <c r="B498" s="43" t="s">
        <v>77</v>
      </c>
      <c r="C498" s="46">
        <v>149</v>
      </c>
      <c r="D498" s="46">
        <v>4220444.0068037761</v>
      </c>
      <c r="E498" s="43">
        <v>379839.96061233984</v>
      </c>
      <c r="F498" s="43" t="s">
        <v>78</v>
      </c>
      <c r="G498" s="43" t="s">
        <v>71</v>
      </c>
      <c r="H498" s="43" t="s">
        <v>72</v>
      </c>
    </row>
    <row r="499" spans="1:8" x14ac:dyDescent="0.25">
      <c r="A499" s="72" t="s">
        <v>843</v>
      </c>
      <c r="B499" s="72" t="s">
        <v>97</v>
      </c>
      <c r="C499" s="73">
        <v>149</v>
      </c>
      <c r="D499" s="73">
        <v>4000420.2242501578</v>
      </c>
      <c r="E499" s="72">
        <v>320033.61794001266</v>
      </c>
      <c r="F499" s="72" t="s">
        <v>70</v>
      </c>
      <c r="G499" s="72" t="s">
        <v>71</v>
      </c>
      <c r="H499" s="72" t="s">
        <v>72</v>
      </c>
    </row>
    <row r="500" spans="1:8" x14ac:dyDescent="0.25">
      <c r="A500" s="72" t="s">
        <v>481</v>
      </c>
      <c r="B500" s="72" t="s">
        <v>73</v>
      </c>
      <c r="C500" s="73">
        <v>149</v>
      </c>
      <c r="D500" s="73">
        <v>4328891.0670673475</v>
      </c>
      <c r="E500" s="72">
        <v>389600.19603606127</v>
      </c>
      <c r="F500" s="72" t="s">
        <v>87</v>
      </c>
      <c r="G500" s="72" t="s">
        <v>71</v>
      </c>
      <c r="H500" s="72" t="s">
        <v>88</v>
      </c>
    </row>
    <row r="501" spans="1:8" x14ac:dyDescent="0.25">
      <c r="A501" s="72" t="s">
        <v>581</v>
      </c>
      <c r="B501" s="72" t="s">
        <v>92</v>
      </c>
      <c r="C501" s="73">
        <v>149</v>
      </c>
      <c r="D501" s="73">
        <v>4098702.0950567741</v>
      </c>
      <c r="E501" s="72">
        <v>368883.18855510966</v>
      </c>
      <c r="F501" s="72" t="s">
        <v>84</v>
      </c>
      <c r="G501" s="72" t="s">
        <v>71</v>
      </c>
      <c r="H501" s="72" t="s">
        <v>72</v>
      </c>
    </row>
    <row r="502" spans="1:8" x14ac:dyDescent="0.25">
      <c r="A502" s="72" t="s">
        <v>1210</v>
      </c>
      <c r="B502" s="72" t="s">
        <v>86</v>
      </c>
      <c r="C502" s="73">
        <v>149</v>
      </c>
      <c r="D502" s="73">
        <v>3818724.6153034405</v>
      </c>
      <c r="E502" s="72">
        <v>267310.72307124082</v>
      </c>
      <c r="F502" s="72" t="s">
        <v>70</v>
      </c>
      <c r="G502" s="72" t="s">
        <v>71</v>
      </c>
      <c r="H502" s="72" t="s">
        <v>72</v>
      </c>
    </row>
    <row r="503" spans="1:8" x14ac:dyDescent="0.25">
      <c r="A503" s="72" t="s">
        <v>2291</v>
      </c>
      <c r="B503" s="72" t="s">
        <v>112</v>
      </c>
      <c r="C503" s="73">
        <v>149</v>
      </c>
      <c r="D503" s="73">
        <v>3288922.8938803072</v>
      </c>
      <c r="E503" s="72">
        <v>164446.14469401538</v>
      </c>
      <c r="F503" s="72" t="s">
        <v>70</v>
      </c>
      <c r="G503" s="72" t="s">
        <v>71</v>
      </c>
      <c r="H503" s="72" t="s">
        <v>72</v>
      </c>
    </row>
    <row r="504" spans="1:8" x14ac:dyDescent="0.25">
      <c r="A504" s="43" t="s">
        <v>2292</v>
      </c>
      <c r="B504" s="43" t="s">
        <v>102</v>
      </c>
      <c r="C504" s="46">
        <v>149</v>
      </c>
      <c r="D504" s="46">
        <v>3288922.8938803072</v>
      </c>
      <c r="E504" s="43">
        <v>164446.14469401538</v>
      </c>
      <c r="F504" s="43" t="s">
        <v>70</v>
      </c>
      <c r="G504" s="43" t="s">
        <v>71</v>
      </c>
      <c r="H504" s="43" t="s">
        <v>72</v>
      </c>
    </row>
    <row r="505" spans="1:8" x14ac:dyDescent="0.25">
      <c r="A505" s="72" t="s">
        <v>558</v>
      </c>
      <c r="B505" s="72" t="s">
        <v>85</v>
      </c>
      <c r="C505" s="73">
        <v>149</v>
      </c>
      <c r="D505" s="73">
        <v>4156479.7520529116</v>
      </c>
      <c r="E505" s="72">
        <v>374083.17768476205</v>
      </c>
      <c r="F505" s="72" t="s">
        <v>70</v>
      </c>
      <c r="G505" s="72" t="s">
        <v>71</v>
      </c>
      <c r="H505" s="72" t="s">
        <v>72</v>
      </c>
    </row>
    <row r="506" spans="1:8" x14ac:dyDescent="0.25">
      <c r="A506" s="43" t="s">
        <v>1326</v>
      </c>
      <c r="B506" s="43" t="s">
        <v>83</v>
      </c>
      <c r="C506" s="46">
        <v>149</v>
      </c>
      <c r="D506" s="46">
        <v>3628906.5819129567</v>
      </c>
      <c r="E506" s="43">
        <v>254023.46073390695</v>
      </c>
      <c r="F506" s="43" t="s">
        <v>84</v>
      </c>
      <c r="G506" s="43" t="s">
        <v>71</v>
      </c>
      <c r="H506" s="43" t="s">
        <v>72</v>
      </c>
    </row>
    <row r="507" spans="1:8" x14ac:dyDescent="0.25">
      <c r="A507" s="43" t="s">
        <v>848</v>
      </c>
      <c r="B507" s="43" t="s">
        <v>127</v>
      </c>
      <c r="C507" s="46">
        <v>149</v>
      </c>
      <c r="D507" s="46">
        <v>3539988.1216841773</v>
      </c>
      <c r="E507" s="43">
        <v>318598.93095157592</v>
      </c>
      <c r="F507" s="43" t="s">
        <v>106</v>
      </c>
      <c r="G507" s="43" t="s">
        <v>71</v>
      </c>
      <c r="H507" s="43" t="s">
        <v>72</v>
      </c>
    </row>
    <row r="508" spans="1:8" x14ac:dyDescent="0.25">
      <c r="A508" s="43" t="s">
        <v>636</v>
      </c>
      <c r="B508" s="43" t="s">
        <v>77</v>
      </c>
      <c r="C508" s="46">
        <v>149</v>
      </c>
      <c r="D508" s="46">
        <v>3587805.6783864447</v>
      </c>
      <c r="E508" s="43">
        <v>358780.56783864449</v>
      </c>
      <c r="F508" s="43" t="s">
        <v>106</v>
      </c>
      <c r="G508" s="43" t="s">
        <v>71</v>
      </c>
      <c r="H508" s="43" t="s">
        <v>72</v>
      </c>
    </row>
    <row r="509" spans="1:8" x14ac:dyDescent="0.25">
      <c r="A509" s="43" t="s">
        <v>1714</v>
      </c>
      <c r="B509" s="43" t="s">
        <v>229</v>
      </c>
      <c r="C509" s="46">
        <v>148</v>
      </c>
      <c r="D509" s="46">
        <v>3573676.3838161929</v>
      </c>
      <c r="E509" s="43">
        <v>214420.58302897163</v>
      </c>
      <c r="F509" s="43" t="s">
        <v>70</v>
      </c>
      <c r="G509" s="43" t="s">
        <v>71</v>
      </c>
      <c r="H509" s="43" t="s">
        <v>72</v>
      </c>
    </row>
    <row r="510" spans="1:8" x14ac:dyDescent="0.25">
      <c r="A510" s="43" t="s">
        <v>2673</v>
      </c>
      <c r="B510" s="43" t="s">
        <v>77</v>
      </c>
      <c r="C510" s="46">
        <v>148</v>
      </c>
      <c r="D510" s="46">
        <v>3456289.628975241</v>
      </c>
      <c r="E510" s="43">
        <v>138251.58515900964</v>
      </c>
      <c r="F510" s="43" t="s">
        <v>87</v>
      </c>
      <c r="G510" s="43" t="s">
        <v>71</v>
      </c>
      <c r="H510" s="43" t="s">
        <v>88</v>
      </c>
    </row>
    <row r="511" spans="1:8" x14ac:dyDescent="0.25">
      <c r="A511" s="72" t="s">
        <v>1477</v>
      </c>
      <c r="B511" s="72" t="s">
        <v>289</v>
      </c>
      <c r="C511" s="73">
        <v>148</v>
      </c>
      <c r="D511" s="73">
        <v>3404041.6595898457</v>
      </c>
      <c r="E511" s="72">
        <v>238282.91617128917</v>
      </c>
      <c r="F511" s="72" t="s">
        <v>106</v>
      </c>
      <c r="G511" s="72" t="s">
        <v>71</v>
      </c>
      <c r="H511" s="72" t="s">
        <v>72</v>
      </c>
    </row>
    <row r="512" spans="1:8" x14ac:dyDescent="0.25">
      <c r="A512" s="72" t="s">
        <v>849</v>
      </c>
      <c r="B512" s="72" t="s">
        <v>77</v>
      </c>
      <c r="C512" s="73">
        <v>148</v>
      </c>
      <c r="D512" s="73">
        <v>3975712.3085739552</v>
      </c>
      <c r="E512" s="72">
        <v>318056.9846859164</v>
      </c>
      <c r="F512" s="72" t="s">
        <v>70</v>
      </c>
      <c r="G512" s="72" t="s">
        <v>71</v>
      </c>
      <c r="H512" s="72" t="s">
        <v>72</v>
      </c>
    </row>
    <row r="513" spans="1:8" x14ac:dyDescent="0.25">
      <c r="A513" s="43" t="s">
        <v>850</v>
      </c>
      <c r="B513" s="43" t="s">
        <v>112</v>
      </c>
      <c r="C513" s="46">
        <v>148</v>
      </c>
      <c r="D513" s="46">
        <v>3975712.3085739552</v>
      </c>
      <c r="E513" s="43">
        <v>318056.9846859164</v>
      </c>
      <c r="F513" s="43" t="s">
        <v>70</v>
      </c>
      <c r="G513" s="43" t="s">
        <v>71</v>
      </c>
      <c r="H513" s="43" t="s">
        <v>72</v>
      </c>
    </row>
    <row r="514" spans="1:8" x14ac:dyDescent="0.25">
      <c r="A514" s="72" t="s">
        <v>2674</v>
      </c>
      <c r="B514" s="72" t="s">
        <v>77</v>
      </c>
      <c r="C514" s="73">
        <v>148</v>
      </c>
      <c r="D514" s="73">
        <v>3456289.628975241</v>
      </c>
      <c r="E514" s="72">
        <v>138251.58515900964</v>
      </c>
      <c r="F514" s="72" t="s">
        <v>87</v>
      </c>
      <c r="G514" s="72" t="s">
        <v>71</v>
      </c>
      <c r="H514" s="72" t="s">
        <v>88</v>
      </c>
    </row>
    <row r="515" spans="1:8" x14ac:dyDescent="0.25">
      <c r="A515" s="43" t="s">
        <v>2304</v>
      </c>
      <c r="B515" s="43" t="s">
        <v>112</v>
      </c>
      <c r="C515" s="46">
        <v>148</v>
      </c>
      <c r="D515" s="46">
        <v>3268990.1280723587</v>
      </c>
      <c r="E515" s="43">
        <v>163449.50640361794</v>
      </c>
      <c r="F515" s="43" t="s">
        <v>70</v>
      </c>
      <c r="G515" s="43" t="s">
        <v>71</v>
      </c>
      <c r="H515" s="43" t="s">
        <v>72</v>
      </c>
    </row>
    <row r="516" spans="1:8" x14ac:dyDescent="0.25">
      <c r="A516" s="72" t="s">
        <v>2305</v>
      </c>
      <c r="B516" s="72" t="s">
        <v>145</v>
      </c>
      <c r="C516" s="73">
        <v>148</v>
      </c>
      <c r="D516" s="73">
        <v>3268990.1280723587</v>
      </c>
      <c r="E516" s="72">
        <v>163449.50640361794</v>
      </c>
      <c r="F516" s="72" t="s">
        <v>70</v>
      </c>
      <c r="G516" s="72" t="s">
        <v>71</v>
      </c>
      <c r="H516" s="72" t="s">
        <v>72</v>
      </c>
    </row>
    <row r="517" spans="1:8" x14ac:dyDescent="0.25">
      <c r="A517" s="43" t="s">
        <v>1142</v>
      </c>
      <c r="B517" s="43" t="s">
        <v>105</v>
      </c>
      <c r="C517" s="46">
        <v>148</v>
      </c>
      <c r="D517" s="46">
        <v>3464970.3646129384</v>
      </c>
      <c r="E517" s="43">
        <v>277197.62916903506</v>
      </c>
      <c r="F517" s="43" t="s">
        <v>106</v>
      </c>
      <c r="G517" s="43" t="s">
        <v>71</v>
      </c>
      <c r="H517" s="43" t="s">
        <v>72</v>
      </c>
    </row>
    <row r="518" spans="1:8" x14ac:dyDescent="0.25">
      <c r="A518" s="72" t="s">
        <v>1493</v>
      </c>
      <c r="B518" s="72" t="s">
        <v>75</v>
      </c>
      <c r="C518" s="73">
        <v>147</v>
      </c>
      <c r="D518" s="73">
        <v>3383047.0506605674</v>
      </c>
      <c r="E518" s="72">
        <v>236813.2935462397</v>
      </c>
      <c r="F518" s="72" t="s">
        <v>106</v>
      </c>
      <c r="G518" s="72" t="s">
        <v>71</v>
      </c>
      <c r="H518" s="72" t="s">
        <v>72</v>
      </c>
    </row>
    <row r="519" spans="1:8" x14ac:dyDescent="0.25">
      <c r="A519" s="43" t="s">
        <v>1232</v>
      </c>
      <c r="B519" s="43" t="s">
        <v>139</v>
      </c>
      <c r="C519" s="46">
        <v>147</v>
      </c>
      <c r="D519" s="46">
        <v>3771720.6922944225</v>
      </c>
      <c r="E519" s="43">
        <v>264020.44846060954</v>
      </c>
      <c r="F519" s="43" t="s">
        <v>70</v>
      </c>
      <c r="G519" s="43" t="s">
        <v>71</v>
      </c>
      <c r="H519" s="43" t="s">
        <v>72</v>
      </c>
    </row>
    <row r="520" spans="1:8" x14ac:dyDescent="0.25">
      <c r="A520" s="72" t="s">
        <v>1233</v>
      </c>
      <c r="B520" s="72" t="s">
        <v>73</v>
      </c>
      <c r="C520" s="73">
        <v>147</v>
      </c>
      <c r="D520" s="73">
        <v>3771720.6922944225</v>
      </c>
      <c r="E520" s="72">
        <v>264020.44846060954</v>
      </c>
      <c r="F520" s="72" t="s">
        <v>70</v>
      </c>
      <c r="G520" s="72" t="s">
        <v>71</v>
      </c>
      <c r="H520" s="72" t="s">
        <v>72</v>
      </c>
    </row>
    <row r="521" spans="1:8" x14ac:dyDescent="0.25">
      <c r="A521" s="72" t="s">
        <v>380</v>
      </c>
      <c r="B521" s="72" t="s">
        <v>83</v>
      </c>
      <c r="C521" s="73">
        <v>147</v>
      </c>
      <c r="D521" s="73">
        <v>4404745.1094538765</v>
      </c>
      <c r="E521" s="72">
        <v>484521.9620399265</v>
      </c>
      <c r="F521" s="72" t="s">
        <v>84</v>
      </c>
      <c r="G521" s="72" t="s">
        <v>71</v>
      </c>
      <c r="H521" s="72" t="s">
        <v>72</v>
      </c>
    </row>
    <row r="522" spans="1:8" x14ac:dyDescent="0.25">
      <c r="A522" s="72" t="s">
        <v>869</v>
      </c>
      <c r="B522" s="72" t="s">
        <v>105</v>
      </c>
      <c r="C522" s="73">
        <v>147</v>
      </c>
      <c r="D522" s="73">
        <v>3950977.4340069559</v>
      </c>
      <c r="E522" s="72">
        <v>316078.19472055649</v>
      </c>
      <c r="F522" s="72" t="s">
        <v>70</v>
      </c>
      <c r="G522" s="72" t="s">
        <v>71</v>
      </c>
      <c r="H522" s="72" t="s">
        <v>72</v>
      </c>
    </row>
    <row r="523" spans="1:8" x14ac:dyDescent="0.25">
      <c r="A523" s="43" t="s">
        <v>870</v>
      </c>
      <c r="B523" s="43" t="s">
        <v>277</v>
      </c>
      <c r="C523" s="46">
        <v>147</v>
      </c>
      <c r="D523" s="46">
        <v>3950977.4340069559</v>
      </c>
      <c r="E523" s="43">
        <v>316078.19472055649</v>
      </c>
      <c r="F523" s="43" t="s">
        <v>70</v>
      </c>
      <c r="G523" s="43" t="s">
        <v>71</v>
      </c>
      <c r="H523" s="43" t="s">
        <v>72</v>
      </c>
    </row>
    <row r="524" spans="1:8" x14ac:dyDescent="0.25">
      <c r="A524" s="43" t="s">
        <v>574</v>
      </c>
      <c r="B524" s="43" t="s">
        <v>323</v>
      </c>
      <c r="C524" s="46">
        <v>147</v>
      </c>
      <c r="D524" s="46">
        <v>4104942.203047256</v>
      </c>
      <c r="E524" s="43">
        <v>369444.79827425303</v>
      </c>
      <c r="F524" s="43" t="s">
        <v>70</v>
      </c>
      <c r="G524" s="43" t="s">
        <v>71</v>
      </c>
      <c r="H524" s="43" t="s">
        <v>72</v>
      </c>
    </row>
    <row r="525" spans="1:8" x14ac:dyDescent="0.25">
      <c r="A525" s="43" t="s">
        <v>332</v>
      </c>
      <c r="B525" s="43" t="s">
        <v>115</v>
      </c>
      <c r="C525" s="46">
        <v>147</v>
      </c>
      <c r="D525" s="46">
        <v>4658915.0471069179</v>
      </c>
      <c r="E525" s="43">
        <v>605658.95612389932</v>
      </c>
      <c r="F525" s="43" t="s">
        <v>78</v>
      </c>
      <c r="G525" s="43" t="s">
        <v>71</v>
      </c>
      <c r="H525" s="43" t="s">
        <v>72</v>
      </c>
    </row>
    <row r="526" spans="1:8" x14ac:dyDescent="0.25">
      <c r="A526" s="43" t="s">
        <v>1494</v>
      </c>
      <c r="B526" s="43" t="s">
        <v>127</v>
      </c>
      <c r="C526" s="46">
        <v>147</v>
      </c>
      <c r="D526" s="46">
        <v>3383047.0506605674</v>
      </c>
      <c r="E526" s="43">
        <v>236813.2935462397</v>
      </c>
      <c r="F526" s="43" t="s">
        <v>106</v>
      </c>
      <c r="G526" s="43" t="s">
        <v>71</v>
      </c>
      <c r="H526" s="43" t="s">
        <v>72</v>
      </c>
    </row>
    <row r="527" spans="1:8" x14ac:dyDescent="0.25">
      <c r="A527" s="43" t="s">
        <v>413</v>
      </c>
      <c r="B527" s="43" t="s">
        <v>85</v>
      </c>
      <c r="C527" s="46">
        <v>146</v>
      </c>
      <c r="D527" s="46">
        <v>3602690.2823013756</v>
      </c>
      <c r="E527" s="43">
        <v>432322.83387616504</v>
      </c>
      <c r="F527" s="43" t="s">
        <v>106</v>
      </c>
      <c r="G527" s="43" t="s">
        <v>71</v>
      </c>
      <c r="H527" s="43" t="s">
        <v>72</v>
      </c>
    </row>
    <row r="528" spans="1:8" x14ac:dyDescent="0.25">
      <c r="A528" s="43" t="s">
        <v>886</v>
      </c>
      <c r="B528" s="43" t="s">
        <v>160</v>
      </c>
      <c r="C528" s="46">
        <v>146</v>
      </c>
      <c r="D528" s="46">
        <v>3474689.2812391939</v>
      </c>
      <c r="E528" s="43">
        <v>312722.03531152743</v>
      </c>
      <c r="F528" s="43" t="s">
        <v>106</v>
      </c>
      <c r="G528" s="43" t="s">
        <v>71</v>
      </c>
      <c r="H528" s="43" t="s">
        <v>72</v>
      </c>
    </row>
    <row r="529" spans="1:8" x14ac:dyDescent="0.25">
      <c r="A529" s="43" t="s">
        <v>880</v>
      </c>
      <c r="B529" s="43" t="s">
        <v>102</v>
      </c>
      <c r="C529" s="46">
        <v>146</v>
      </c>
      <c r="D529" s="46">
        <v>3926215.5622071503</v>
      </c>
      <c r="E529" s="43">
        <v>314097.24497657205</v>
      </c>
      <c r="F529" s="43" t="s">
        <v>70</v>
      </c>
      <c r="G529" s="43" t="s">
        <v>71</v>
      </c>
      <c r="H529" s="43" t="s">
        <v>72</v>
      </c>
    </row>
    <row r="530" spans="1:8" x14ac:dyDescent="0.25">
      <c r="A530" s="43" t="s">
        <v>1746</v>
      </c>
      <c r="B530" s="43" t="s">
        <v>112</v>
      </c>
      <c r="C530" s="46">
        <v>146</v>
      </c>
      <c r="D530" s="46">
        <v>3529612.5553515195</v>
      </c>
      <c r="E530" s="43">
        <v>211776.75332109121</v>
      </c>
      <c r="F530" s="43" t="s">
        <v>70</v>
      </c>
      <c r="G530" s="43" t="s">
        <v>71</v>
      </c>
      <c r="H530" s="43" t="s">
        <v>72</v>
      </c>
    </row>
    <row r="531" spans="1:8" x14ac:dyDescent="0.25">
      <c r="A531" s="72" t="s">
        <v>2334</v>
      </c>
      <c r="B531" s="72" t="s">
        <v>108</v>
      </c>
      <c r="C531" s="73">
        <v>146</v>
      </c>
      <c r="D531" s="73">
        <v>3229043.6814420614</v>
      </c>
      <c r="E531" s="72">
        <v>161452.18407210309</v>
      </c>
      <c r="F531" s="72" t="s">
        <v>70</v>
      </c>
      <c r="G531" s="72" t="s">
        <v>71</v>
      </c>
      <c r="H531" s="72" t="s">
        <v>72</v>
      </c>
    </row>
    <row r="532" spans="1:8" x14ac:dyDescent="0.25">
      <c r="A532" s="72" t="s">
        <v>330</v>
      </c>
      <c r="B532" s="72" t="s">
        <v>83</v>
      </c>
      <c r="C532" s="73">
        <v>146</v>
      </c>
      <c r="D532" s="73">
        <v>4675257.9717493858</v>
      </c>
      <c r="E532" s="72">
        <v>607783.53632742015</v>
      </c>
      <c r="F532" s="72" t="s">
        <v>84</v>
      </c>
      <c r="G532" s="72" t="s">
        <v>71</v>
      </c>
      <c r="H532" s="72" t="s">
        <v>72</v>
      </c>
    </row>
    <row r="533" spans="1:8" x14ac:dyDescent="0.25">
      <c r="A533" s="72" t="s">
        <v>3510</v>
      </c>
      <c r="B533" s="72" t="s">
        <v>127</v>
      </c>
      <c r="C533" s="73">
        <v>146</v>
      </c>
      <c r="D533" s="73">
        <v>2916593.3892292897</v>
      </c>
      <c r="E533" s="72">
        <v>87497.801676878706</v>
      </c>
      <c r="F533" s="72" t="s">
        <v>106</v>
      </c>
      <c r="G533" s="72" t="s">
        <v>71</v>
      </c>
      <c r="H533" s="72" t="s">
        <v>72</v>
      </c>
    </row>
    <row r="534" spans="1:8" x14ac:dyDescent="0.25">
      <c r="A534" s="43" t="s">
        <v>1108</v>
      </c>
      <c r="B534" s="43" t="s">
        <v>73</v>
      </c>
      <c r="C534" s="46">
        <v>146</v>
      </c>
      <c r="D534" s="46">
        <v>4017344.6006891164</v>
      </c>
      <c r="E534" s="43">
        <v>281214.12204823812</v>
      </c>
      <c r="F534" s="43" t="s">
        <v>87</v>
      </c>
      <c r="G534" s="43" t="s">
        <v>71</v>
      </c>
      <c r="H534" s="43" t="s">
        <v>88</v>
      </c>
    </row>
    <row r="535" spans="1:8" x14ac:dyDescent="0.25">
      <c r="A535" s="72" t="s">
        <v>2704</v>
      </c>
      <c r="B535" s="72" t="s">
        <v>202</v>
      </c>
      <c r="C535" s="73">
        <v>145</v>
      </c>
      <c r="D535" s="73">
        <v>3391508.2857938581</v>
      </c>
      <c r="E535" s="72">
        <v>135660.33143175434</v>
      </c>
      <c r="F535" s="72" t="s">
        <v>87</v>
      </c>
      <c r="G535" s="72" t="s">
        <v>71</v>
      </c>
      <c r="H535" s="72" t="s">
        <v>88</v>
      </c>
    </row>
    <row r="536" spans="1:8" x14ac:dyDescent="0.25">
      <c r="A536" s="43" t="s">
        <v>601</v>
      </c>
      <c r="B536" s="43" t="s">
        <v>269</v>
      </c>
      <c r="C536" s="46">
        <v>145</v>
      </c>
      <c r="D536" s="46">
        <v>4053296.6650624997</v>
      </c>
      <c r="E536" s="43">
        <v>364796.69985562493</v>
      </c>
      <c r="F536" s="43" t="s">
        <v>70</v>
      </c>
      <c r="G536" s="43" t="s">
        <v>71</v>
      </c>
      <c r="H536" s="43" t="s">
        <v>72</v>
      </c>
    </row>
    <row r="537" spans="1:8" x14ac:dyDescent="0.25">
      <c r="A537" s="72" t="s">
        <v>602</v>
      </c>
      <c r="B537" s="72" t="s">
        <v>112</v>
      </c>
      <c r="C537" s="73">
        <v>145</v>
      </c>
      <c r="D537" s="73">
        <v>4053296.6650624997</v>
      </c>
      <c r="E537" s="72">
        <v>364796.69985562493</v>
      </c>
      <c r="F537" s="72" t="s">
        <v>70</v>
      </c>
      <c r="G537" s="72" t="s">
        <v>71</v>
      </c>
      <c r="H537" s="72" t="s">
        <v>72</v>
      </c>
    </row>
    <row r="538" spans="1:8" x14ac:dyDescent="0.25">
      <c r="A538" s="72" t="s">
        <v>2321</v>
      </c>
      <c r="B538" s="72" t="s">
        <v>143</v>
      </c>
      <c r="C538" s="73">
        <v>145</v>
      </c>
      <c r="D538" s="73">
        <v>3250467.3309258707</v>
      </c>
      <c r="E538" s="72">
        <v>162523.36654629355</v>
      </c>
      <c r="F538" s="72" t="s">
        <v>78</v>
      </c>
      <c r="G538" s="72" t="s">
        <v>71</v>
      </c>
      <c r="H538" s="72" t="s">
        <v>72</v>
      </c>
    </row>
    <row r="539" spans="1:8" x14ac:dyDescent="0.25">
      <c r="A539" s="72" t="s">
        <v>1266</v>
      </c>
      <c r="B539" s="72" t="s">
        <v>85</v>
      </c>
      <c r="C539" s="73">
        <v>145</v>
      </c>
      <c r="D539" s="73">
        <v>3724608.7803063029</v>
      </c>
      <c r="E539" s="72">
        <v>260722.61462144117</v>
      </c>
      <c r="F539" s="72" t="s">
        <v>70</v>
      </c>
      <c r="G539" s="72" t="s">
        <v>71</v>
      </c>
      <c r="H539" s="72" t="s">
        <v>72</v>
      </c>
    </row>
    <row r="540" spans="1:8" x14ac:dyDescent="0.25">
      <c r="A540" s="72" t="s">
        <v>2364</v>
      </c>
      <c r="B540" s="72" t="s">
        <v>119</v>
      </c>
      <c r="C540" s="73">
        <v>144</v>
      </c>
      <c r="D540" s="73">
        <v>3188989.0922730672</v>
      </c>
      <c r="E540" s="72">
        <v>159449.45461365336</v>
      </c>
      <c r="F540" s="72" t="s">
        <v>70</v>
      </c>
      <c r="G540" s="72" t="s">
        <v>71</v>
      </c>
      <c r="H540" s="72" t="s">
        <v>72</v>
      </c>
    </row>
    <row r="541" spans="1:8" x14ac:dyDescent="0.25">
      <c r="A541" s="43" t="s">
        <v>2365</v>
      </c>
      <c r="B541" s="43" t="s">
        <v>252</v>
      </c>
      <c r="C541" s="46">
        <v>144</v>
      </c>
      <c r="D541" s="46">
        <v>3188989.0922730672</v>
      </c>
      <c r="E541" s="43">
        <v>159449.45461365336</v>
      </c>
      <c r="F541" s="43" t="s">
        <v>70</v>
      </c>
      <c r="G541" s="43" t="s">
        <v>71</v>
      </c>
      <c r="H541" s="43" t="s">
        <v>72</v>
      </c>
    </row>
    <row r="542" spans="1:8" x14ac:dyDescent="0.25">
      <c r="A542" s="43" t="s">
        <v>486</v>
      </c>
      <c r="B542" s="43" t="s">
        <v>132</v>
      </c>
      <c r="C542" s="46">
        <v>144</v>
      </c>
      <c r="D542" s="46">
        <v>3519044.3127596313</v>
      </c>
      <c r="E542" s="43">
        <v>387094.87440355949</v>
      </c>
      <c r="F542" s="43" t="s">
        <v>106</v>
      </c>
      <c r="G542" s="43" t="s">
        <v>71</v>
      </c>
      <c r="H542" s="43" t="s">
        <v>72</v>
      </c>
    </row>
    <row r="543" spans="1:8" x14ac:dyDescent="0.25">
      <c r="A543" s="72" t="s">
        <v>795</v>
      </c>
      <c r="B543" s="72" t="s">
        <v>391</v>
      </c>
      <c r="C543" s="73">
        <v>144</v>
      </c>
      <c r="D543" s="73">
        <v>4087076.1702736737</v>
      </c>
      <c r="E543" s="72">
        <v>326966.0936218939</v>
      </c>
      <c r="F543" s="72" t="s">
        <v>87</v>
      </c>
      <c r="G543" s="72" t="s">
        <v>71</v>
      </c>
      <c r="H543" s="72" t="s">
        <v>88</v>
      </c>
    </row>
    <row r="544" spans="1:8" x14ac:dyDescent="0.25">
      <c r="A544" s="72" t="s">
        <v>2720</v>
      </c>
      <c r="B544" s="72" t="s">
        <v>77</v>
      </c>
      <c r="C544" s="73">
        <v>144</v>
      </c>
      <c r="D544" s="73">
        <v>3369868.7311952286</v>
      </c>
      <c r="E544" s="72">
        <v>134794.74924780914</v>
      </c>
      <c r="F544" s="72" t="s">
        <v>87</v>
      </c>
      <c r="G544" s="72" t="s">
        <v>71</v>
      </c>
      <c r="H544" s="72" t="s">
        <v>88</v>
      </c>
    </row>
    <row r="545" spans="1:8" x14ac:dyDescent="0.25">
      <c r="A545" s="72" t="s">
        <v>616</v>
      </c>
      <c r="B545" s="72" t="s">
        <v>73</v>
      </c>
      <c r="C545" s="73">
        <v>144</v>
      </c>
      <c r="D545" s="73">
        <v>4027433.3041982688</v>
      </c>
      <c r="E545" s="72">
        <v>362468.99737784418</v>
      </c>
      <c r="F545" s="72" t="s">
        <v>70</v>
      </c>
      <c r="G545" s="72" t="s">
        <v>71</v>
      </c>
      <c r="H545" s="72" t="s">
        <v>72</v>
      </c>
    </row>
    <row r="546" spans="1:8" x14ac:dyDescent="0.25">
      <c r="A546" s="72" t="s">
        <v>282</v>
      </c>
      <c r="B546" s="72" t="s">
        <v>83</v>
      </c>
      <c r="C546" s="73">
        <v>144</v>
      </c>
      <c r="D546" s="73">
        <v>4875291.9470256818</v>
      </c>
      <c r="E546" s="72">
        <v>731293.79205385223</v>
      </c>
      <c r="F546" s="72" t="s">
        <v>84</v>
      </c>
      <c r="G546" s="72" t="s">
        <v>71</v>
      </c>
      <c r="H546" s="72" t="s">
        <v>72</v>
      </c>
    </row>
    <row r="547" spans="1:8" x14ac:dyDescent="0.25">
      <c r="A547" s="72" t="s">
        <v>2366</v>
      </c>
      <c r="B547" s="72" t="s">
        <v>102</v>
      </c>
      <c r="C547" s="73">
        <v>144</v>
      </c>
      <c r="D547" s="73">
        <v>3188989.0922730672</v>
      </c>
      <c r="E547" s="72">
        <v>159449.45461365336</v>
      </c>
      <c r="F547" s="72" t="s">
        <v>70</v>
      </c>
      <c r="G547" s="72" t="s">
        <v>71</v>
      </c>
      <c r="H547" s="72" t="s">
        <v>72</v>
      </c>
    </row>
    <row r="548" spans="1:8" x14ac:dyDescent="0.25">
      <c r="A548" s="43" t="s">
        <v>2079</v>
      </c>
      <c r="B548" s="43" t="s">
        <v>1247</v>
      </c>
      <c r="C548" s="46">
        <v>144</v>
      </c>
      <c r="D548" s="46">
        <v>3636970.528929702</v>
      </c>
      <c r="E548" s="43">
        <v>181848.52644648511</v>
      </c>
      <c r="F548" s="43" t="s">
        <v>87</v>
      </c>
      <c r="G548" s="43" t="s">
        <v>71</v>
      </c>
      <c r="H548" s="43" t="s">
        <v>88</v>
      </c>
    </row>
    <row r="549" spans="1:8" x14ac:dyDescent="0.25">
      <c r="A549" s="43" t="s">
        <v>1551</v>
      </c>
      <c r="B549" s="43" t="s">
        <v>73</v>
      </c>
      <c r="C549" s="46">
        <v>144</v>
      </c>
      <c r="D549" s="46">
        <v>3820987.7857226282</v>
      </c>
      <c r="E549" s="43">
        <v>229259.26714335769</v>
      </c>
      <c r="F549" s="43" t="s">
        <v>87</v>
      </c>
      <c r="G549" s="43" t="s">
        <v>71</v>
      </c>
      <c r="H549" s="43" t="s">
        <v>88</v>
      </c>
    </row>
    <row r="550" spans="1:8" x14ac:dyDescent="0.25">
      <c r="A550" s="43" t="s">
        <v>617</v>
      </c>
      <c r="B550" s="43" t="s">
        <v>86</v>
      </c>
      <c r="C550" s="46">
        <v>144</v>
      </c>
      <c r="D550" s="46">
        <v>4027433.3041982688</v>
      </c>
      <c r="E550" s="43">
        <v>362468.99737784418</v>
      </c>
      <c r="F550" s="43" t="s">
        <v>70</v>
      </c>
      <c r="G550" s="43" t="s">
        <v>71</v>
      </c>
      <c r="H550" s="43" t="s">
        <v>72</v>
      </c>
    </row>
    <row r="551" spans="1:8" x14ac:dyDescent="0.25">
      <c r="A551" s="72" t="s">
        <v>1278</v>
      </c>
      <c r="B551" s="72" t="s">
        <v>85</v>
      </c>
      <c r="C551" s="73">
        <v>144</v>
      </c>
      <c r="D551" s="73">
        <v>3701012.2324403911</v>
      </c>
      <c r="E551" s="72">
        <v>259070.85627082735</v>
      </c>
      <c r="F551" s="72" t="s">
        <v>70</v>
      </c>
      <c r="G551" s="72" t="s">
        <v>71</v>
      </c>
      <c r="H551" s="72" t="s">
        <v>72</v>
      </c>
    </row>
    <row r="552" spans="1:8" x14ac:dyDescent="0.25">
      <c r="A552" s="72" t="s">
        <v>339</v>
      </c>
      <c r="B552" s="72" t="s">
        <v>83</v>
      </c>
      <c r="C552" s="73">
        <v>144</v>
      </c>
      <c r="D552" s="73">
        <v>4616531.5237177536</v>
      </c>
      <c r="E552" s="72">
        <v>600149.09808330797</v>
      </c>
      <c r="F552" s="72" t="s">
        <v>84</v>
      </c>
      <c r="G552" s="72" t="s">
        <v>71</v>
      </c>
      <c r="H552" s="72" t="s">
        <v>72</v>
      </c>
    </row>
    <row r="553" spans="1:8" x14ac:dyDescent="0.25">
      <c r="A553" s="72" t="s">
        <v>487</v>
      </c>
      <c r="B553" s="72" t="s">
        <v>127</v>
      </c>
      <c r="C553" s="73">
        <v>144</v>
      </c>
      <c r="D553" s="73">
        <v>3519044.3127596313</v>
      </c>
      <c r="E553" s="72">
        <v>387094.87440355949</v>
      </c>
      <c r="F553" s="72" t="s">
        <v>106</v>
      </c>
      <c r="G553" s="72" t="s">
        <v>71</v>
      </c>
      <c r="H553" s="72" t="s">
        <v>72</v>
      </c>
    </row>
    <row r="554" spans="1:8" x14ac:dyDescent="0.25">
      <c r="A554" s="43" t="s">
        <v>1279</v>
      </c>
      <c r="B554" s="43" t="s">
        <v>102</v>
      </c>
      <c r="C554" s="46">
        <v>144</v>
      </c>
      <c r="D554" s="46">
        <v>3701012.2324403911</v>
      </c>
      <c r="E554" s="43">
        <v>259070.85627082735</v>
      </c>
      <c r="F554" s="43" t="s">
        <v>70</v>
      </c>
      <c r="G554" s="43" t="s">
        <v>71</v>
      </c>
      <c r="H554" s="43" t="s">
        <v>72</v>
      </c>
    </row>
    <row r="555" spans="1:8" x14ac:dyDescent="0.25">
      <c r="A555" s="72" t="s">
        <v>913</v>
      </c>
      <c r="B555" s="72" t="s">
        <v>149</v>
      </c>
      <c r="C555" s="73">
        <v>143</v>
      </c>
      <c r="D555" s="73">
        <v>3851767.5792723331</v>
      </c>
      <c r="E555" s="72">
        <v>308141.40634178667</v>
      </c>
      <c r="F555" s="72" t="s">
        <v>70</v>
      </c>
      <c r="G555" s="72" t="s">
        <v>71</v>
      </c>
      <c r="H555" s="72" t="s">
        <v>72</v>
      </c>
    </row>
    <row r="556" spans="1:8" x14ac:dyDescent="0.25">
      <c r="A556" s="43" t="s">
        <v>924</v>
      </c>
      <c r="B556" s="43" t="s">
        <v>291</v>
      </c>
      <c r="C556" s="46">
        <v>143</v>
      </c>
      <c r="D556" s="46">
        <v>3409164.9793627132</v>
      </c>
      <c r="E556" s="43">
        <v>306824.84814264416</v>
      </c>
      <c r="F556" s="43" t="s">
        <v>106</v>
      </c>
      <c r="G556" s="43" t="s">
        <v>71</v>
      </c>
      <c r="H556" s="43" t="s">
        <v>72</v>
      </c>
    </row>
    <row r="557" spans="1:8" x14ac:dyDescent="0.25">
      <c r="A557" s="72" t="s">
        <v>2380</v>
      </c>
      <c r="B557" s="72" t="s">
        <v>110</v>
      </c>
      <c r="C557" s="73">
        <v>143</v>
      </c>
      <c r="D557" s="73">
        <v>3168921.1481120074</v>
      </c>
      <c r="E557" s="72">
        <v>158446.05740560038</v>
      </c>
      <c r="F557" s="72" t="s">
        <v>70</v>
      </c>
      <c r="G557" s="72" t="s">
        <v>71</v>
      </c>
      <c r="H557" s="72" t="s">
        <v>72</v>
      </c>
    </row>
    <row r="558" spans="1:8" x14ac:dyDescent="0.25">
      <c r="A558" s="43" t="s">
        <v>2381</v>
      </c>
      <c r="B558" s="43" t="s">
        <v>105</v>
      </c>
      <c r="C558" s="46">
        <v>143</v>
      </c>
      <c r="D558" s="46">
        <v>3168921.1481120074</v>
      </c>
      <c r="E558" s="43">
        <v>158446.05740560038</v>
      </c>
      <c r="F558" s="43" t="s">
        <v>70</v>
      </c>
      <c r="G558" s="43" t="s">
        <v>71</v>
      </c>
      <c r="H558" s="43" t="s">
        <v>72</v>
      </c>
    </row>
    <row r="559" spans="1:8" x14ac:dyDescent="0.25">
      <c r="A559" s="43" t="s">
        <v>1575</v>
      </c>
      <c r="B559" s="43" t="s">
        <v>73</v>
      </c>
      <c r="C559" s="46">
        <v>143</v>
      </c>
      <c r="D559" s="46">
        <v>3796192.5269472371</v>
      </c>
      <c r="E559" s="43">
        <v>227771.55161683421</v>
      </c>
      <c r="F559" s="43" t="s">
        <v>87</v>
      </c>
      <c r="G559" s="43" t="s">
        <v>71</v>
      </c>
      <c r="H559" s="43" t="s">
        <v>88</v>
      </c>
    </row>
    <row r="560" spans="1:8" x14ac:dyDescent="0.25">
      <c r="A560" s="72" t="s">
        <v>2382</v>
      </c>
      <c r="B560" s="72" t="s">
        <v>219</v>
      </c>
      <c r="C560" s="73">
        <v>143</v>
      </c>
      <c r="D560" s="73">
        <v>3168921.1481120074</v>
      </c>
      <c r="E560" s="72">
        <v>158446.05740560038</v>
      </c>
      <c r="F560" s="72" t="s">
        <v>70</v>
      </c>
      <c r="G560" s="72" t="s">
        <v>71</v>
      </c>
      <c r="H560" s="72" t="s">
        <v>72</v>
      </c>
    </row>
    <row r="561" spans="1:8" x14ac:dyDescent="0.25">
      <c r="A561" s="72" t="s">
        <v>1795</v>
      </c>
      <c r="B561" s="72" t="s">
        <v>323</v>
      </c>
      <c r="C561" s="73">
        <v>143</v>
      </c>
      <c r="D561" s="73">
        <v>3463313.949269901</v>
      </c>
      <c r="E561" s="72">
        <v>207798.83695619411</v>
      </c>
      <c r="F561" s="72" t="s">
        <v>70</v>
      </c>
      <c r="G561" s="72" t="s">
        <v>71</v>
      </c>
      <c r="H561" s="72" t="s">
        <v>72</v>
      </c>
    </row>
    <row r="562" spans="1:8" x14ac:dyDescent="0.25">
      <c r="A562" s="72" t="s">
        <v>340</v>
      </c>
      <c r="B562" s="72" t="s">
        <v>83</v>
      </c>
      <c r="C562" s="73">
        <v>143</v>
      </c>
      <c r="D562" s="73">
        <v>4587117.2545226496</v>
      </c>
      <c r="E562" s="72">
        <v>596325.24308794446</v>
      </c>
      <c r="F562" s="72" t="s">
        <v>84</v>
      </c>
      <c r="G562" s="72" t="s">
        <v>71</v>
      </c>
      <c r="H562" s="72" t="s">
        <v>72</v>
      </c>
    </row>
    <row r="563" spans="1:8" x14ac:dyDescent="0.25">
      <c r="A563" s="43" t="s">
        <v>284</v>
      </c>
      <c r="B563" s="43" t="s">
        <v>83</v>
      </c>
      <c r="C563" s="46">
        <v>143</v>
      </c>
      <c r="D563" s="46">
        <v>4844080.7304464951</v>
      </c>
      <c r="E563" s="43">
        <v>726612.10956697422</v>
      </c>
      <c r="F563" s="43" t="s">
        <v>84</v>
      </c>
      <c r="G563" s="43" t="s">
        <v>71</v>
      </c>
      <c r="H563" s="43" t="s">
        <v>72</v>
      </c>
    </row>
    <row r="564" spans="1:8" x14ac:dyDescent="0.25">
      <c r="A564" s="72" t="s">
        <v>1939</v>
      </c>
      <c r="B564" s="72" t="s">
        <v>75</v>
      </c>
      <c r="C564" s="73">
        <v>143</v>
      </c>
      <c r="D564" s="73">
        <v>3229627.7656117175</v>
      </c>
      <c r="E564" s="72">
        <v>193777.6659367031</v>
      </c>
      <c r="F564" s="72" t="s">
        <v>106</v>
      </c>
      <c r="G564" s="72" t="s">
        <v>71</v>
      </c>
      <c r="H564" s="72" t="s">
        <v>72</v>
      </c>
    </row>
    <row r="565" spans="1:8" x14ac:dyDescent="0.25">
      <c r="A565" s="72" t="s">
        <v>1212</v>
      </c>
      <c r="B565" s="72" t="s">
        <v>75</v>
      </c>
      <c r="C565" s="73">
        <v>142</v>
      </c>
      <c r="D565" s="73">
        <v>3336156.6376151647</v>
      </c>
      <c r="E565" s="72">
        <v>266892.53100921318</v>
      </c>
      <c r="F565" s="72" t="s">
        <v>106</v>
      </c>
      <c r="G565" s="72" t="s">
        <v>71</v>
      </c>
      <c r="H565" s="72" t="s">
        <v>72</v>
      </c>
    </row>
    <row r="566" spans="1:8" x14ac:dyDescent="0.25">
      <c r="A566" s="43" t="s">
        <v>2387</v>
      </c>
      <c r="B566" s="43" t="s">
        <v>85</v>
      </c>
      <c r="C566" s="46">
        <v>142</v>
      </c>
      <c r="D566" s="46">
        <v>3148826.0528707909</v>
      </c>
      <c r="E566" s="43">
        <v>157441.30264353956</v>
      </c>
      <c r="F566" s="43" t="s">
        <v>70</v>
      </c>
      <c r="G566" s="43" t="s">
        <v>71</v>
      </c>
      <c r="H566" s="43" t="s">
        <v>72</v>
      </c>
    </row>
    <row r="567" spans="1:8" x14ac:dyDescent="0.25">
      <c r="A567" s="72" t="s">
        <v>641</v>
      </c>
      <c r="B567" s="72" t="s">
        <v>73</v>
      </c>
      <c r="C567" s="73">
        <v>142</v>
      </c>
      <c r="D567" s="73">
        <v>3975625.2062970321</v>
      </c>
      <c r="E567" s="72">
        <v>357806.26856673288</v>
      </c>
      <c r="F567" s="72" t="s">
        <v>70</v>
      </c>
      <c r="G567" s="72" t="s">
        <v>71</v>
      </c>
      <c r="H567" s="72" t="s">
        <v>72</v>
      </c>
    </row>
    <row r="568" spans="1:8" x14ac:dyDescent="0.25">
      <c r="A568" s="72" t="s">
        <v>314</v>
      </c>
      <c r="B568" s="72" t="s">
        <v>75</v>
      </c>
      <c r="C568" s="73">
        <v>142</v>
      </c>
      <c r="D568" s="73">
        <v>4609409.1192660043</v>
      </c>
      <c r="E568" s="72">
        <v>645317.27669724054</v>
      </c>
      <c r="F568" s="72" t="s">
        <v>78</v>
      </c>
      <c r="G568" s="72" t="s">
        <v>71</v>
      </c>
      <c r="H568" s="72" t="s">
        <v>72</v>
      </c>
    </row>
    <row r="569" spans="1:8" x14ac:dyDescent="0.25">
      <c r="A569" s="43" t="s">
        <v>1306</v>
      </c>
      <c r="B569" s="43" t="s">
        <v>75</v>
      </c>
      <c r="C569" s="46">
        <v>142</v>
      </c>
      <c r="D569" s="46">
        <v>3653737.7605357911</v>
      </c>
      <c r="E569" s="43">
        <v>255761.64323750534</v>
      </c>
      <c r="F569" s="43" t="s">
        <v>70</v>
      </c>
      <c r="G569" s="43" t="s">
        <v>71</v>
      </c>
      <c r="H569" s="43" t="s">
        <v>72</v>
      </c>
    </row>
    <row r="570" spans="1:8" x14ac:dyDescent="0.25">
      <c r="A570" s="43" t="s">
        <v>1585</v>
      </c>
      <c r="B570" s="43" t="s">
        <v>73</v>
      </c>
      <c r="C570" s="46">
        <v>142</v>
      </c>
      <c r="D570" s="46">
        <v>3771374.3074453794</v>
      </c>
      <c r="E570" s="43">
        <v>226282.45844672277</v>
      </c>
      <c r="F570" s="43" t="s">
        <v>87</v>
      </c>
      <c r="G570" s="43" t="s">
        <v>71</v>
      </c>
      <c r="H570" s="43" t="s">
        <v>88</v>
      </c>
    </row>
    <row r="571" spans="1:8" x14ac:dyDescent="0.25">
      <c r="A571" s="72" t="s">
        <v>2752</v>
      </c>
      <c r="B571" s="72" t="s">
        <v>93</v>
      </c>
      <c r="C571" s="73">
        <v>142</v>
      </c>
      <c r="D571" s="73">
        <v>3326520.7953419727</v>
      </c>
      <c r="E571" s="72">
        <v>133060.8318136789</v>
      </c>
      <c r="F571" s="72" t="s">
        <v>87</v>
      </c>
      <c r="G571" s="72" t="s">
        <v>71</v>
      </c>
      <c r="H571" s="72" t="s">
        <v>88</v>
      </c>
    </row>
    <row r="572" spans="1:8" x14ac:dyDescent="0.25">
      <c r="A572" s="72" t="s">
        <v>1802</v>
      </c>
      <c r="B572" s="72" t="s">
        <v>86</v>
      </c>
      <c r="C572" s="73">
        <v>142</v>
      </c>
      <c r="D572" s="73">
        <v>3441160.1631114967</v>
      </c>
      <c r="E572" s="72">
        <v>206469.60978668983</v>
      </c>
      <c r="F572" s="72" t="s">
        <v>70</v>
      </c>
      <c r="G572" s="72" t="s">
        <v>71</v>
      </c>
      <c r="H572" s="72" t="s">
        <v>72</v>
      </c>
    </row>
    <row r="573" spans="1:8" x14ac:dyDescent="0.25">
      <c r="A573" s="43" t="s">
        <v>1213</v>
      </c>
      <c r="B573" s="43" t="s">
        <v>105</v>
      </c>
      <c r="C573" s="46">
        <v>142</v>
      </c>
      <c r="D573" s="46">
        <v>3336156.6376151647</v>
      </c>
      <c r="E573" s="43">
        <v>266892.53100921318</v>
      </c>
      <c r="F573" s="43" t="s">
        <v>106</v>
      </c>
      <c r="G573" s="43" t="s">
        <v>71</v>
      </c>
      <c r="H573" s="43" t="s">
        <v>72</v>
      </c>
    </row>
    <row r="574" spans="1:8" x14ac:dyDescent="0.25">
      <c r="A574" s="72" t="s">
        <v>927</v>
      </c>
      <c r="B574" s="72" t="s">
        <v>112</v>
      </c>
      <c r="C574" s="73">
        <v>142</v>
      </c>
      <c r="D574" s="73">
        <v>3826897.3341628639</v>
      </c>
      <c r="E574" s="72">
        <v>306151.78673302912</v>
      </c>
      <c r="F574" s="72" t="s">
        <v>70</v>
      </c>
      <c r="G574" s="72" t="s">
        <v>71</v>
      </c>
      <c r="H574" s="72" t="s">
        <v>72</v>
      </c>
    </row>
    <row r="575" spans="1:8" x14ac:dyDescent="0.25">
      <c r="A575" s="43" t="s">
        <v>642</v>
      </c>
      <c r="B575" s="43" t="s">
        <v>112</v>
      </c>
      <c r="C575" s="46">
        <v>142</v>
      </c>
      <c r="D575" s="46">
        <v>3975625.2062970321</v>
      </c>
      <c r="E575" s="43">
        <v>357806.26856673288</v>
      </c>
      <c r="F575" s="43" t="s">
        <v>70</v>
      </c>
      <c r="G575" s="43" t="s">
        <v>71</v>
      </c>
      <c r="H575" s="43" t="s">
        <v>72</v>
      </c>
    </row>
    <row r="576" spans="1:8" x14ac:dyDescent="0.25">
      <c r="A576" s="72" t="s">
        <v>1307</v>
      </c>
      <c r="B576" s="72" t="s">
        <v>102</v>
      </c>
      <c r="C576" s="73">
        <v>142</v>
      </c>
      <c r="D576" s="73">
        <v>3653737.7605357911</v>
      </c>
      <c r="E576" s="72">
        <v>255761.64323750534</v>
      </c>
      <c r="F576" s="72" t="s">
        <v>70</v>
      </c>
      <c r="G576" s="72" t="s">
        <v>71</v>
      </c>
      <c r="H576" s="72" t="s">
        <v>72</v>
      </c>
    </row>
    <row r="577" spans="1:8" x14ac:dyDescent="0.25">
      <c r="A577" s="43" t="s">
        <v>2961</v>
      </c>
      <c r="B577" s="43" t="s">
        <v>77</v>
      </c>
      <c r="C577" s="46">
        <v>142</v>
      </c>
      <c r="D577" s="46">
        <v>3014116.343187477</v>
      </c>
      <c r="E577" s="43">
        <v>120564.65372749908</v>
      </c>
      <c r="F577" s="43" t="s">
        <v>106</v>
      </c>
      <c r="G577" s="43" t="s">
        <v>71</v>
      </c>
      <c r="H577" s="43" t="s">
        <v>72</v>
      </c>
    </row>
    <row r="578" spans="1:8" x14ac:dyDescent="0.25">
      <c r="A578" s="43" t="s">
        <v>431</v>
      </c>
      <c r="B578" s="43" t="s">
        <v>115</v>
      </c>
      <c r="C578" s="46">
        <v>142</v>
      </c>
      <c r="D578" s="46">
        <v>4173656.0549714803</v>
      </c>
      <c r="E578" s="43">
        <v>417365.60549714806</v>
      </c>
      <c r="F578" s="43" t="s">
        <v>78</v>
      </c>
      <c r="G578" s="43" t="s">
        <v>71</v>
      </c>
      <c r="H578" s="43" t="s">
        <v>72</v>
      </c>
    </row>
    <row r="579" spans="1:8" x14ac:dyDescent="0.25">
      <c r="A579" s="72" t="s">
        <v>608</v>
      </c>
      <c r="B579" s="72" t="s">
        <v>115</v>
      </c>
      <c r="C579" s="73">
        <v>142</v>
      </c>
      <c r="D579" s="73">
        <v>4038467.2304647346</v>
      </c>
      <c r="E579" s="72">
        <v>363462.05074182613</v>
      </c>
      <c r="F579" s="72" t="s">
        <v>78</v>
      </c>
      <c r="G579" s="72" t="s">
        <v>71</v>
      </c>
      <c r="H579" s="72" t="s">
        <v>72</v>
      </c>
    </row>
    <row r="580" spans="1:8" x14ac:dyDescent="0.25">
      <c r="A580" s="43" t="s">
        <v>1768</v>
      </c>
      <c r="B580" s="43" t="s">
        <v>73</v>
      </c>
      <c r="C580" s="46">
        <v>142</v>
      </c>
      <c r="D580" s="46">
        <v>3490135.070507857</v>
      </c>
      <c r="E580" s="43">
        <v>209408.10423047145</v>
      </c>
      <c r="F580" s="43" t="s">
        <v>78</v>
      </c>
      <c r="G580" s="43" t="s">
        <v>71</v>
      </c>
      <c r="H580" s="43" t="s">
        <v>72</v>
      </c>
    </row>
    <row r="581" spans="1:8" x14ac:dyDescent="0.25">
      <c r="A581" s="43" t="s">
        <v>508</v>
      </c>
      <c r="B581" s="43" t="s">
        <v>127</v>
      </c>
      <c r="C581" s="46">
        <v>142</v>
      </c>
      <c r="D581" s="46">
        <v>3474063.6103666639</v>
      </c>
      <c r="E581" s="43">
        <v>382146.99714033306</v>
      </c>
      <c r="F581" s="43" t="s">
        <v>106</v>
      </c>
      <c r="G581" s="43" t="s">
        <v>71</v>
      </c>
      <c r="H581" s="43" t="s">
        <v>72</v>
      </c>
    </row>
    <row r="582" spans="1:8" x14ac:dyDescent="0.25">
      <c r="A582" s="72" t="s">
        <v>3550</v>
      </c>
      <c r="B582" s="72" t="s">
        <v>127</v>
      </c>
      <c r="C582" s="73">
        <v>142</v>
      </c>
      <c r="D582" s="73">
        <v>2844467.6421535681</v>
      </c>
      <c r="E582" s="72">
        <v>85334.029264607059</v>
      </c>
      <c r="F582" s="72" t="s">
        <v>106</v>
      </c>
      <c r="G582" s="72" t="s">
        <v>71</v>
      </c>
      <c r="H582" s="72" t="s">
        <v>72</v>
      </c>
    </row>
    <row r="583" spans="1:8" x14ac:dyDescent="0.25">
      <c r="A583" s="43" t="s">
        <v>938</v>
      </c>
      <c r="B583" s="43" t="s">
        <v>85</v>
      </c>
      <c r="C583" s="46">
        <v>141</v>
      </c>
      <c r="D583" s="46">
        <v>3801999.8993912945</v>
      </c>
      <c r="E583" s="43">
        <v>304159.99195130356</v>
      </c>
      <c r="F583" s="43" t="s">
        <v>70</v>
      </c>
      <c r="G583" s="43" t="s">
        <v>71</v>
      </c>
      <c r="H583" s="43" t="s">
        <v>72</v>
      </c>
    </row>
    <row r="584" spans="1:8" x14ac:dyDescent="0.25">
      <c r="A584" s="43" t="s">
        <v>1811</v>
      </c>
      <c r="B584" s="43" t="s">
        <v>323</v>
      </c>
      <c r="C584" s="46">
        <v>141</v>
      </c>
      <c r="D584" s="46">
        <v>3418979.187290994</v>
      </c>
      <c r="E584" s="43">
        <v>205138.75123745968</v>
      </c>
      <c r="F584" s="43" t="s">
        <v>70</v>
      </c>
      <c r="G584" s="43" t="s">
        <v>71</v>
      </c>
      <c r="H584" s="43" t="s">
        <v>72</v>
      </c>
    </row>
    <row r="585" spans="1:8" x14ac:dyDescent="0.25">
      <c r="A585" s="72" t="s">
        <v>360</v>
      </c>
      <c r="B585" s="72" t="s">
        <v>232</v>
      </c>
      <c r="C585" s="73">
        <v>141</v>
      </c>
      <c r="D585" s="73">
        <v>4389547.9660887085</v>
      </c>
      <c r="E585" s="72">
        <v>526745.75593064504</v>
      </c>
      <c r="F585" s="72" t="s">
        <v>84</v>
      </c>
      <c r="G585" s="72" t="s">
        <v>71</v>
      </c>
      <c r="H585" s="72" t="s">
        <v>72</v>
      </c>
    </row>
    <row r="586" spans="1:8" x14ac:dyDescent="0.25">
      <c r="A586" s="72" t="s">
        <v>1574</v>
      </c>
      <c r="B586" s="72" t="s">
        <v>77</v>
      </c>
      <c r="C586" s="73">
        <v>141</v>
      </c>
      <c r="D586" s="73">
        <v>3256552.6990767755</v>
      </c>
      <c r="E586" s="72">
        <v>227958.68893537426</v>
      </c>
      <c r="F586" s="72" t="s">
        <v>106</v>
      </c>
      <c r="G586" s="72" t="s">
        <v>71</v>
      </c>
      <c r="H586" s="72" t="s">
        <v>72</v>
      </c>
    </row>
    <row r="587" spans="1:8" x14ac:dyDescent="0.25">
      <c r="A587" s="72" t="s">
        <v>939</v>
      </c>
      <c r="B587" s="72" t="s">
        <v>97</v>
      </c>
      <c r="C587" s="73">
        <v>141</v>
      </c>
      <c r="D587" s="73">
        <v>3801999.8993912945</v>
      </c>
      <c r="E587" s="72">
        <v>304159.99195130356</v>
      </c>
      <c r="F587" s="72" t="s">
        <v>70</v>
      </c>
      <c r="G587" s="72" t="s">
        <v>71</v>
      </c>
      <c r="H587" s="72" t="s">
        <v>72</v>
      </c>
    </row>
    <row r="588" spans="1:8" x14ac:dyDescent="0.25">
      <c r="A588" s="72" t="s">
        <v>1325</v>
      </c>
      <c r="B588" s="72" t="s">
        <v>85</v>
      </c>
      <c r="C588" s="73">
        <v>141</v>
      </c>
      <c r="D588" s="73">
        <v>3630059.7593813129</v>
      </c>
      <c r="E588" s="72">
        <v>254104.18315669187</v>
      </c>
      <c r="F588" s="72" t="s">
        <v>70</v>
      </c>
      <c r="G588" s="72" t="s">
        <v>71</v>
      </c>
      <c r="H588" s="72" t="s">
        <v>72</v>
      </c>
    </row>
    <row r="589" spans="1:8" x14ac:dyDescent="0.25">
      <c r="A589" s="72" t="s">
        <v>1188</v>
      </c>
      <c r="B589" s="72" t="s">
        <v>77</v>
      </c>
      <c r="C589" s="73">
        <v>140</v>
      </c>
      <c r="D589" s="73">
        <v>3862469.6257586516</v>
      </c>
      <c r="E589" s="72">
        <v>270372.87380310561</v>
      </c>
      <c r="F589" s="72" t="s">
        <v>87</v>
      </c>
      <c r="G589" s="72" t="s">
        <v>71</v>
      </c>
      <c r="H589" s="72" t="s">
        <v>88</v>
      </c>
    </row>
    <row r="590" spans="1:8" x14ac:dyDescent="0.25">
      <c r="A590" s="43" t="s">
        <v>1189</v>
      </c>
      <c r="B590" s="43" t="s">
        <v>83</v>
      </c>
      <c r="C590" s="46">
        <v>140</v>
      </c>
      <c r="D590" s="46">
        <v>3862469.6257586516</v>
      </c>
      <c r="E590" s="43">
        <v>270372.87380310561</v>
      </c>
      <c r="F590" s="43" t="s">
        <v>87</v>
      </c>
      <c r="G590" s="43" t="s">
        <v>71</v>
      </c>
      <c r="H590" s="43" t="s">
        <v>88</v>
      </c>
    </row>
    <row r="591" spans="1:8" x14ac:dyDescent="0.25">
      <c r="A591" s="72" t="s">
        <v>2408</v>
      </c>
      <c r="B591" s="72" t="s">
        <v>393</v>
      </c>
      <c r="C591" s="73">
        <v>140</v>
      </c>
      <c r="D591" s="73">
        <v>3108554.2547719618</v>
      </c>
      <c r="E591" s="72">
        <v>155427.71273859809</v>
      </c>
      <c r="F591" s="72" t="s">
        <v>70</v>
      </c>
      <c r="G591" s="72" t="s">
        <v>71</v>
      </c>
      <c r="H591" s="72" t="s">
        <v>72</v>
      </c>
    </row>
    <row r="592" spans="1:8" x14ac:dyDescent="0.25">
      <c r="A592" s="72" t="s">
        <v>2122</v>
      </c>
      <c r="B592" s="72" t="s">
        <v>105</v>
      </c>
      <c r="C592" s="73">
        <v>140</v>
      </c>
      <c r="D592" s="73">
        <v>3542763.2087411149</v>
      </c>
      <c r="E592" s="72">
        <v>177138.16043705575</v>
      </c>
      <c r="F592" s="72" t="s">
        <v>87</v>
      </c>
      <c r="G592" s="72" t="s">
        <v>71</v>
      </c>
      <c r="H592" s="72" t="s">
        <v>88</v>
      </c>
    </row>
    <row r="593" spans="1:8" x14ac:dyDescent="0.25">
      <c r="A593" s="43" t="s">
        <v>662</v>
      </c>
      <c r="B593" s="43" t="s">
        <v>323</v>
      </c>
      <c r="C593" s="46">
        <v>140</v>
      </c>
      <c r="D593" s="46">
        <v>3923708.3496992416</v>
      </c>
      <c r="E593" s="43">
        <v>353133.7514729317</v>
      </c>
      <c r="F593" s="43" t="s">
        <v>70</v>
      </c>
      <c r="G593" s="43" t="s">
        <v>71</v>
      </c>
      <c r="H593" s="43" t="s">
        <v>72</v>
      </c>
    </row>
    <row r="594" spans="1:8" x14ac:dyDescent="0.25">
      <c r="A594" s="43" t="s">
        <v>1829</v>
      </c>
      <c r="B594" s="43" t="s">
        <v>75</v>
      </c>
      <c r="C594" s="46">
        <v>140</v>
      </c>
      <c r="D594" s="46">
        <v>3396770.9831782919</v>
      </c>
      <c r="E594" s="43">
        <v>203806.25899069756</v>
      </c>
      <c r="F594" s="43" t="s">
        <v>70</v>
      </c>
      <c r="G594" s="43" t="s">
        <v>71</v>
      </c>
      <c r="H594" s="43" t="s">
        <v>72</v>
      </c>
    </row>
    <row r="595" spans="1:8" x14ac:dyDescent="0.25">
      <c r="A595" s="72" t="s">
        <v>1190</v>
      </c>
      <c r="B595" s="72" t="s">
        <v>105</v>
      </c>
      <c r="C595" s="73">
        <v>140</v>
      </c>
      <c r="D595" s="73">
        <v>3862469.6257586516</v>
      </c>
      <c r="E595" s="72">
        <v>270372.87380310561</v>
      </c>
      <c r="F595" s="72" t="s">
        <v>87</v>
      </c>
      <c r="G595" s="72" t="s">
        <v>71</v>
      </c>
      <c r="H595" s="72" t="s">
        <v>88</v>
      </c>
    </row>
    <row r="596" spans="1:8" x14ac:dyDescent="0.25">
      <c r="A596" s="72" t="s">
        <v>663</v>
      </c>
      <c r="B596" s="72" t="s">
        <v>77</v>
      </c>
      <c r="C596" s="73">
        <v>140</v>
      </c>
      <c r="D596" s="73">
        <v>3923708.3496992416</v>
      </c>
      <c r="E596" s="72">
        <v>353133.7514729317</v>
      </c>
      <c r="F596" s="72" t="s">
        <v>70</v>
      </c>
      <c r="G596" s="72" t="s">
        <v>71</v>
      </c>
      <c r="H596" s="72" t="s">
        <v>72</v>
      </c>
    </row>
    <row r="597" spans="1:8" x14ac:dyDescent="0.25">
      <c r="A597" s="72" t="s">
        <v>1616</v>
      </c>
      <c r="B597" s="72" t="s">
        <v>202</v>
      </c>
      <c r="C597" s="73">
        <v>140</v>
      </c>
      <c r="D597" s="73">
        <v>3721668.8750675698</v>
      </c>
      <c r="E597" s="72">
        <v>223300.13250405417</v>
      </c>
      <c r="F597" s="72" t="s">
        <v>87</v>
      </c>
      <c r="G597" s="72" t="s">
        <v>71</v>
      </c>
      <c r="H597" s="72" t="s">
        <v>88</v>
      </c>
    </row>
    <row r="598" spans="1:8" x14ac:dyDescent="0.25">
      <c r="A598" s="72" t="s">
        <v>1237</v>
      </c>
      <c r="B598" s="72" t="s">
        <v>127</v>
      </c>
      <c r="C598" s="73">
        <v>140</v>
      </c>
      <c r="D598" s="73">
        <v>3293017.3707882329</v>
      </c>
      <c r="E598" s="72">
        <v>263441.38966305862</v>
      </c>
      <c r="F598" s="72" t="s">
        <v>106</v>
      </c>
      <c r="G598" s="72" t="s">
        <v>71</v>
      </c>
      <c r="H598" s="72" t="s">
        <v>72</v>
      </c>
    </row>
    <row r="599" spans="1:8" x14ac:dyDescent="0.25">
      <c r="A599" s="43" t="s">
        <v>537</v>
      </c>
      <c r="B599" s="43" t="s">
        <v>127</v>
      </c>
      <c r="C599" s="46">
        <v>140</v>
      </c>
      <c r="D599" s="46">
        <v>3428981.9918108378</v>
      </c>
      <c r="E599" s="43">
        <v>377188.01909919223</v>
      </c>
      <c r="F599" s="43" t="s">
        <v>106</v>
      </c>
      <c r="G599" s="43" t="s">
        <v>71</v>
      </c>
      <c r="H599" s="43" t="s">
        <v>72</v>
      </c>
    </row>
    <row r="600" spans="1:8" x14ac:dyDescent="0.25">
      <c r="A600" s="72" t="s">
        <v>434</v>
      </c>
      <c r="B600" s="72" t="s">
        <v>75</v>
      </c>
      <c r="C600" s="73">
        <v>140</v>
      </c>
      <c r="D600" s="73">
        <v>3466154.7027889099</v>
      </c>
      <c r="E600" s="72">
        <v>415938.56433466915</v>
      </c>
      <c r="F600" s="72" t="s">
        <v>106</v>
      </c>
      <c r="G600" s="72" t="s">
        <v>71</v>
      </c>
      <c r="H600" s="72" t="s">
        <v>72</v>
      </c>
    </row>
    <row r="601" spans="1:8" x14ac:dyDescent="0.25">
      <c r="A601" s="72" t="s">
        <v>1596</v>
      </c>
      <c r="B601" s="72" t="s">
        <v>77</v>
      </c>
      <c r="C601" s="73">
        <v>139</v>
      </c>
      <c r="D601" s="73">
        <v>3214186.2011463693</v>
      </c>
      <c r="E601" s="72">
        <v>224993.03408024582</v>
      </c>
      <c r="F601" s="72" t="s">
        <v>106</v>
      </c>
      <c r="G601" s="72" t="s">
        <v>71</v>
      </c>
      <c r="H601" s="72" t="s">
        <v>72</v>
      </c>
    </row>
    <row r="602" spans="1:8" x14ac:dyDescent="0.25">
      <c r="A602" s="43" t="s">
        <v>346</v>
      </c>
      <c r="B602" s="43" t="s">
        <v>83</v>
      </c>
      <c r="C602" s="46">
        <v>139</v>
      </c>
      <c r="D602" s="46">
        <v>4469118.5285075158</v>
      </c>
      <c r="E602" s="43">
        <v>580985.40870597702</v>
      </c>
      <c r="F602" s="43" t="s">
        <v>84</v>
      </c>
      <c r="G602" s="43" t="s">
        <v>71</v>
      </c>
      <c r="H602" s="43" t="s">
        <v>72</v>
      </c>
    </row>
    <row r="603" spans="1:8" x14ac:dyDescent="0.25">
      <c r="A603" s="43" t="s">
        <v>315</v>
      </c>
      <c r="B603" s="43" t="s">
        <v>73</v>
      </c>
      <c r="C603" s="46">
        <v>139</v>
      </c>
      <c r="D603" s="46">
        <v>4597483.554574661</v>
      </c>
      <c r="E603" s="43">
        <v>643647.69764045242</v>
      </c>
      <c r="F603" s="43" t="s">
        <v>84</v>
      </c>
      <c r="G603" s="43" t="s">
        <v>71</v>
      </c>
      <c r="H603" s="43" t="s">
        <v>72</v>
      </c>
    </row>
    <row r="604" spans="1:8" x14ac:dyDescent="0.25">
      <c r="A604" s="72" t="s">
        <v>2426</v>
      </c>
      <c r="B604" s="72" t="s">
        <v>108</v>
      </c>
      <c r="C604" s="73">
        <v>139</v>
      </c>
      <c r="D604" s="73">
        <v>3088377.4746059403</v>
      </c>
      <c r="E604" s="72">
        <v>154418.87373029703</v>
      </c>
      <c r="F604" s="72" t="s">
        <v>70</v>
      </c>
      <c r="G604" s="72" t="s">
        <v>71</v>
      </c>
      <c r="H604" s="72" t="s">
        <v>72</v>
      </c>
    </row>
    <row r="605" spans="1:8" x14ac:dyDescent="0.25">
      <c r="A605" s="43" t="s">
        <v>1354</v>
      </c>
      <c r="B605" s="43" t="s">
        <v>73</v>
      </c>
      <c r="C605" s="46">
        <v>139</v>
      </c>
      <c r="D605" s="46">
        <v>3582622.0335174538</v>
      </c>
      <c r="E605" s="43">
        <v>250783.54234622174</v>
      </c>
      <c r="F605" s="43" t="s">
        <v>70</v>
      </c>
      <c r="G605" s="43" t="s">
        <v>71</v>
      </c>
      <c r="H605" s="43" t="s">
        <v>72</v>
      </c>
    </row>
    <row r="606" spans="1:8" x14ac:dyDescent="0.25">
      <c r="A606" s="72" t="s">
        <v>2144</v>
      </c>
      <c r="B606" s="72" t="s">
        <v>93</v>
      </c>
      <c r="C606" s="73">
        <v>139</v>
      </c>
      <c r="D606" s="73">
        <v>3519153.8378104055</v>
      </c>
      <c r="E606" s="72">
        <v>175957.69189052028</v>
      </c>
      <c r="F606" s="72" t="s">
        <v>87</v>
      </c>
      <c r="G606" s="72" t="s">
        <v>71</v>
      </c>
      <c r="H606" s="72" t="s">
        <v>88</v>
      </c>
    </row>
    <row r="607" spans="1:8" x14ac:dyDescent="0.25">
      <c r="A607" s="43" t="s">
        <v>2427</v>
      </c>
      <c r="B607" s="43" t="s">
        <v>211</v>
      </c>
      <c r="C607" s="46">
        <v>139</v>
      </c>
      <c r="D607" s="46">
        <v>3088377.4746059403</v>
      </c>
      <c r="E607" s="43">
        <v>154418.87373029703</v>
      </c>
      <c r="F607" s="43" t="s">
        <v>70</v>
      </c>
      <c r="G607" s="43" t="s">
        <v>71</v>
      </c>
      <c r="H607" s="43" t="s">
        <v>72</v>
      </c>
    </row>
    <row r="608" spans="1:8" x14ac:dyDescent="0.25">
      <c r="A608" s="43" t="s">
        <v>2435</v>
      </c>
      <c r="B608" s="43" t="s">
        <v>73</v>
      </c>
      <c r="C608" s="46">
        <v>138</v>
      </c>
      <c r="D608" s="46">
        <v>3068173.3887428334</v>
      </c>
      <c r="E608" s="43">
        <v>153408.66943714168</v>
      </c>
      <c r="F608" s="43" t="s">
        <v>70</v>
      </c>
      <c r="G608" s="43" t="s">
        <v>71</v>
      </c>
      <c r="H608" s="43" t="s">
        <v>72</v>
      </c>
    </row>
    <row r="609" spans="1:8" x14ac:dyDescent="0.25">
      <c r="A609" s="43" t="s">
        <v>1375</v>
      </c>
      <c r="B609" s="43" t="s">
        <v>79</v>
      </c>
      <c r="C609" s="46">
        <v>138</v>
      </c>
      <c r="D609" s="46">
        <v>3558862.2314031851</v>
      </c>
      <c r="E609" s="43">
        <v>249120.35619822293</v>
      </c>
      <c r="F609" s="43" t="s">
        <v>70</v>
      </c>
      <c r="G609" s="43" t="s">
        <v>71</v>
      </c>
      <c r="H609" s="43" t="s">
        <v>72</v>
      </c>
    </row>
    <row r="610" spans="1:8" x14ac:dyDescent="0.25">
      <c r="A610" s="43" t="s">
        <v>1492</v>
      </c>
      <c r="B610" s="43" t="s">
        <v>232</v>
      </c>
      <c r="C610" s="46">
        <v>138</v>
      </c>
      <c r="D610" s="46">
        <v>3389078.349577527</v>
      </c>
      <c r="E610" s="43">
        <v>237235.48447042686</v>
      </c>
      <c r="F610" s="43" t="s">
        <v>84</v>
      </c>
      <c r="G610" s="43" t="s">
        <v>71</v>
      </c>
      <c r="H610" s="43" t="s">
        <v>72</v>
      </c>
    </row>
    <row r="611" spans="1:8" x14ac:dyDescent="0.25">
      <c r="A611" s="72" t="s">
        <v>457</v>
      </c>
      <c r="B611" s="72" t="s">
        <v>92</v>
      </c>
      <c r="C611" s="73">
        <v>138</v>
      </c>
      <c r="D611" s="73">
        <v>3999538.4204286658</v>
      </c>
      <c r="E611" s="72">
        <v>399953.84204286663</v>
      </c>
      <c r="F611" s="72" t="s">
        <v>84</v>
      </c>
      <c r="G611" s="72" t="s">
        <v>71</v>
      </c>
      <c r="H611" s="72" t="s">
        <v>72</v>
      </c>
    </row>
    <row r="612" spans="1:8" x14ac:dyDescent="0.25">
      <c r="A612" s="72" t="s">
        <v>1376</v>
      </c>
      <c r="B612" s="72" t="s">
        <v>77</v>
      </c>
      <c r="C612" s="73">
        <v>138</v>
      </c>
      <c r="D612" s="73">
        <v>3558862.2314031851</v>
      </c>
      <c r="E612" s="72">
        <v>249120.35619822293</v>
      </c>
      <c r="F612" s="72" t="s">
        <v>70</v>
      </c>
      <c r="G612" s="72" t="s">
        <v>71</v>
      </c>
      <c r="H612" s="72" t="s">
        <v>72</v>
      </c>
    </row>
    <row r="613" spans="1:8" x14ac:dyDescent="0.25">
      <c r="A613" s="72" t="s">
        <v>394</v>
      </c>
      <c r="B613" s="72" t="s">
        <v>100</v>
      </c>
      <c r="C613" s="73">
        <v>138</v>
      </c>
      <c r="D613" s="73">
        <v>4183997.1625341834</v>
      </c>
      <c r="E613" s="72">
        <v>460239.68787876022</v>
      </c>
      <c r="F613" s="72" t="s">
        <v>78</v>
      </c>
      <c r="G613" s="72" t="s">
        <v>71</v>
      </c>
      <c r="H613" s="72" t="s">
        <v>72</v>
      </c>
    </row>
    <row r="614" spans="1:8" x14ac:dyDescent="0.25">
      <c r="A614" s="43" t="s">
        <v>1269</v>
      </c>
      <c r="B614" s="43" t="s">
        <v>257</v>
      </c>
      <c r="C614" s="46">
        <v>138</v>
      </c>
      <c r="D614" s="46">
        <v>3249776.8305454487</v>
      </c>
      <c r="E614" s="43">
        <v>259982.14644363589</v>
      </c>
      <c r="F614" s="43" t="s">
        <v>106</v>
      </c>
      <c r="G614" s="43" t="s">
        <v>71</v>
      </c>
      <c r="H614" s="43" t="s">
        <v>72</v>
      </c>
    </row>
    <row r="615" spans="1:8" x14ac:dyDescent="0.25">
      <c r="A615" s="43" t="s">
        <v>1873</v>
      </c>
      <c r="B615" s="43" t="s">
        <v>211</v>
      </c>
      <c r="C615" s="46">
        <v>138</v>
      </c>
      <c r="D615" s="46">
        <v>3352272.7353147874</v>
      </c>
      <c r="E615" s="43">
        <v>201136.36411888729</v>
      </c>
      <c r="F615" s="43" t="s">
        <v>70</v>
      </c>
      <c r="G615" s="43" t="s">
        <v>71</v>
      </c>
      <c r="H615" s="43" t="s">
        <v>72</v>
      </c>
    </row>
    <row r="616" spans="1:8" x14ac:dyDescent="0.25">
      <c r="A616" s="43" t="s">
        <v>444</v>
      </c>
      <c r="B616" s="43" t="s">
        <v>105</v>
      </c>
      <c r="C616" s="46">
        <v>138</v>
      </c>
      <c r="D616" s="46">
        <v>3420440.7720889733</v>
      </c>
      <c r="E616" s="43">
        <v>410452.89265067677</v>
      </c>
      <c r="F616" s="43" t="s">
        <v>106</v>
      </c>
      <c r="G616" s="43" t="s">
        <v>71</v>
      </c>
      <c r="H616" s="43" t="s">
        <v>72</v>
      </c>
    </row>
    <row r="617" spans="1:8" x14ac:dyDescent="0.25">
      <c r="A617" s="72" t="s">
        <v>445</v>
      </c>
      <c r="B617" s="72" t="s">
        <v>168</v>
      </c>
      <c r="C617" s="73">
        <v>138</v>
      </c>
      <c r="D617" s="73">
        <v>3420440.7720889733</v>
      </c>
      <c r="E617" s="72">
        <v>410452.89265067677</v>
      </c>
      <c r="F617" s="72" t="s">
        <v>106</v>
      </c>
      <c r="G617" s="72" t="s">
        <v>71</v>
      </c>
      <c r="H617" s="72" t="s">
        <v>72</v>
      </c>
    </row>
    <row r="618" spans="1:8" x14ac:dyDescent="0.25">
      <c r="A618" s="43" t="s">
        <v>1377</v>
      </c>
      <c r="B618" s="43" t="s">
        <v>323</v>
      </c>
      <c r="C618" s="46">
        <v>138</v>
      </c>
      <c r="D618" s="46">
        <v>3558862.2314031851</v>
      </c>
      <c r="E618" s="43">
        <v>249120.35619822293</v>
      </c>
      <c r="F618" s="43" t="s">
        <v>70</v>
      </c>
      <c r="G618" s="43" t="s">
        <v>71</v>
      </c>
      <c r="H618" s="43" t="s">
        <v>72</v>
      </c>
    </row>
    <row r="619" spans="1:8" x14ac:dyDescent="0.25">
      <c r="A619" s="72" t="s">
        <v>443</v>
      </c>
      <c r="B619" s="72" t="s">
        <v>133</v>
      </c>
      <c r="C619" s="73">
        <v>138</v>
      </c>
      <c r="D619" s="73">
        <v>4117495.5312356721</v>
      </c>
      <c r="E619" s="72">
        <v>411749.55312356725</v>
      </c>
      <c r="F619" s="72" t="s">
        <v>87</v>
      </c>
      <c r="G619" s="72" t="s">
        <v>71</v>
      </c>
      <c r="H619" s="72" t="s">
        <v>88</v>
      </c>
    </row>
    <row r="620" spans="1:8" x14ac:dyDescent="0.25">
      <c r="A620" s="43" t="s">
        <v>316</v>
      </c>
      <c r="B620" s="43" t="s">
        <v>115</v>
      </c>
      <c r="C620" s="46">
        <v>138</v>
      </c>
      <c r="D620" s="46">
        <v>4566974.6816417193</v>
      </c>
      <c r="E620" s="43">
        <v>639376.4554298406</v>
      </c>
      <c r="F620" s="43" t="s">
        <v>84</v>
      </c>
      <c r="G620" s="43" t="s">
        <v>71</v>
      </c>
      <c r="H620" s="43" t="s">
        <v>72</v>
      </c>
    </row>
    <row r="621" spans="1:8" x14ac:dyDescent="0.25">
      <c r="A621" s="72" t="s">
        <v>889</v>
      </c>
      <c r="B621" s="72" t="s">
        <v>73</v>
      </c>
      <c r="C621" s="73">
        <v>137</v>
      </c>
      <c r="D621" s="73">
        <v>3900091.3578321668</v>
      </c>
      <c r="E621" s="72">
        <v>312007.30862657336</v>
      </c>
      <c r="F621" s="72" t="s">
        <v>87</v>
      </c>
      <c r="G621" s="72" t="s">
        <v>71</v>
      </c>
      <c r="H621" s="72" t="s">
        <v>88</v>
      </c>
    </row>
    <row r="622" spans="1:8" x14ac:dyDescent="0.25">
      <c r="A622" s="43" t="s">
        <v>1879</v>
      </c>
      <c r="B622" s="43" t="s">
        <v>97</v>
      </c>
      <c r="C622" s="46">
        <v>137</v>
      </c>
      <c r="D622" s="46">
        <v>3329982.6140625076</v>
      </c>
      <c r="E622" s="43">
        <v>199798.95684375049</v>
      </c>
      <c r="F622" s="43" t="s">
        <v>70</v>
      </c>
      <c r="G622" s="43" t="s">
        <v>71</v>
      </c>
      <c r="H622" s="43" t="s">
        <v>72</v>
      </c>
    </row>
    <row r="623" spans="1:8" x14ac:dyDescent="0.25">
      <c r="A623" s="43" t="s">
        <v>447</v>
      </c>
      <c r="B623" s="43" t="s">
        <v>73</v>
      </c>
      <c r="C623" s="46">
        <v>137</v>
      </c>
      <c r="D623" s="46">
        <v>4089332.929296955</v>
      </c>
      <c r="E623" s="43">
        <v>408933.29292969551</v>
      </c>
      <c r="F623" s="43" t="s">
        <v>87</v>
      </c>
      <c r="G623" s="43" t="s">
        <v>71</v>
      </c>
      <c r="H623" s="43" t="s">
        <v>88</v>
      </c>
    </row>
    <row r="624" spans="1:8" x14ac:dyDescent="0.25">
      <c r="A624" s="72" t="s">
        <v>1388</v>
      </c>
      <c r="B624" s="72" t="s">
        <v>73</v>
      </c>
      <c r="C624" s="73">
        <v>137</v>
      </c>
      <c r="D624" s="73">
        <v>3535075.0848169317</v>
      </c>
      <c r="E624" s="72">
        <v>247455.2559371852</v>
      </c>
      <c r="F624" s="72" t="s">
        <v>70</v>
      </c>
      <c r="G624" s="72" t="s">
        <v>71</v>
      </c>
      <c r="H624" s="72" t="s">
        <v>72</v>
      </c>
    </row>
    <row r="625" spans="1:8" x14ac:dyDescent="0.25">
      <c r="A625" s="43" t="s">
        <v>369</v>
      </c>
      <c r="B625" s="43" t="s">
        <v>77</v>
      </c>
      <c r="C625" s="46">
        <v>137</v>
      </c>
      <c r="D625" s="46">
        <v>3535075.0848169317</v>
      </c>
      <c r="E625" s="43">
        <v>247455.2559371852</v>
      </c>
      <c r="F625" s="43" t="s">
        <v>70</v>
      </c>
      <c r="G625" s="43" t="s">
        <v>71</v>
      </c>
      <c r="H625" s="43" t="s">
        <v>72</v>
      </c>
    </row>
    <row r="626" spans="1:8" x14ac:dyDescent="0.25">
      <c r="A626" s="72" t="s">
        <v>693</v>
      </c>
      <c r="B626" s="72" t="s">
        <v>73</v>
      </c>
      <c r="C626" s="73">
        <v>137</v>
      </c>
      <c r="D626" s="73">
        <v>3845628.4655865799</v>
      </c>
      <c r="E626" s="72">
        <v>346106.56190279219</v>
      </c>
      <c r="F626" s="72" t="s">
        <v>70</v>
      </c>
      <c r="G626" s="72" t="s">
        <v>71</v>
      </c>
      <c r="H626" s="72" t="s">
        <v>72</v>
      </c>
    </row>
    <row r="627" spans="1:8" x14ac:dyDescent="0.25">
      <c r="A627" s="43" t="s">
        <v>2058</v>
      </c>
      <c r="B627" s="43" t="s">
        <v>139</v>
      </c>
      <c r="C627" s="46">
        <v>137</v>
      </c>
      <c r="D627" s="46">
        <v>3061628.9746916848</v>
      </c>
      <c r="E627" s="43">
        <v>183697.73848150109</v>
      </c>
      <c r="F627" s="43" t="s">
        <v>84</v>
      </c>
      <c r="G627" s="43" t="s">
        <v>71</v>
      </c>
      <c r="H627" s="43" t="s">
        <v>72</v>
      </c>
    </row>
    <row r="628" spans="1:8" x14ac:dyDescent="0.25">
      <c r="A628" s="43" t="s">
        <v>2448</v>
      </c>
      <c r="B628" s="43" t="s">
        <v>323</v>
      </c>
      <c r="C628" s="46">
        <v>137</v>
      </c>
      <c r="D628" s="46">
        <v>3047941.958407742</v>
      </c>
      <c r="E628" s="43">
        <v>152397.09792038711</v>
      </c>
      <c r="F628" s="43" t="s">
        <v>70</v>
      </c>
      <c r="G628" s="43" t="s">
        <v>71</v>
      </c>
      <c r="H628" s="43" t="s">
        <v>72</v>
      </c>
    </row>
    <row r="629" spans="1:8" x14ac:dyDescent="0.25">
      <c r="A629" s="43" t="s">
        <v>1228</v>
      </c>
      <c r="B629" s="43" t="s">
        <v>105</v>
      </c>
      <c r="C629" s="46">
        <v>137</v>
      </c>
      <c r="D629" s="46">
        <v>3784721.4170556096</v>
      </c>
      <c r="E629" s="43">
        <v>264930.49919389264</v>
      </c>
      <c r="F629" s="43" t="s">
        <v>87</v>
      </c>
      <c r="G629" s="43" t="s">
        <v>71</v>
      </c>
      <c r="H629" s="43" t="s">
        <v>88</v>
      </c>
    </row>
    <row r="630" spans="1:8" x14ac:dyDescent="0.25">
      <c r="A630" s="72" t="s">
        <v>2168</v>
      </c>
      <c r="B630" s="72" t="s">
        <v>133</v>
      </c>
      <c r="C630" s="73">
        <v>137</v>
      </c>
      <c r="D630" s="73">
        <v>3471865.8518313062</v>
      </c>
      <c r="E630" s="72">
        <v>173593.29259156532</v>
      </c>
      <c r="F630" s="72" t="s">
        <v>87</v>
      </c>
      <c r="G630" s="72" t="s">
        <v>71</v>
      </c>
      <c r="H630" s="72" t="s">
        <v>88</v>
      </c>
    </row>
    <row r="631" spans="1:8" x14ac:dyDescent="0.25">
      <c r="A631" s="43" t="s">
        <v>890</v>
      </c>
      <c r="B631" s="43" t="s">
        <v>73</v>
      </c>
      <c r="C631" s="46">
        <v>137</v>
      </c>
      <c r="D631" s="46">
        <v>3900091.3578321668</v>
      </c>
      <c r="E631" s="43">
        <v>312007.30862657336</v>
      </c>
      <c r="F631" s="43" t="s">
        <v>87</v>
      </c>
      <c r="G631" s="43" t="s">
        <v>71</v>
      </c>
      <c r="H631" s="43" t="s">
        <v>88</v>
      </c>
    </row>
    <row r="632" spans="1:8" x14ac:dyDescent="0.25">
      <c r="A632" s="72" t="s">
        <v>573</v>
      </c>
      <c r="B632" s="72" t="s">
        <v>127</v>
      </c>
      <c r="C632" s="73">
        <v>137</v>
      </c>
      <c r="D632" s="73">
        <v>3361169.5643780972</v>
      </c>
      <c r="E632" s="72">
        <v>369728.65208159073</v>
      </c>
      <c r="F632" s="72" t="s">
        <v>106</v>
      </c>
      <c r="G632" s="72" t="s">
        <v>71</v>
      </c>
      <c r="H632" s="72" t="s">
        <v>72</v>
      </c>
    </row>
    <row r="633" spans="1:8" x14ac:dyDescent="0.25">
      <c r="A633" s="72" t="s">
        <v>397</v>
      </c>
      <c r="B633" s="72" t="s">
        <v>93</v>
      </c>
      <c r="C633" s="73">
        <v>137</v>
      </c>
      <c r="D633" s="73">
        <v>4155943.5262425505</v>
      </c>
      <c r="E633" s="72">
        <v>457153.78788668063</v>
      </c>
      <c r="F633" s="72" t="s">
        <v>78</v>
      </c>
      <c r="G633" s="72" t="s">
        <v>71</v>
      </c>
      <c r="H633" s="72" t="s">
        <v>72</v>
      </c>
    </row>
    <row r="634" spans="1:8" x14ac:dyDescent="0.25">
      <c r="A634" s="72" t="s">
        <v>2449</v>
      </c>
      <c r="B634" s="72" t="s">
        <v>102</v>
      </c>
      <c r="C634" s="73">
        <v>137</v>
      </c>
      <c r="D634" s="73">
        <v>3047941.958407742</v>
      </c>
      <c r="E634" s="72">
        <v>152397.09792038711</v>
      </c>
      <c r="F634" s="72" t="s">
        <v>70</v>
      </c>
      <c r="G634" s="72" t="s">
        <v>71</v>
      </c>
      <c r="H634" s="72" t="s">
        <v>72</v>
      </c>
    </row>
    <row r="635" spans="1:8" x14ac:dyDescent="0.25">
      <c r="A635" s="43" t="s">
        <v>1892</v>
      </c>
      <c r="B635" s="43" t="s">
        <v>79</v>
      </c>
      <c r="C635" s="46">
        <v>136</v>
      </c>
      <c r="D635" s="46">
        <v>3307665.1095149643</v>
      </c>
      <c r="E635" s="43">
        <v>198459.9065708979</v>
      </c>
      <c r="F635" s="43" t="s">
        <v>70</v>
      </c>
      <c r="G635" s="43" t="s">
        <v>71</v>
      </c>
      <c r="H635" s="43" t="s">
        <v>72</v>
      </c>
    </row>
    <row r="636" spans="1:8" x14ac:dyDescent="0.25">
      <c r="A636" s="43" t="s">
        <v>1399</v>
      </c>
      <c r="B636" s="43" t="s">
        <v>223</v>
      </c>
      <c r="C636" s="46">
        <v>136</v>
      </c>
      <c r="D636" s="46">
        <v>3511260.5549354143</v>
      </c>
      <c r="E636" s="43">
        <v>245788.23884547898</v>
      </c>
      <c r="F636" s="43" t="s">
        <v>70</v>
      </c>
      <c r="G636" s="43" t="s">
        <v>71</v>
      </c>
      <c r="H636" s="43" t="s">
        <v>72</v>
      </c>
    </row>
    <row r="637" spans="1:8" x14ac:dyDescent="0.25">
      <c r="A637" s="72" t="s">
        <v>701</v>
      </c>
      <c r="B637" s="72" t="s">
        <v>243</v>
      </c>
      <c r="C637" s="73">
        <v>136</v>
      </c>
      <c r="D637" s="73">
        <v>3819547.1227067439</v>
      </c>
      <c r="E637" s="72">
        <v>343759.24104360695</v>
      </c>
      <c r="F637" s="72" t="s">
        <v>70</v>
      </c>
      <c r="G637" s="72" t="s">
        <v>71</v>
      </c>
      <c r="H637" s="72" t="s">
        <v>72</v>
      </c>
    </row>
    <row r="638" spans="1:8" x14ac:dyDescent="0.25">
      <c r="A638" s="43" t="s">
        <v>1690</v>
      </c>
      <c r="B638" s="43" t="s">
        <v>98</v>
      </c>
      <c r="C638" s="46">
        <v>136</v>
      </c>
      <c r="D638" s="46">
        <v>3621981.2567934841</v>
      </c>
      <c r="E638" s="43">
        <v>217318.87540760904</v>
      </c>
      <c r="F638" s="43" t="s">
        <v>87</v>
      </c>
      <c r="G638" s="43" t="s">
        <v>71</v>
      </c>
      <c r="H638" s="43" t="s">
        <v>88</v>
      </c>
    </row>
    <row r="639" spans="1:8" x14ac:dyDescent="0.25">
      <c r="A639" s="43" t="s">
        <v>791</v>
      </c>
      <c r="B639" s="43" t="s">
        <v>75</v>
      </c>
      <c r="C639" s="46">
        <v>135</v>
      </c>
      <c r="D639" s="46">
        <v>3276646.7460555979</v>
      </c>
      <c r="E639" s="43">
        <v>327664.67460555979</v>
      </c>
      <c r="F639" s="43" t="s">
        <v>106</v>
      </c>
      <c r="G639" s="43" t="s">
        <v>71</v>
      </c>
      <c r="H639" s="43" t="s">
        <v>72</v>
      </c>
    </row>
    <row r="640" spans="1:8" x14ac:dyDescent="0.25">
      <c r="A640" s="72" t="s">
        <v>993</v>
      </c>
      <c r="B640" s="72" t="s">
        <v>176</v>
      </c>
      <c r="C640" s="73">
        <v>135</v>
      </c>
      <c r="D640" s="73">
        <v>3709931.6393385148</v>
      </c>
      <c r="E640" s="72">
        <v>296794.53114708117</v>
      </c>
      <c r="F640" s="72" t="s">
        <v>78</v>
      </c>
      <c r="G640" s="72" t="s">
        <v>71</v>
      </c>
      <c r="H640" s="72" t="s">
        <v>72</v>
      </c>
    </row>
    <row r="641" spans="1:8" x14ac:dyDescent="0.25">
      <c r="A641" s="43" t="s">
        <v>1042</v>
      </c>
      <c r="B641" s="43" t="s">
        <v>291</v>
      </c>
      <c r="C641" s="46">
        <v>135</v>
      </c>
      <c r="D641" s="46">
        <v>3233322.1141441474</v>
      </c>
      <c r="E641" s="43">
        <v>290998.99027297326</v>
      </c>
      <c r="F641" s="43" t="s">
        <v>106</v>
      </c>
      <c r="G641" s="43" t="s">
        <v>71</v>
      </c>
      <c r="H641" s="43" t="s">
        <v>72</v>
      </c>
    </row>
    <row r="642" spans="1:8" x14ac:dyDescent="0.25">
      <c r="A642" s="72" t="s">
        <v>468</v>
      </c>
      <c r="B642" s="72" t="s">
        <v>160</v>
      </c>
      <c r="C642" s="73">
        <v>135</v>
      </c>
      <c r="D642" s="73">
        <v>3920140.757428003</v>
      </c>
      <c r="E642" s="72">
        <v>392014.07574280031</v>
      </c>
      <c r="F642" s="72" t="s">
        <v>84</v>
      </c>
      <c r="G642" s="72" t="s">
        <v>71</v>
      </c>
      <c r="H642" s="72" t="s">
        <v>72</v>
      </c>
    </row>
    <row r="643" spans="1:8" x14ac:dyDescent="0.25">
      <c r="A643" s="72" t="s">
        <v>1315</v>
      </c>
      <c r="B643" s="72" t="s">
        <v>83</v>
      </c>
      <c r="C643" s="73">
        <v>135</v>
      </c>
      <c r="D643" s="73">
        <v>3184725.3483096017</v>
      </c>
      <c r="E643" s="72">
        <v>254778.02786476814</v>
      </c>
      <c r="F643" s="72" t="s">
        <v>106</v>
      </c>
      <c r="G643" s="72" t="s">
        <v>71</v>
      </c>
      <c r="H643" s="72" t="s">
        <v>72</v>
      </c>
    </row>
    <row r="644" spans="1:8" x14ac:dyDescent="0.25">
      <c r="A644" s="72" t="s">
        <v>322</v>
      </c>
      <c r="B644" s="72" t="s">
        <v>83</v>
      </c>
      <c r="C644" s="73">
        <v>135</v>
      </c>
      <c r="D644" s="73">
        <v>4475241.4477451202</v>
      </c>
      <c r="E644" s="72">
        <v>626533.80268431676</v>
      </c>
      <c r="F644" s="72" t="s">
        <v>84</v>
      </c>
      <c r="G644" s="72" t="s">
        <v>71</v>
      </c>
      <c r="H644" s="72" t="s">
        <v>72</v>
      </c>
    </row>
    <row r="645" spans="1:8" x14ac:dyDescent="0.25">
      <c r="A645" s="72" t="s">
        <v>1429</v>
      </c>
      <c r="B645" s="72" t="s">
        <v>73</v>
      </c>
      <c r="C645" s="73">
        <v>134</v>
      </c>
      <c r="D645" s="73">
        <v>3463549.1897512358</v>
      </c>
      <c r="E645" s="72">
        <v>242448.44328258649</v>
      </c>
      <c r="F645" s="72" t="s">
        <v>70</v>
      </c>
      <c r="G645" s="72" t="s">
        <v>71</v>
      </c>
      <c r="H645" s="72" t="s">
        <v>72</v>
      </c>
    </row>
    <row r="646" spans="1:8" x14ac:dyDescent="0.25">
      <c r="A646" s="43" t="s">
        <v>401</v>
      </c>
      <c r="B646" s="43" t="s">
        <v>176</v>
      </c>
      <c r="C646" s="46">
        <v>134</v>
      </c>
      <c r="D646" s="46">
        <v>4071598.0214738017</v>
      </c>
      <c r="E646" s="43">
        <v>447875.78236211825</v>
      </c>
      <c r="F646" s="43" t="s">
        <v>78</v>
      </c>
      <c r="G646" s="43" t="s">
        <v>71</v>
      </c>
      <c r="H646" s="43" t="s">
        <v>72</v>
      </c>
    </row>
    <row r="647" spans="1:8" x14ac:dyDescent="0.25">
      <c r="A647" s="43" t="s">
        <v>353</v>
      </c>
      <c r="B647" s="43" t="s">
        <v>103</v>
      </c>
      <c r="C647" s="46">
        <v>134</v>
      </c>
      <c r="D647" s="46">
        <v>4275615.3782776417</v>
      </c>
      <c r="E647" s="43">
        <v>555829.99917609349</v>
      </c>
      <c r="F647" s="43" t="s">
        <v>78</v>
      </c>
      <c r="G647" s="43" t="s">
        <v>71</v>
      </c>
      <c r="H647" s="43" t="s">
        <v>72</v>
      </c>
    </row>
    <row r="648" spans="1:8" x14ac:dyDescent="0.25">
      <c r="A648" s="72" t="s">
        <v>2865</v>
      </c>
      <c r="B648" s="72" t="s">
        <v>73</v>
      </c>
      <c r="C648" s="73">
        <v>134</v>
      </c>
      <c r="D648" s="73">
        <v>3152207.2816940784</v>
      </c>
      <c r="E648" s="72">
        <v>126088.29126776314</v>
      </c>
      <c r="F648" s="72" t="s">
        <v>87</v>
      </c>
      <c r="G648" s="72" t="s">
        <v>71</v>
      </c>
      <c r="H648" s="72" t="s">
        <v>88</v>
      </c>
    </row>
    <row r="649" spans="1:8" x14ac:dyDescent="0.25">
      <c r="A649" s="43" t="s">
        <v>2491</v>
      </c>
      <c r="B649" s="43" t="s">
        <v>160</v>
      </c>
      <c r="C649" s="46">
        <v>134</v>
      </c>
      <c r="D649" s="46">
        <v>2987083.2120955326</v>
      </c>
      <c r="E649" s="43">
        <v>149354.16060477664</v>
      </c>
      <c r="F649" s="43" t="s">
        <v>70</v>
      </c>
      <c r="G649" s="43" t="s">
        <v>71</v>
      </c>
      <c r="H649" s="43" t="s">
        <v>72</v>
      </c>
    </row>
    <row r="650" spans="1:8" x14ac:dyDescent="0.25">
      <c r="A650" s="72" t="s">
        <v>2100</v>
      </c>
      <c r="B650" s="72" t="s">
        <v>323</v>
      </c>
      <c r="C650" s="73">
        <v>134</v>
      </c>
      <c r="D650" s="73">
        <v>3002029.5698379651</v>
      </c>
      <c r="E650" s="72">
        <v>180121.77419027791</v>
      </c>
      <c r="F650" s="72" t="s">
        <v>84</v>
      </c>
      <c r="G650" s="72" t="s">
        <v>71</v>
      </c>
      <c r="H650" s="72" t="s">
        <v>72</v>
      </c>
    </row>
    <row r="651" spans="1:8" x14ac:dyDescent="0.25">
      <c r="A651" s="72" t="s">
        <v>328</v>
      </c>
      <c r="B651" s="72" t="s">
        <v>303</v>
      </c>
      <c r="C651" s="73">
        <v>134</v>
      </c>
      <c r="D651" s="73">
        <v>4367439.6018282212</v>
      </c>
      <c r="E651" s="72">
        <v>611441.54425595095</v>
      </c>
      <c r="F651" s="72" t="s">
        <v>78</v>
      </c>
      <c r="G651" s="72" t="s">
        <v>71</v>
      </c>
      <c r="H651" s="72" t="s">
        <v>72</v>
      </c>
    </row>
    <row r="652" spans="1:8" x14ac:dyDescent="0.25">
      <c r="A652" s="72" t="s">
        <v>305</v>
      </c>
      <c r="B652" s="72" t="s">
        <v>115</v>
      </c>
      <c r="C652" s="73">
        <v>134</v>
      </c>
      <c r="D652" s="73">
        <v>4561580.4333554311</v>
      </c>
      <c r="E652" s="72">
        <v>684237.06500331464</v>
      </c>
      <c r="F652" s="72" t="s">
        <v>84</v>
      </c>
      <c r="G652" s="72" t="s">
        <v>71</v>
      </c>
      <c r="H652" s="72" t="s">
        <v>72</v>
      </c>
    </row>
    <row r="653" spans="1:8" x14ac:dyDescent="0.25">
      <c r="A653" s="43" t="s">
        <v>1914</v>
      </c>
      <c r="B653" s="43" t="s">
        <v>85</v>
      </c>
      <c r="C653" s="46">
        <v>134</v>
      </c>
      <c r="D653" s="46">
        <v>3262947.7949987333</v>
      </c>
      <c r="E653" s="43">
        <v>195776.86769992404</v>
      </c>
      <c r="F653" s="43" t="s">
        <v>70</v>
      </c>
      <c r="G653" s="43" t="s">
        <v>71</v>
      </c>
      <c r="H653" s="43" t="s">
        <v>72</v>
      </c>
    </row>
    <row r="654" spans="1:8" x14ac:dyDescent="0.25">
      <c r="A654" s="72" t="s">
        <v>1715</v>
      </c>
      <c r="B654" s="72" t="s">
        <v>93</v>
      </c>
      <c r="C654" s="73">
        <v>134</v>
      </c>
      <c r="D654" s="73">
        <v>3571998.6241015191</v>
      </c>
      <c r="E654" s="72">
        <v>214319.91744609113</v>
      </c>
      <c r="F654" s="72" t="s">
        <v>87</v>
      </c>
      <c r="G654" s="72" t="s">
        <v>71</v>
      </c>
      <c r="H654" s="72" t="s">
        <v>88</v>
      </c>
    </row>
    <row r="655" spans="1:8" x14ac:dyDescent="0.25">
      <c r="A655" s="43" t="s">
        <v>2880</v>
      </c>
      <c r="B655" s="43" t="s">
        <v>2881</v>
      </c>
      <c r="C655" s="46">
        <v>133</v>
      </c>
      <c r="D655" s="46">
        <v>3130313.9327005427</v>
      </c>
      <c r="E655" s="43">
        <v>125212.55730802171</v>
      </c>
      <c r="F655" s="43" t="s">
        <v>87</v>
      </c>
      <c r="G655" s="43" t="s">
        <v>71</v>
      </c>
      <c r="H655" s="43" t="s">
        <v>88</v>
      </c>
    </row>
    <row r="656" spans="1:8" x14ac:dyDescent="0.25">
      <c r="A656" s="72" t="s">
        <v>2504</v>
      </c>
      <c r="B656" s="72" t="s">
        <v>211</v>
      </c>
      <c r="C656" s="73">
        <v>133</v>
      </c>
      <c r="D656" s="73">
        <v>2966742.0151550695</v>
      </c>
      <c r="E656" s="72">
        <v>148337.10075775348</v>
      </c>
      <c r="F656" s="72" t="s">
        <v>70</v>
      </c>
      <c r="G656" s="72" t="s">
        <v>71</v>
      </c>
      <c r="H656" s="72" t="s">
        <v>72</v>
      </c>
    </row>
    <row r="657" spans="1:8" x14ac:dyDescent="0.25">
      <c r="A657" s="72" t="s">
        <v>1903</v>
      </c>
      <c r="B657" s="72" t="s">
        <v>404</v>
      </c>
      <c r="C657" s="73">
        <v>133</v>
      </c>
      <c r="D657" s="73">
        <v>3288720.820452949</v>
      </c>
      <c r="E657" s="72">
        <v>197323.24922717697</v>
      </c>
      <c r="F657" s="72" t="s">
        <v>78</v>
      </c>
      <c r="G657" s="72" t="s">
        <v>71</v>
      </c>
      <c r="H657" s="72" t="s">
        <v>72</v>
      </c>
    </row>
    <row r="658" spans="1:8" x14ac:dyDescent="0.25">
      <c r="A658" s="43" t="s">
        <v>490</v>
      </c>
      <c r="B658" s="43" t="s">
        <v>323</v>
      </c>
      <c r="C658" s="46">
        <v>133</v>
      </c>
      <c r="D658" s="46">
        <v>3864556.7381500532</v>
      </c>
      <c r="E658" s="43">
        <v>386455.67381500534</v>
      </c>
      <c r="F658" s="43" t="s">
        <v>70</v>
      </c>
      <c r="G658" s="43" t="s">
        <v>71</v>
      </c>
      <c r="H658" s="43" t="s">
        <v>72</v>
      </c>
    </row>
    <row r="659" spans="1:8" x14ac:dyDescent="0.25">
      <c r="A659" s="72" t="s">
        <v>941</v>
      </c>
      <c r="B659" s="72" t="s">
        <v>124</v>
      </c>
      <c r="C659" s="73">
        <v>133</v>
      </c>
      <c r="D659" s="73">
        <v>3792734.6924049389</v>
      </c>
      <c r="E659" s="72">
        <v>303418.77539239509</v>
      </c>
      <c r="F659" s="72" t="s">
        <v>87</v>
      </c>
      <c r="G659" s="72" t="s">
        <v>71</v>
      </c>
      <c r="H659" s="72" t="s">
        <v>88</v>
      </c>
    </row>
    <row r="660" spans="1:8" x14ac:dyDescent="0.25">
      <c r="A660" s="43" t="s">
        <v>1444</v>
      </c>
      <c r="B660" s="43" t="s">
        <v>323</v>
      </c>
      <c r="C660" s="46">
        <v>133</v>
      </c>
      <c r="D660" s="46">
        <v>3439652.2765596113</v>
      </c>
      <c r="E660" s="43">
        <v>240775.65935917277</v>
      </c>
      <c r="F660" s="43" t="s">
        <v>70</v>
      </c>
      <c r="G660" s="43" t="s">
        <v>71</v>
      </c>
      <c r="H660" s="43" t="s">
        <v>72</v>
      </c>
    </row>
    <row r="661" spans="1:8" x14ac:dyDescent="0.25">
      <c r="A661" s="72" t="s">
        <v>1935</v>
      </c>
      <c r="B661" s="72" t="s">
        <v>97</v>
      </c>
      <c r="C661" s="73">
        <v>133</v>
      </c>
      <c r="D661" s="73">
        <v>3240547.9071410829</v>
      </c>
      <c r="E661" s="72">
        <v>194432.874428465</v>
      </c>
      <c r="F661" s="72" t="s">
        <v>70</v>
      </c>
      <c r="G661" s="72" t="s">
        <v>71</v>
      </c>
      <c r="H661" s="72" t="s">
        <v>72</v>
      </c>
    </row>
    <row r="662" spans="1:8" x14ac:dyDescent="0.25">
      <c r="A662" s="72" t="s">
        <v>491</v>
      </c>
      <c r="B662" s="72" t="s">
        <v>73</v>
      </c>
      <c r="C662" s="73">
        <v>133</v>
      </c>
      <c r="D662" s="73">
        <v>3864556.7381500532</v>
      </c>
      <c r="E662" s="72">
        <v>386455.67381500534</v>
      </c>
      <c r="F662" s="72" t="s">
        <v>70</v>
      </c>
      <c r="G662" s="72" t="s">
        <v>71</v>
      </c>
      <c r="H662" s="72" t="s">
        <v>72</v>
      </c>
    </row>
    <row r="663" spans="1:8" x14ac:dyDescent="0.25">
      <c r="A663" s="43" t="s">
        <v>736</v>
      </c>
      <c r="B663" s="43" t="s">
        <v>75</v>
      </c>
      <c r="C663" s="46">
        <v>133</v>
      </c>
      <c r="D663" s="46">
        <v>3741138.4053359851</v>
      </c>
      <c r="E663" s="43">
        <v>336702.45648023864</v>
      </c>
      <c r="F663" s="43" t="s">
        <v>70</v>
      </c>
      <c r="G663" s="43" t="s">
        <v>71</v>
      </c>
      <c r="H663" s="43" t="s">
        <v>72</v>
      </c>
    </row>
    <row r="664" spans="1:8" x14ac:dyDescent="0.25">
      <c r="A664" s="43" t="s">
        <v>492</v>
      </c>
      <c r="B664" s="43" t="s">
        <v>166</v>
      </c>
      <c r="C664" s="46">
        <v>133</v>
      </c>
      <c r="D664" s="46">
        <v>3864556.7381500532</v>
      </c>
      <c r="E664" s="43">
        <v>386455.67381500534</v>
      </c>
      <c r="F664" s="43" t="s">
        <v>70</v>
      </c>
      <c r="G664" s="43" t="s">
        <v>71</v>
      </c>
      <c r="H664" s="43" t="s">
        <v>72</v>
      </c>
    </row>
    <row r="665" spans="1:8" x14ac:dyDescent="0.25">
      <c r="A665" s="43" t="s">
        <v>1936</v>
      </c>
      <c r="B665" s="43" t="s">
        <v>323</v>
      </c>
      <c r="C665" s="46">
        <v>133</v>
      </c>
      <c r="D665" s="46">
        <v>3240547.9071410829</v>
      </c>
      <c r="E665" s="43">
        <v>194432.874428465</v>
      </c>
      <c r="F665" s="43" t="s">
        <v>70</v>
      </c>
      <c r="G665" s="43" t="s">
        <v>71</v>
      </c>
      <c r="H665" s="43" t="s">
        <v>72</v>
      </c>
    </row>
    <row r="666" spans="1:8" x14ac:dyDescent="0.25">
      <c r="A666" s="43" t="s">
        <v>1061</v>
      </c>
      <c r="B666" s="43" t="s">
        <v>112</v>
      </c>
      <c r="C666" s="46">
        <v>133</v>
      </c>
      <c r="D666" s="46">
        <v>3601836.9476328557</v>
      </c>
      <c r="E666" s="43">
        <v>288146.95581062848</v>
      </c>
      <c r="F666" s="43" t="s">
        <v>70</v>
      </c>
      <c r="G666" s="43" t="s">
        <v>71</v>
      </c>
      <c r="H666" s="43" t="s">
        <v>72</v>
      </c>
    </row>
    <row r="667" spans="1:8" x14ac:dyDescent="0.25">
      <c r="A667" s="72" t="s">
        <v>1937</v>
      </c>
      <c r="B667" s="72" t="s">
        <v>85</v>
      </c>
      <c r="C667" s="73">
        <v>133</v>
      </c>
      <c r="D667" s="73">
        <v>3240547.9071410829</v>
      </c>
      <c r="E667" s="72">
        <v>194432.874428465</v>
      </c>
      <c r="F667" s="72" t="s">
        <v>70</v>
      </c>
      <c r="G667" s="72" t="s">
        <v>71</v>
      </c>
      <c r="H667" s="72" t="s">
        <v>72</v>
      </c>
    </row>
    <row r="668" spans="1:8" x14ac:dyDescent="0.25">
      <c r="A668" s="43" t="s">
        <v>2111</v>
      </c>
      <c r="B668" s="43" t="s">
        <v>115</v>
      </c>
      <c r="C668" s="46">
        <v>133</v>
      </c>
      <c r="D668" s="46">
        <v>2977141.9809752628</v>
      </c>
      <c r="E668" s="43">
        <v>178628.51885851577</v>
      </c>
      <c r="F668" s="43" t="s">
        <v>84</v>
      </c>
      <c r="G668" s="43" t="s">
        <v>71</v>
      </c>
      <c r="H668" s="43" t="s">
        <v>72</v>
      </c>
    </row>
    <row r="669" spans="1:8" x14ac:dyDescent="0.25">
      <c r="A669" s="72" t="s">
        <v>493</v>
      </c>
      <c r="B669" s="72" t="s">
        <v>162</v>
      </c>
      <c r="C669" s="73">
        <v>133</v>
      </c>
      <c r="D669" s="73">
        <v>3864556.7381500532</v>
      </c>
      <c r="E669" s="72">
        <v>386455.67381500534</v>
      </c>
      <c r="F669" s="72" t="s">
        <v>70</v>
      </c>
      <c r="G669" s="72" t="s">
        <v>71</v>
      </c>
      <c r="H669" s="72" t="s">
        <v>72</v>
      </c>
    </row>
    <row r="670" spans="1:8" x14ac:dyDescent="0.25">
      <c r="A670" s="43" t="s">
        <v>747</v>
      </c>
      <c r="B670" s="43" t="s">
        <v>323</v>
      </c>
      <c r="C670" s="46">
        <v>132</v>
      </c>
      <c r="D670" s="46">
        <v>3714947.1400727397</v>
      </c>
      <c r="E670" s="43">
        <v>334345.24260654656</v>
      </c>
      <c r="F670" s="43" t="s">
        <v>70</v>
      </c>
      <c r="G670" s="43" t="s">
        <v>71</v>
      </c>
      <c r="H670" s="43" t="s">
        <v>72</v>
      </c>
    </row>
    <row r="671" spans="1:8" x14ac:dyDescent="0.25">
      <c r="A671" s="43" t="s">
        <v>1944</v>
      </c>
      <c r="B671" s="43" t="s">
        <v>323</v>
      </c>
      <c r="C671" s="46">
        <v>132</v>
      </c>
      <c r="D671" s="46">
        <v>3218120.4802101296</v>
      </c>
      <c r="E671" s="43">
        <v>193087.22881260782</v>
      </c>
      <c r="F671" s="43" t="s">
        <v>70</v>
      </c>
      <c r="G671" s="43" t="s">
        <v>71</v>
      </c>
      <c r="H671" s="43" t="s">
        <v>72</v>
      </c>
    </row>
    <row r="672" spans="1:8" x14ac:dyDescent="0.25">
      <c r="A672" s="72" t="s">
        <v>1461</v>
      </c>
      <c r="B672" s="72" t="s">
        <v>77</v>
      </c>
      <c r="C672" s="73">
        <v>132</v>
      </c>
      <c r="D672" s="73">
        <v>3415727.8242946845</v>
      </c>
      <c r="E672" s="72">
        <v>239100.94770062788</v>
      </c>
      <c r="F672" s="72" t="s">
        <v>70</v>
      </c>
      <c r="G672" s="72" t="s">
        <v>71</v>
      </c>
      <c r="H672" s="72" t="s">
        <v>72</v>
      </c>
    </row>
    <row r="673" spans="1:8" x14ac:dyDescent="0.25">
      <c r="A673" s="72" t="s">
        <v>1305</v>
      </c>
      <c r="B673" s="72" t="s">
        <v>93</v>
      </c>
      <c r="C673" s="73">
        <v>132</v>
      </c>
      <c r="D673" s="73">
        <v>3654678.1372244563</v>
      </c>
      <c r="E673" s="72">
        <v>255827.4696057119</v>
      </c>
      <c r="F673" s="72" t="s">
        <v>87</v>
      </c>
      <c r="G673" s="72" t="s">
        <v>71</v>
      </c>
      <c r="H673" s="72" t="s">
        <v>88</v>
      </c>
    </row>
    <row r="674" spans="1:8" x14ac:dyDescent="0.25">
      <c r="A674" s="72" t="s">
        <v>2892</v>
      </c>
      <c r="B674" s="72" t="s">
        <v>265</v>
      </c>
      <c r="C674" s="73">
        <v>132</v>
      </c>
      <c r="D674" s="73">
        <v>3108397.3437322732</v>
      </c>
      <c r="E674" s="72">
        <v>124335.89374929093</v>
      </c>
      <c r="F674" s="72" t="s">
        <v>87</v>
      </c>
      <c r="G674" s="72" t="s">
        <v>71</v>
      </c>
      <c r="H674" s="72" t="s">
        <v>88</v>
      </c>
    </row>
    <row r="675" spans="1:8" x14ac:dyDescent="0.25">
      <c r="A675" s="43" t="s">
        <v>1462</v>
      </c>
      <c r="B675" s="43" t="s">
        <v>160</v>
      </c>
      <c r="C675" s="46">
        <v>132</v>
      </c>
      <c r="D675" s="46">
        <v>3415727.8242946845</v>
      </c>
      <c r="E675" s="43">
        <v>239100.94770062788</v>
      </c>
      <c r="F675" s="43" t="s">
        <v>70</v>
      </c>
      <c r="G675" s="43" t="s">
        <v>71</v>
      </c>
      <c r="H675" s="43" t="s">
        <v>72</v>
      </c>
    </row>
    <row r="676" spans="1:8" x14ac:dyDescent="0.25">
      <c r="A676" s="72" t="s">
        <v>336</v>
      </c>
      <c r="B676" s="72" t="s">
        <v>337</v>
      </c>
      <c r="C676" s="73">
        <v>132</v>
      </c>
      <c r="D676" s="73">
        <v>4306639.3975344831</v>
      </c>
      <c r="E676" s="72">
        <v>602929.51565482758</v>
      </c>
      <c r="F676" s="72" t="s">
        <v>78</v>
      </c>
      <c r="G676" s="72" t="s">
        <v>71</v>
      </c>
      <c r="H676" s="72" t="s">
        <v>72</v>
      </c>
    </row>
    <row r="677" spans="1:8" x14ac:dyDescent="0.25">
      <c r="A677" s="72" t="s">
        <v>1463</v>
      </c>
      <c r="B677" s="72" t="s">
        <v>102</v>
      </c>
      <c r="C677" s="73">
        <v>132</v>
      </c>
      <c r="D677" s="73">
        <v>3415727.8242946845</v>
      </c>
      <c r="E677" s="72">
        <v>239100.94770062788</v>
      </c>
      <c r="F677" s="72" t="s">
        <v>70</v>
      </c>
      <c r="G677" s="72" t="s">
        <v>71</v>
      </c>
      <c r="H677" s="72" t="s">
        <v>72</v>
      </c>
    </row>
    <row r="678" spans="1:8" x14ac:dyDescent="0.25">
      <c r="A678" s="72" t="s">
        <v>2530</v>
      </c>
      <c r="B678" s="72" t="s">
        <v>102</v>
      </c>
      <c r="C678" s="73">
        <v>132</v>
      </c>
      <c r="D678" s="73">
        <v>2946373.2791413045</v>
      </c>
      <c r="E678" s="72">
        <v>147318.66395706523</v>
      </c>
      <c r="F678" s="72" t="s">
        <v>70</v>
      </c>
      <c r="G678" s="72" t="s">
        <v>71</v>
      </c>
      <c r="H678" s="72" t="s">
        <v>72</v>
      </c>
    </row>
    <row r="679" spans="1:8" x14ac:dyDescent="0.25">
      <c r="A679" s="72" t="s">
        <v>1070</v>
      </c>
      <c r="B679" s="72" t="s">
        <v>85</v>
      </c>
      <c r="C679" s="73">
        <v>132</v>
      </c>
      <c r="D679" s="73">
        <v>3576693.0617508367</v>
      </c>
      <c r="E679" s="72">
        <v>286135.44494006695</v>
      </c>
      <c r="F679" s="72" t="s">
        <v>70</v>
      </c>
      <c r="G679" s="72" t="s">
        <v>71</v>
      </c>
      <c r="H679" s="72" t="s">
        <v>72</v>
      </c>
    </row>
    <row r="680" spans="1:8" x14ac:dyDescent="0.25">
      <c r="A680" s="72" t="s">
        <v>748</v>
      </c>
      <c r="B680" s="72" t="s">
        <v>77</v>
      </c>
      <c r="C680" s="73">
        <v>132</v>
      </c>
      <c r="D680" s="73">
        <v>3714947.1400727397</v>
      </c>
      <c r="E680" s="72">
        <v>334345.24260654656</v>
      </c>
      <c r="F680" s="72" t="s">
        <v>70</v>
      </c>
      <c r="G680" s="72" t="s">
        <v>71</v>
      </c>
      <c r="H680" s="72" t="s">
        <v>72</v>
      </c>
    </row>
    <row r="681" spans="1:8" x14ac:dyDescent="0.25">
      <c r="A681" s="72" t="s">
        <v>473</v>
      </c>
      <c r="B681" s="72" t="s">
        <v>115</v>
      </c>
      <c r="C681" s="73">
        <v>132</v>
      </c>
      <c r="D681" s="73">
        <v>3901573.1687536584</v>
      </c>
      <c r="E681" s="72">
        <v>390157.31687536585</v>
      </c>
      <c r="F681" s="72" t="s">
        <v>78</v>
      </c>
      <c r="G681" s="72" t="s">
        <v>71</v>
      </c>
      <c r="H681" s="72" t="s">
        <v>72</v>
      </c>
    </row>
    <row r="682" spans="1:8" x14ac:dyDescent="0.25">
      <c r="A682" s="43" t="s">
        <v>1138</v>
      </c>
      <c r="B682" s="43" t="s">
        <v>83</v>
      </c>
      <c r="C682" s="46">
        <v>132</v>
      </c>
      <c r="D682" s="46">
        <v>3472408.3316599643</v>
      </c>
      <c r="E682" s="43">
        <v>277792.66653279716</v>
      </c>
      <c r="F682" s="43" t="s">
        <v>84</v>
      </c>
      <c r="G682" s="43" t="s">
        <v>71</v>
      </c>
      <c r="H682" s="43" t="s">
        <v>72</v>
      </c>
    </row>
    <row r="683" spans="1:8" x14ac:dyDescent="0.25">
      <c r="A683" s="43" t="s">
        <v>1464</v>
      </c>
      <c r="B683" s="43" t="s">
        <v>162</v>
      </c>
      <c r="C683" s="46">
        <v>132</v>
      </c>
      <c r="D683" s="46">
        <v>3415727.8242946845</v>
      </c>
      <c r="E683" s="43">
        <v>239100.94770062788</v>
      </c>
      <c r="F683" s="43" t="s">
        <v>70</v>
      </c>
      <c r="G683" s="43" t="s">
        <v>71</v>
      </c>
      <c r="H683" s="43" t="s">
        <v>72</v>
      </c>
    </row>
    <row r="684" spans="1:8" x14ac:dyDescent="0.25">
      <c r="A684" s="43" t="s">
        <v>749</v>
      </c>
      <c r="B684" s="43" t="s">
        <v>86</v>
      </c>
      <c r="C684" s="46">
        <v>132</v>
      </c>
      <c r="D684" s="46">
        <v>3714947.1400727397</v>
      </c>
      <c r="E684" s="43">
        <v>334345.24260654656</v>
      </c>
      <c r="F684" s="43" t="s">
        <v>70</v>
      </c>
      <c r="G684" s="43" t="s">
        <v>71</v>
      </c>
      <c r="H684" s="43" t="s">
        <v>72</v>
      </c>
    </row>
    <row r="685" spans="1:8" x14ac:dyDescent="0.25">
      <c r="A685" s="72" t="s">
        <v>1465</v>
      </c>
      <c r="B685" s="72" t="s">
        <v>162</v>
      </c>
      <c r="C685" s="73">
        <v>132</v>
      </c>
      <c r="D685" s="73">
        <v>3415727.8242946845</v>
      </c>
      <c r="E685" s="72">
        <v>239100.94770062788</v>
      </c>
      <c r="F685" s="72" t="s">
        <v>70</v>
      </c>
      <c r="G685" s="72" t="s">
        <v>71</v>
      </c>
      <c r="H685" s="72" t="s">
        <v>72</v>
      </c>
    </row>
    <row r="686" spans="1:8" x14ac:dyDescent="0.25">
      <c r="A686" s="43" t="s">
        <v>2531</v>
      </c>
      <c r="B686" s="43" t="s">
        <v>162</v>
      </c>
      <c r="C686" s="46">
        <v>132</v>
      </c>
      <c r="D686" s="46">
        <v>2946373.2791413045</v>
      </c>
      <c r="E686" s="43">
        <v>147318.66395706523</v>
      </c>
      <c r="F686" s="43" t="s">
        <v>70</v>
      </c>
      <c r="G686" s="43" t="s">
        <v>71</v>
      </c>
      <c r="H686" s="43" t="s">
        <v>72</v>
      </c>
    </row>
    <row r="687" spans="1:8" x14ac:dyDescent="0.25">
      <c r="A687" s="43" t="s">
        <v>763</v>
      </c>
      <c r="B687" s="43" t="s">
        <v>323</v>
      </c>
      <c r="C687" s="46">
        <v>131</v>
      </c>
      <c r="D687" s="46">
        <v>3688728.2966701672</v>
      </c>
      <c r="E687" s="43">
        <v>331985.54670031503</v>
      </c>
      <c r="F687" s="43" t="s">
        <v>70</v>
      </c>
      <c r="G687" s="43" t="s">
        <v>71</v>
      </c>
      <c r="H687" s="43" t="s">
        <v>72</v>
      </c>
    </row>
    <row r="688" spans="1:8" x14ac:dyDescent="0.25">
      <c r="A688" s="43" t="s">
        <v>1481</v>
      </c>
      <c r="B688" s="43" t="s">
        <v>1482</v>
      </c>
      <c r="C688" s="46">
        <v>131</v>
      </c>
      <c r="D688" s="46">
        <v>3391775.7938904315</v>
      </c>
      <c r="E688" s="43">
        <v>237424.30557233019</v>
      </c>
      <c r="F688" s="43" t="s">
        <v>70</v>
      </c>
      <c r="G688" s="43" t="s">
        <v>71</v>
      </c>
      <c r="H688" s="43" t="s">
        <v>72</v>
      </c>
    </row>
    <row r="689" spans="1:8" x14ac:dyDescent="0.25">
      <c r="A689" s="72" t="s">
        <v>764</v>
      </c>
      <c r="B689" s="72" t="s">
        <v>323</v>
      </c>
      <c r="C689" s="73">
        <v>131</v>
      </c>
      <c r="D689" s="73">
        <v>3688728.2966701672</v>
      </c>
      <c r="E689" s="72">
        <v>331985.54670031503</v>
      </c>
      <c r="F689" s="72" t="s">
        <v>70</v>
      </c>
      <c r="G689" s="72" t="s">
        <v>71</v>
      </c>
      <c r="H689" s="72" t="s">
        <v>72</v>
      </c>
    </row>
    <row r="690" spans="1:8" x14ac:dyDescent="0.25">
      <c r="A690" s="43" t="s">
        <v>1766</v>
      </c>
      <c r="B690" s="43" t="s">
        <v>160</v>
      </c>
      <c r="C690" s="46">
        <v>131</v>
      </c>
      <c r="D690" s="46">
        <v>3496850.5154721248</v>
      </c>
      <c r="E690" s="43">
        <v>209811.03092832747</v>
      </c>
      <c r="F690" s="43" t="s">
        <v>87</v>
      </c>
      <c r="G690" s="43" t="s">
        <v>71</v>
      </c>
      <c r="H690" s="43" t="s">
        <v>88</v>
      </c>
    </row>
    <row r="691" spans="1:8" x14ac:dyDescent="0.25">
      <c r="A691" s="72" t="s">
        <v>412</v>
      </c>
      <c r="B691" s="72" t="s">
        <v>92</v>
      </c>
      <c r="C691" s="73">
        <v>131</v>
      </c>
      <c r="D691" s="73">
        <v>3949531.2469257731</v>
      </c>
      <c r="E691" s="72">
        <v>434448.43716183509</v>
      </c>
      <c r="F691" s="72" t="s">
        <v>84</v>
      </c>
      <c r="G691" s="72" t="s">
        <v>71</v>
      </c>
      <c r="H691" s="72" t="s">
        <v>72</v>
      </c>
    </row>
    <row r="692" spans="1:8" x14ac:dyDescent="0.25">
      <c r="A692" s="43" t="s">
        <v>1090</v>
      </c>
      <c r="B692" s="43" t="s">
        <v>127</v>
      </c>
      <c r="C692" s="46">
        <v>131</v>
      </c>
      <c r="D692" s="46">
        <v>3144789.0893493136</v>
      </c>
      <c r="E692" s="43">
        <v>283031.01804143819</v>
      </c>
      <c r="F692" s="43" t="s">
        <v>106</v>
      </c>
      <c r="G692" s="43" t="s">
        <v>71</v>
      </c>
      <c r="H692" s="43" t="s">
        <v>72</v>
      </c>
    </row>
    <row r="693" spans="1:8" x14ac:dyDescent="0.25">
      <c r="A693" s="72" t="s">
        <v>1483</v>
      </c>
      <c r="B693" s="72" t="s">
        <v>77</v>
      </c>
      <c r="C693" s="73">
        <v>131</v>
      </c>
      <c r="D693" s="73">
        <v>3391775.7938904315</v>
      </c>
      <c r="E693" s="72">
        <v>237424.30557233019</v>
      </c>
      <c r="F693" s="72" t="s">
        <v>70</v>
      </c>
      <c r="G693" s="72" t="s">
        <v>71</v>
      </c>
      <c r="H693" s="72" t="s">
        <v>72</v>
      </c>
    </row>
    <row r="694" spans="1:8" x14ac:dyDescent="0.25">
      <c r="A694" s="43" t="s">
        <v>765</v>
      </c>
      <c r="B694" s="43" t="s">
        <v>323</v>
      </c>
      <c r="C694" s="46">
        <v>131</v>
      </c>
      <c r="D694" s="46">
        <v>3688728.2966701672</v>
      </c>
      <c r="E694" s="43">
        <v>331985.54670031503</v>
      </c>
      <c r="F694" s="43" t="s">
        <v>70</v>
      </c>
      <c r="G694" s="43" t="s">
        <v>71</v>
      </c>
      <c r="H694" s="43" t="s">
        <v>72</v>
      </c>
    </row>
    <row r="695" spans="1:8" x14ac:dyDescent="0.25">
      <c r="A695" s="72" t="s">
        <v>847</v>
      </c>
      <c r="B695" s="72" t="s">
        <v>112</v>
      </c>
      <c r="C695" s="73">
        <v>131</v>
      </c>
      <c r="D695" s="73">
        <v>3186830.0284633879</v>
      </c>
      <c r="E695" s="72">
        <v>318683.00284633879</v>
      </c>
      <c r="F695" s="72" t="s">
        <v>106</v>
      </c>
      <c r="G695" s="72" t="s">
        <v>71</v>
      </c>
      <c r="H695" s="72" t="s">
        <v>72</v>
      </c>
    </row>
    <row r="696" spans="1:8" x14ac:dyDescent="0.25">
      <c r="A696" s="72" t="s">
        <v>1327</v>
      </c>
      <c r="B696" s="72" t="s">
        <v>77</v>
      </c>
      <c r="C696" s="73">
        <v>131</v>
      </c>
      <c r="D696" s="73">
        <v>3628599.7893330655</v>
      </c>
      <c r="E696" s="72">
        <v>254001.98525331455</v>
      </c>
      <c r="F696" s="72" t="s">
        <v>87</v>
      </c>
      <c r="G696" s="72" t="s">
        <v>71</v>
      </c>
      <c r="H696" s="72" t="s">
        <v>88</v>
      </c>
    </row>
    <row r="697" spans="1:8" x14ac:dyDescent="0.25">
      <c r="A697" s="43" t="s">
        <v>2147</v>
      </c>
      <c r="B697" s="43" t="s">
        <v>83</v>
      </c>
      <c r="C697" s="46">
        <v>131</v>
      </c>
      <c r="D697" s="46">
        <v>2927486.9342771787</v>
      </c>
      <c r="E697" s="43">
        <v>175649.21605663071</v>
      </c>
      <c r="F697" s="43" t="s">
        <v>84</v>
      </c>
      <c r="G697" s="43" t="s">
        <v>71</v>
      </c>
      <c r="H697" s="43" t="s">
        <v>72</v>
      </c>
    </row>
    <row r="698" spans="1:8" x14ac:dyDescent="0.25">
      <c r="A698" s="72" t="s">
        <v>2279</v>
      </c>
      <c r="B698" s="72" t="s">
        <v>77</v>
      </c>
      <c r="C698" s="73">
        <v>130</v>
      </c>
      <c r="D698" s="73">
        <v>3305627.9008864178</v>
      </c>
      <c r="E698" s="72">
        <v>165281.3950443209</v>
      </c>
      <c r="F698" s="72" t="s">
        <v>87</v>
      </c>
      <c r="G698" s="72" t="s">
        <v>71</v>
      </c>
      <c r="H698" s="72" t="s">
        <v>88</v>
      </c>
    </row>
    <row r="699" spans="1:8" x14ac:dyDescent="0.25">
      <c r="A699" s="72" t="s">
        <v>528</v>
      </c>
      <c r="B699" s="72" t="s">
        <v>73</v>
      </c>
      <c r="C699" s="73">
        <v>130</v>
      </c>
      <c r="D699" s="73">
        <v>3783116.2966588596</v>
      </c>
      <c r="E699" s="72">
        <v>378311.62966588599</v>
      </c>
      <c r="F699" s="72" t="s">
        <v>70</v>
      </c>
      <c r="G699" s="72" t="s">
        <v>71</v>
      </c>
      <c r="H699" s="72" t="s">
        <v>72</v>
      </c>
    </row>
    <row r="700" spans="1:8" x14ac:dyDescent="0.25">
      <c r="A700" s="72" t="s">
        <v>1747</v>
      </c>
      <c r="B700" s="72" t="s">
        <v>85</v>
      </c>
      <c r="C700" s="73">
        <v>130</v>
      </c>
      <c r="D700" s="73">
        <v>3022276.294414897</v>
      </c>
      <c r="E700" s="72">
        <v>211559.34060904276</v>
      </c>
      <c r="F700" s="72" t="s">
        <v>106</v>
      </c>
      <c r="G700" s="72" t="s">
        <v>71</v>
      </c>
      <c r="H700" s="72" t="s">
        <v>72</v>
      </c>
    </row>
    <row r="701" spans="1:8" x14ac:dyDescent="0.25">
      <c r="A701" s="43" t="s">
        <v>781</v>
      </c>
      <c r="B701" s="43" t="s">
        <v>85</v>
      </c>
      <c r="C701" s="46">
        <v>130</v>
      </c>
      <c r="D701" s="46">
        <v>3662481.8360135294</v>
      </c>
      <c r="E701" s="43">
        <v>329623.36524121766</v>
      </c>
      <c r="F701" s="43" t="s">
        <v>70</v>
      </c>
      <c r="G701" s="43" t="s">
        <v>71</v>
      </c>
      <c r="H701" s="43" t="s">
        <v>72</v>
      </c>
    </row>
    <row r="702" spans="1:8" x14ac:dyDescent="0.25">
      <c r="A702" s="43" t="s">
        <v>529</v>
      </c>
      <c r="B702" s="43" t="s">
        <v>323</v>
      </c>
      <c r="C702" s="46">
        <v>130</v>
      </c>
      <c r="D702" s="46">
        <v>3783116.2966588596</v>
      </c>
      <c r="E702" s="43">
        <v>378311.62966588599</v>
      </c>
      <c r="F702" s="43" t="s">
        <v>70</v>
      </c>
      <c r="G702" s="43" t="s">
        <v>71</v>
      </c>
      <c r="H702" s="43" t="s">
        <v>72</v>
      </c>
    </row>
    <row r="703" spans="1:8" x14ac:dyDescent="0.25">
      <c r="A703" s="43" t="s">
        <v>802</v>
      </c>
      <c r="B703" s="43" t="s">
        <v>89</v>
      </c>
      <c r="C703" s="46">
        <v>130</v>
      </c>
      <c r="D703" s="46">
        <v>2961025.6874652118</v>
      </c>
      <c r="E703" s="43">
        <v>325712.82562117337</v>
      </c>
      <c r="F703" s="43" t="s">
        <v>95</v>
      </c>
      <c r="G703" s="43" t="s">
        <v>96</v>
      </c>
      <c r="H703" s="43" t="s">
        <v>88</v>
      </c>
    </row>
    <row r="704" spans="1:8" x14ac:dyDescent="0.25">
      <c r="A704" s="72" t="s">
        <v>530</v>
      </c>
      <c r="B704" s="72" t="s">
        <v>73</v>
      </c>
      <c r="C704" s="73">
        <v>130</v>
      </c>
      <c r="D704" s="73">
        <v>3783116.2966588596</v>
      </c>
      <c r="E704" s="72">
        <v>378311.62966588599</v>
      </c>
      <c r="F704" s="72" t="s">
        <v>70</v>
      </c>
      <c r="G704" s="72" t="s">
        <v>71</v>
      </c>
      <c r="H704" s="72" t="s">
        <v>72</v>
      </c>
    </row>
    <row r="705" spans="1:8" x14ac:dyDescent="0.25">
      <c r="A705" s="43" t="s">
        <v>531</v>
      </c>
      <c r="B705" s="43" t="s">
        <v>103</v>
      </c>
      <c r="C705" s="46">
        <v>130</v>
      </c>
      <c r="D705" s="46">
        <v>3783116.2966588596</v>
      </c>
      <c r="E705" s="43">
        <v>378311.62966588599</v>
      </c>
      <c r="F705" s="43" t="s">
        <v>70</v>
      </c>
      <c r="G705" s="43" t="s">
        <v>71</v>
      </c>
      <c r="H705" s="43" t="s">
        <v>72</v>
      </c>
    </row>
    <row r="706" spans="1:8" x14ac:dyDescent="0.25">
      <c r="A706" s="72" t="s">
        <v>782</v>
      </c>
      <c r="B706" s="72" t="s">
        <v>73</v>
      </c>
      <c r="C706" s="73">
        <v>130</v>
      </c>
      <c r="D706" s="73">
        <v>3662481.8360135294</v>
      </c>
      <c r="E706" s="72">
        <v>329623.36524121766</v>
      </c>
      <c r="F706" s="72" t="s">
        <v>70</v>
      </c>
      <c r="G706" s="72" t="s">
        <v>71</v>
      </c>
      <c r="H706" s="72" t="s">
        <v>72</v>
      </c>
    </row>
    <row r="707" spans="1:8" x14ac:dyDescent="0.25">
      <c r="A707" s="72" t="s">
        <v>1980</v>
      </c>
      <c r="B707" s="72" t="s">
        <v>110</v>
      </c>
      <c r="C707" s="73">
        <v>130</v>
      </c>
      <c r="D707" s="73">
        <v>3173182.8528155047</v>
      </c>
      <c r="E707" s="72">
        <v>190390.97116893032</v>
      </c>
      <c r="F707" s="72" t="s">
        <v>70</v>
      </c>
      <c r="G707" s="72" t="s">
        <v>71</v>
      </c>
      <c r="H707" s="72" t="s">
        <v>72</v>
      </c>
    </row>
    <row r="708" spans="1:8" x14ac:dyDescent="0.25">
      <c r="A708" s="72" t="s">
        <v>1097</v>
      </c>
      <c r="B708" s="72" t="s">
        <v>97</v>
      </c>
      <c r="C708" s="73">
        <v>130</v>
      </c>
      <c r="D708" s="73">
        <v>3526322.5164540797</v>
      </c>
      <c r="E708" s="72">
        <v>282105.80131632637</v>
      </c>
      <c r="F708" s="72" t="s">
        <v>70</v>
      </c>
      <c r="G708" s="72" t="s">
        <v>71</v>
      </c>
      <c r="H708" s="72" t="s">
        <v>72</v>
      </c>
    </row>
    <row r="709" spans="1:8" x14ac:dyDescent="0.25">
      <c r="A709" s="43" t="s">
        <v>1504</v>
      </c>
      <c r="B709" s="43" t="s">
        <v>77</v>
      </c>
      <c r="C709" s="46">
        <v>130</v>
      </c>
      <c r="D709" s="46">
        <v>3367796.1462321114</v>
      </c>
      <c r="E709" s="43">
        <v>235745.73023624776</v>
      </c>
      <c r="F709" s="43" t="s">
        <v>70</v>
      </c>
      <c r="G709" s="43" t="s">
        <v>71</v>
      </c>
      <c r="H709" s="43" t="s">
        <v>72</v>
      </c>
    </row>
    <row r="710" spans="1:8" x14ac:dyDescent="0.25">
      <c r="A710" s="43" t="s">
        <v>818</v>
      </c>
      <c r="B710" s="43" t="s">
        <v>335</v>
      </c>
      <c r="C710" s="46">
        <v>130</v>
      </c>
      <c r="D710" s="46">
        <v>3602443.1316240956</v>
      </c>
      <c r="E710" s="43">
        <v>324219.8818461686</v>
      </c>
      <c r="F710" s="43" t="s">
        <v>84</v>
      </c>
      <c r="G710" s="43" t="s">
        <v>71</v>
      </c>
      <c r="H710" s="43" t="s">
        <v>72</v>
      </c>
    </row>
    <row r="711" spans="1:8" x14ac:dyDescent="0.25">
      <c r="A711" s="43" t="s">
        <v>1981</v>
      </c>
      <c r="B711" s="43" t="s">
        <v>323</v>
      </c>
      <c r="C711" s="46">
        <v>130</v>
      </c>
      <c r="D711" s="46">
        <v>3173182.8528155047</v>
      </c>
      <c r="E711" s="43">
        <v>190390.97116893032</v>
      </c>
      <c r="F711" s="43" t="s">
        <v>70</v>
      </c>
      <c r="G711" s="43" t="s">
        <v>71</v>
      </c>
      <c r="H711" s="43" t="s">
        <v>72</v>
      </c>
    </row>
    <row r="712" spans="1:8" x14ac:dyDescent="0.25">
      <c r="A712" s="43" t="s">
        <v>379</v>
      </c>
      <c r="B712" s="43" t="s">
        <v>115</v>
      </c>
      <c r="C712" s="46">
        <v>130</v>
      </c>
      <c r="D712" s="46">
        <v>4061390.4702253127</v>
      </c>
      <c r="E712" s="43">
        <v>487366.85642703762</v>
      </c>
      <c r="F712" s="43" t="s">
        <v>78</v>
      </c>
      <c r="G712" s="43" t="s">
        <v>71</v>
      </c>
      <c r="H712" s="43" t="s">
        <v>72</v>
      </c>
    </row>
    <row r="713" spans="1:8" x14ac:dyDescent="0.25">
      <c r="A713" s="72" t="s">
        <v>538</v>
      </c>
      <c r="B713" s="72" t="s">
        <v>92</v>
      </c>
      <c r="C713" s="73">
        <v>130</v>
      </c>
      <c r="D713" s="73">
        <v>3767625.5101177474</v>
      </c>
      <c r="E713" s="72">
        <v>376762.55101177475</v>
      </c>
      <c r="F713" s="72" t="s">
        <v>84</v>
      </c>
      <c r="G713" s="72" t="s">
        <v>71</v>
      </c>
      <c r="H713" s="72" t="s">
        <v>72</v>
      </c>
    </row>
    <row r="714" spans="1:8" x14ac:dyDescent="0.25">
      <c r="A714" s="72" t="s">
        <v>1505</v>
      </c>
      <c r="B714" s="72" t="s">
        <v>1506</v>
      </c>
      <c r="C714" s="73">
        <v>130</v>
      </c>
      <c r="D714" s="73">
        <v>3367796.1462321114</v>
      </c>
      <c r="E714" s="72">
        <v>235745.73023624776</v>
      </c>
      <c r="F714" s="72" t="s">
        <v>70</v>
      </c>
      <c r="G714" s="72" t="s">
        <v>71</v>
      </c>
      <c r="H714" s="72" t="s">
        <v>72</v>
      </c>
    </row>
    <row r="715" spans="1:8" x14ac:dyDescent="0.25">
      <c r="A715" s="43" t="s">
        <v>2559</v>
      </c>
      <c r="B715" s="43" t="s">
        <v>378</v>
      </c>
      <c r="C715" s="46">
        <v>130</v>
      </c>
      <c r="D715" s="46">
        <v>2905553.0335810557</v>
      </c>
      <c r="E715" s="43">
        <v>145277.6516790528</v>
      </c>
      <c r="F715" s="43" t="s">
        <v>70</v>
      </c>
      <c r="G715" s="43" t="s">
        <v>71</v>
      </c>
      <c r="H715" s="43" t="s">
        <v>72</v>
      </c>
    </row>
    <row r="716" spans="1:8" x14ac:dyDescent="0.25">
      <c r="A716" s="43" t="s">
        <v>868</v>
      </c>
      <c r="B716" s="43" t="s">
        <v>75</v>
      </c>
      <c r="C716" s="46">
        <v>130</v>
      </c>
      <c r="D716" s="46">
        <v>3164311.6530629564</v>
      </c>
      <c r="E716" s="43">
        <v>316431.16530629568</v>
      </c>
      <c r="F716" s="43" t="s">
        <v>106</v>
      </c>
      <c r="G716" s="43" t="s">
        <v>71</v>
      </c>
      <c r="H716" s="43" t="s">
        <v>72</v>
      </c>
    </row>
    <row r="717" spans="1:8" x14ac:dyDescent="0.25">
      <c r="A717" s="43" t="s">
        <v>494</v>
      </c>
      <c r="B717" s="43" t="s">
        <v>73</v>
      </c>
      <c r="C717" s="46">
        <v>129</v>
      </c>
      <c r="D717" s="46">
        <v>3863197.1555361799</v>
      </c>
      <c r="E717" s="43">
        <v>386319.71555361804</v>
      </c>
      <c r="F717" s="43" t="s">
        <v>87</v>
      </c>
      <c r="G717" s="43" t="s">
        <v>71</v>
      </c>
      <c r="H717" s="43" t="s">
        <v>88</v>
      </c>
    </row>
    <row r="718" spans="1:8" x14ac:dyDescent="0.25">
      <c r="A718" s="43" t="s">
        <v>2939</v>
      </c>
      <c r="B718" s="43" t="s">
        <v>77</v>
      </c>
      <c r="C718" s="46">
        <v>129</v>
      </c>
      <c r="D718" s="46">
        <v>3042507.8559435569</v>
      </c>
      <c r="E718" s="43">
        <v>121700.31423774228</v>
      </c>
      <c r="F718" s="43" t="s">
        <v>87</v>
      </c>
      <c r="G718" s="43" t="s">
        <v>71</v>
      </c>
      <c r="H718" s="43" t="s">
        <v>88</v>
      </c>
    </row>
    <row r="719" spans="1:8" x14ac:dyDescent="0.25">
      <c r="A719" s="72" t="s">
        <v>497</v>
      </c>
      <c r="B719" s="72" t="s">
        <v>139</v>
      </c>
      <c r="C719" s="73">
        <v>129</v>
      </c>
      <c r="D719" s="73">
        <v>3213465.1907868264</v>
      </c>
      <c r="E719" s="72">
        <v>385615.82289441914</v>
      </c>
      <c r="F719" s="72" t="s">
        <v>106</v>
      </c>
      <c r="G719" s="72" t="s">
        <v>71</v>
      </c>
      <c r="H719" s="72" t="s">
        <v>72</v>
      </c>
    </row>
    <row r="720" spans="1:8" x14ac:dyDescent="0.25">
      <c r="A720" s="72" t="s">
        <v>1006</v>
      </c>
      <c r="B720" s="72" t="s">
        <v>133</v>
      </c>
      <c r="C720" s="73">
        <v>129</v>
      </c>
      <c r="D720" s="73">
        <v>3685006.1867846637</v>
      </c>
      <c r="E720" s="72">
        <v>294800.49494277308</v>
      </c>
      <c r="F720" s="72" t="s">
        <v>87</v>
      </c>
      <c r="G720" s="72" t="s">
        <v>71</v>
      </c>
      <c r="H720" s="72" t="s">
        <v>88</v>
      </c>
    </row>
    <row r="721" spans="1:8" x14ac:dyDescent="0.25">
      <c r="A721" s="43" t="s">
        <v>793</v>
      </c>
      <c r="B721" s="43" t="s">
        <v>323</v>
      </c>
      <c r="C721" s="46">
        <v>129</v>
      </c>
      <c r="D721" s="46">
        <v>3636207.7189393081</v>
      </c>
      <c r="E721" s="43">
        <v>327258.69470453769</v>
      </c>
      <c r="F721" s="43" t="s">
        <v>70</v>
      </c>
      <c r="G721" s="43" t="s">
        <v>71</v>
      </c>
      <c r="H721" s="43" t="s">
        <v>72</v>
      </c>
    </row>
    <row r="722" spans="1:8" x14ac:dyDescent="0.25">
      <c r="A722" s="72" t="s">
        <v>509</v>
      </c>
      <c r="B722" s="72" t="s">
        <v>115</v>
      </c>
      <c r="C722" s="73">
        <v>129</v>
      </c>
      <c r="D722" s="73">
        <v>3819346.4433639883</v>
      </c>
      <c r="E722" s="72">
        <v>381934.64433639887</v>
      </c>
      <c r="F722" s="72" t="s">
        <v>78</v>
      </c>
      <c r="G722" s="72" t="s">
        <v>71</v>
      </c>
      <c r="H722" s="72" t="s">
        <v>72</v>
      </c>
    </row>
    <row r="723" spans="1:8" x14ac:dyDescent="0.25">
      <c r="A723" s="43" t="s">
        <v>832</v>
      </c>
      <c r="B723" s="43" t="s">
        <v>83</v>
      </c>
      <c r="C723" s="46">
        <v>129</v>
      </c>
      <c r="D723" s="46">
        <v>3572332.9264358697</v>
      </c>
      <c r="E723" s="43">
        <v>321509.96337922825</v>
      </c>
      <c r="F723" s="43" t="s">
        <v>84</v>
      </c>
      <c r="G723" s="43" t="s">
        <v>71</v>
      </c>
      <c r="H723" s="43" t="s">
        <v>72</v>
      </c>
    </row>
    <row r="724" spans="1:8" x14ac:dyDescent="0.25">
      <c r="A724" s="72" t="s">
        <v>1113</v>
      </c>
      <c r="B724" s="72" t="s">
        <v>85</v>
      </c>
      <c r="C724" s="73">
        <v>129</v>
      </c>
      <c r="D724" s="73">
        <v>3501095.7787610856</v>
      </c>
      <c r="E724" s="72">
        <v>280087.66230088688</v>
      </c>
      <c r="F724" s="72" t="s">
        <v>70</v>
      </c>
      <c r="G724" s="72" t="s">
        <v>71</v>
      </c>
      <c r="H724" s="72" t="s">
        <v>72</v>
      </c>
    </row>
    <row r="725" spans="1:8" x14ac:dyDescent="0.25">
      <c r="A725" s="43" t="s">
        <v>676</v>
      </c>
      <c r="B725" s="43" t="s">
        <v>77</v>
      </c>
      <c r="C725" s="46">
        <v>129</v>
      </c>
      <c r="D725" s="46">
        <v>3179213.1928141746</v>
      </c>
      <c r="E725" s="43">
        <v>349713.45120955922</v>
      </c>
      <c r="F725" s="43" t="s">
        <v>106</v>
      </c>
      <c r="G725" s="43" t="s">
        <v>71</v>
      </c>
      <c r="H725" s="43" t="s">
        <v>72</v>
      </c>
    </row>
    <row r="726" spans="1:8" x14ac:dyDescent="0.25">
      <c r="A726" s="43" t="s">
        <v>1094</v>
      </c>
      <c r="B726" s="43" t="s">
        <v>85</v>
      </c>
      <c r="C726" s="46">
        <v>128</v>
      </c>
      <c r="D726" s="46">
        <v>3532472.0246670572</v>
      </c>
      <c r="E726" s="43">
        <v>282597.76197336457</v>
      </c>
      <c r="F726" s="43" t="s">
        <v>78</v>
      </c>
      <c r="G726" s="43" t="s">
        <v>71</v>
      </c>
      <c r="H726" s="43" t="s">
        <v>72</v>
      </c>
    </row>
    <row r="727" spans="1:8" x14ac:dyDescent="0.25">
      <c r="A727" s="72" t="s">
        <v>811</v>
      </c>
      <c r="B727" s="72" t="s">
        <v>73</v>
      </c>
      <c r="C727" s="73">
        <v>128</v>
      </c>
      <c r="D727" s="73">
        <v>3609905.9062351566</v>
      </c>
      <c r="E727" s="72">
        <v>324891.53156116407</v>
      </c>
      <c r="F727" s="72" t="s">
        <v>70</v>
      </c>
      <c r="G727" s="72" t="s">
        <v>71</v>
      </c>
      <c r="H727" s="72" t="s">
        <v>72</v>
      </c>
    </row>
    <row r="728" spans="1:8" x14ac:dyDescent="0.25">
      <c r="A728" s="43" t="s">
        <v>726</v>
      </c>
      <c r="B728" s="43" t="s">
        <v>93</v>
      </c>
      <c r="C728" s="46">
        <v>128</v>
      </c>
      <c r="D728" s="46">
        <v>3751604.2494195332</v>
      </c>
      <c r="E728" s="43">
        <v>337644.38244775799</v>
      </c>
      <c r="F728" s="43" t="s">
        <v>87</v>
      </c>
      <c r="G728" s="43" t="s">
        <v>71</v>
      </c>
      <c r="H728" s="43" t="s">
        <v>88</v>
      </c>
    </row>
    <row r="729" spans="1:8" x14ac:dyDescent="0.25">
      <c r="A729" s="43" t="s">
        <v>382</v>
      </c>
      <c r="B729" s="43" t="s">
        <v>383</v>
      </c>
      <c r="C729" s="46">
        <v>128</v>
      </c>
      <c r="D729" s="46">
        <v>4003177.8006323543</v>
      </c>
      <c r="E729" s="43">
        <v>480381.3360758826</v>
      </c>
      <c r="F729" s="43" t="s">
        <v>78</v>
      </c>
      <c r="G729" s="43" t="s">
        <v>71</v>
      </c>
      <c r="H729" s="43" t="s">
        <v>72</v>
      </c>
    </row>
    <row r="730" spans="1:8" x14ac:dyDescent="0.25">
      <c r="A730" s="43" t="s">
        <v>560</v>
      </c>
      <c r="B730" s="43" t="s">
        <v>79</v>
      </c>
      <c r="C730" s="46">
        <v>128</v>
      </c>
      <c r="D730" s="46">
        <v>3728684.4521013275</v>
      </c>
      <c r="E730" s="43">
        <v>372868.44521013275</v>
      </c>
      <c r="F730" s="43" t="s">
        <v>70</v>
      </c>
      <c r="G730" s="43" t="s">
        <v>71</v>
      </c>
      <c r="H730" s="43" t="s">
        <v>72</v>
      </c>
    </row>
    <row r="731" spans="1:8" x14ac:dyDescent="0.25">
      <c r="A731" s="43" t="s">
        <v>1533</v>
      </c>
      <c r="B731" s="43" t="s">
        <v>79</v>
      </c>
      <c r="C731" s="46">
        <v>128</v>
      </c>
      <c r="D731" s="46">
        <v>3319753.8424503761</v>
      </c>
      <c r="E731" s="43">
        <v>232382.7689715263</v>
      </c>
      <c r="F731" s="43" t="s">
        <v>70</v>
      </c>
      <c r="G731" s="43" t="s">
        <v>71</v>
      </c>
      <c r="H731" s="43" t="s">
        <v>72</v>
      </c>
    </row>
    <row r="732" spans="1:8" x14ac:dyDescent="0.25">
      <c r="A732" s="72" t="s">
        <v>1534</v>
      </c>
      <c r="B732" s="72" t="s">
        <v>211</v>
      </c>
      <c r="C732" s="73">
        <v>128</v>
      </c>
      <c r="D732" s="73">
        <v>3319753.8424503761</v>
      </c>
      <c r="E732" s="72">
        <v>232382.7689715263</v>
      </c>
      <c r="F732" s="72" t="s">
        <v>70</v>
      </c>
      <c r="G732" s="72" t="s">
        <v>71</v>
      </c>
      <c r="H732" s="72" t="s">
        <v>72</v>
      </c>
    </row>
    <row r="733" spans="1:8" x14ac:dyDescent="0.25">
      <c r="A733" s="43" t="s">
        <v>812</v>
      </c>
      <c r="B733" s="43" t="s">
        <v>112</v>
      </c>
      <c r="C733" s="46">
        <v>128</v>
      </c>
      <c r="D733" s="46">
        <v>3609905.9062351566</v>
      </c>
      <c r="E733" s="43">
        <v>324891.53156116407</v>
      </c>
      <c r="F733" s="43" t="s">
        <v>70</v>
      </c>
      <c r="G733" s="43" t="s">
        <v>71</v>
      </c>
      <c r="H733" s="43" t="s">
        <v>72</v>
      </c>
    </row>
    <row r="734" spans="1:8" x14ac:dyDescent="0.25">
      <c r="A734" s="43" t="s">
        <v>2008</v>
      </c>
      <c r="B734" s="43" t="s">
        <v>73</v>
      </c>
      <c r="C734" s="46">
        <v>128</v>
      </c>
      <c r="D734" s="46">
        <v>3128134.599701717</v>
      </c>
      <c r="E734" s="43">
        <v>187688.07598210307</v>
      </c>
      <c r="F734" s="43" t="s">
        <v>70</v>
      </c>
      <c r="G734" s="43" t="s">
        <v>71</v>
      </c>
      <c r="H734" s="43" t="s">
        <v>72</v>
      </c>
    </row>
    <row r="735" spans="1:8" x14ac:dyDescent="0.25">
      <c r="A735" s="72" t="s">
        <v>813</v>
      </c>
      <c r="B735" s="72" t="s">
        <v>105</v>
      </c>
      <c r="C735" s="73">
        <v>128</v>
      </c>
      <c r="D735" s="73">
        <v>3609905.9062351566</v>
      </c>
      <c r="E735" s="72">
        <v>324891.53156116407</v>
      </c>
      <c r="F735" s="72" t="s">
        <v>70</v>
      </c>
      <c r="G735" s="72" t="s">
        <v>71</v>
      </c>
      <c r="H735" s="72" t="s">
        <v>72</v>
      </c>
    </row>
    <row r="736" spans="1:8" x14ac:dyDescent="0.25">
      <c r="A736" s="72" t="s">
        <v>2009</v>
      </c>
      <c r="B736" s="72" t="s">
        <v>105</v>
      </c>
      <c r="C736" s="73">
        <v>128</v>
      </c>
      <c r="D736" s="73">
        <v>3128134.599701717</v>
      </c>
      <c r="E736" s="72">
        <v>187688.07598210307</v>
      </c>
      <c r="F736" s="72" t="s">
        <v>70</v>
      </c>
      <c r="G736" s="72" t="s">
        <v>71</v>
      </c>
      <c r="H736" s="72" t="s">
        <v>72</v>
      </c>
    </row>
    <row r="737" spans="1:8" x14ac:dyDescent="0.25">
      <c r="A737" s="72" t="s">
        <v>2317</v>
      </c>
      <c r="B737" s="72" t="s">
        <v>73</v>
      </c>
      <c r="C737" s="73">
        <v>128</v>
      </c>
      <c r="D737" s="73">
        <v>3257921.8460996682</v>
      </c>
      <c r="E737" s="72">
        <v>162896.09230498341</v>
      </c>
      <c r="F737" s="72" t="s">
        <v>87</v>
      </c>
      <c r="G737" s="72" t="s">
        <v>71</v>
      </c>
      <c r="H737" s="72" t="s">
        <v>88</v>
      </c>
    </row>
    <row r="738" spans="1:8" x14ac:dyDescent="0.25">
      <c r="A738" s="43" t="s">
        <v>2318</v>
      </c>
      <c r="B738" s="43" t="s">
        <v>83</v>
      </c>
      <c r="C738" s="46">
        <v>128</v>
      </c>
      <c r="D738" s="46">
        <v>3257921.8460996682</v>
      </c>
      <c r="E738" s="43">
        <v>162896.09230498341</v>
      </c>
      <c r="F738" s="43" t="s">
        <v>87</v>
      </c>
      <c r="G738" s="43" t="s">
        <v>71</v>
      </c>
      <c r="H738" s="43" t="s">
        <v>88</v>
      </c>
    </row>
    <row r="739" spans="1:8" x14ac:dyDescent="0.25">
      <c r="A739" s="72" t="s">
        <v>561</v>
      </c>
      <c r="B739" s="72" t="s">
        <v>391</v>
      </c>
      <c r="C739" s="73">
        <v>128</v>
      </c>
      <c r="D739" s="73">
        <v>3728684.4521013275</v>
      </c>
      <c r="E739" s="72">
        <v>372868.44521013275</v>
      </c>
      <c r="F739" s="72" t="s">
        <v>70</v>
      </c>
      <c r="G739" s="72" t="s">
        <v>71</v>
      </c>
      <c r="H739" s="72" t="s">
        <v>72</v>
      </c>
    </row>
    <row r="740" spans="1:8" x14ac:dyDescent="0.25">
      <c r="A740" s="43" t="s">
        <v>814</v>
      </c>
      <c r="B740" s="43" t="s">
        <v>107</v>
      </c>
      <c r="C740" s="46">
        <v>128</v>
      </c>
      <c r="D740" s="46">
        <v>3609905.9062351566</v>
      </c>
      <c r="E740" s="43">
        <v>324891.53156116407</v>
      </c>
      <c r="F740" s="43" t="s">
        <v>70</v>
      </c>
      <c r="G740" s="43" t="s">
        <v>71</v>
      </c>
      <c r="H740" s="43" t="s">
        <v>72</v>
      </c>
    </row>
    <row r="741" spans="1:8" x14ac:dyDescent="0.25">
      <c r="A741" s="43" t="s">
        <v>1132</v>
      </c>
      <c r="B741" s="43" t="s">
        <v>323</v>
      </c>
      <c r="C741" s="46">
        <v>128</v>
      </c>
      <c r="D741" s="46">
        <v>3475841.3454381605</v>
      </c>
      <c r="E741" s="43">
        <v>278067.30763505283</v>
      </c>
      <c r="F741" s="43" t="s">
        <v>70</v>
      </c>
      <c r="G741" s="43" t="s">
        <v>71</v>
      </c>
      <c r="H741" s="43" t="s">
        <v>72</v>
      </c>
    </row>
    <row r="742" spans="1:8" x14ac:dyDescent="0.25">
      <c r="A742" s="72" t="s">
        <v>815</v>
      </c>
      <c r="B742" s="72" t="s">
        <v>102</v>
      </c>
      <c r="C742" s="73">
        <v>128</v>
      </c>
      <c r="D742" s="73">
        <v>3609905.9062351566</v>
      </c>
      <c r="E742" s="72">
        <v>324891.53156116407</v>
      </c>
      <c r="F742" s="72" t="s">
        <v>70</v>
      </c>
      <c r="G742" s="72" t="s">
        <v>71</v>
      </c>
      <c r="H742" s="72" t="s">
        <v>72</v>
      </c>
    </row>
    <row r="743" spans="1:8" x14ac:dyDescent="0.25">
      <c r="A743" s="43" t="s">
        <v>562</v>
      </c>
      <c r="B743" s="43" t="s">
        <v>102</v>
      </c>
      <c r="C743" s="46">
        <v>128</v>
      </c>
      <c r="D743" s="46">
        <v>3728684.4521013275</v>
      </c>
      <c r="E743" s="43">
        <v>372868.44521013275</v>
      </c>
      <c r="F743" s="43" t="s">
        <v>70</v>
      </c>
      <c r="G743" s="43" t="s">
        <v>71</v>
      </c>
      <c r="H743" s="43" t="s">
        <v>72</v>
      </c>
    </row>
    <row r="744" spans="1:8" x14ac:dyDescent="0.25">
      <c r="A744" s="72" t="s">
        <v>903</v>
      </c>
      <c r="B744" s="72" t="s">
        <v>257</v>
      </c>
      <c r="C744" s="73">
        <v>127</v>
      </c>
      <c r="D744" s="73">
        <v>3096601.7305308059</v>
      </c>
      <c r="E744" s="72">
        <v>309660.17305308062</v>
      </c>
      <c r="F744" s="72" t="s">
        <v>106</v>
      </c>
      <c r="G744" s="72" t="s">
        <v>71</v>
      </c>
      <c r="H744" s="72" t="s">
        <v>72</v>
      </c>
    </row>
    <row r="745" spans="1:8" x14ac:dyDescent="0.25">
      <c r="A745" s="72" t="s">
        <v>1443</v>
      </c>
      <c r="B745" s="72" t="s">
        <v>160</v>
      </c>
      <c r="C745" s="73">
        <v>127</v>
      </c>
      <c r="D745" s="73">
        <v>3010127.5267253132</v>
      </c>
      <c r="E745" s="72">
        <v>240810.20213802505</v>
      </c>
      <c r="F745" s="72" t="s">
        <v>106</v>
      </c>
      <c r="G745" s="72" t="s">
        <v>71</v>
      </c>
      <c r="H745" s="72" t="s">
        <v>72</v>
      </c>
    </row>
    <row r="746" spans="1:8" x14ac:dyDescent="0.25">
      <c r="A746" s="72" t="s">
        <v>1149</v>
      </c>
      <c r="B746" s="72" t="s">
        <v>97</v>
      </c>
      <c r="C746" s="73">
        <v>127</v>
      </c>
      <c r="D746" s="73">
        <v>3450559.1772240675</v>
      </c>
      <c r="E746" s="72">
        <v>276044.73417792539</v>
      </c>
      <c r="F746" s="72" t="s">
        <v>70</v>
      </c>
      <c r="G746" s="72" t="s">
        <v>71</v>
      </c>
      <c r="H746" s="72" t="s">
        <v>72</v>
      </c>
    </row>
    <row r="747" spans="1:8" x14ac:dyDescent="0.25">
      <c r="A747" s="43" t="s">
        <v>2567</v>
      </c>
      <c r="B747" s="43" t="s">
        <v>92</v>
      </c>
      <c r="C747" s="46">
        <v>127</v>
      </c>
      <c r="D747" s="46">
        <v>2884817.6354312268</v>
      </c>
      <c r="E747" s="43">
        <v>144240.88177156134</v>
      </c>
      <c r="F747" s="43" t="s">
        <v>78</v>
      </c>
      <c r="G747" s="43" t="s">
        <v>71</v>
      </c>
      <c r="H747" s="43" t="s">
        <v>72</v>
      </c>
    </row>
    <row r="748" spans="1:8" x14ac:dyDescent="0.25">
      <c r="A748" s="43" t="s">
        <v>2599</v>
      </c>
      <c r="B748" s="43" t="s">
        <v>162</v>
      </c>
      <c r="C748" s="46">
        <v>127</v>
      </c>
      <c r="D748" s="46">
        <v>2844115.1439558053</v>
      </c>
      <c r="E748" s="43">
        <v>142205.75719779028</v>
      </c>
      <c r="F748" s="43" t="s">
        <v>70</v>
      </c>
      <c r="G748" s="43" t="s">
        <v>71</v>
      </c>
      <c r="H748" s="43" t="s">
        <v>72</v>
      </c>
    </row>
    <row r="749" spans="1:8" x14ac:dyDescent="0.25">
      <c r="A749" s="43" t="s">
        <v>568</v>
      </c>
      <c r="B749" s="43" t="s">
        <v>162</v>
      </c>
      <c r="C749" s="46">
        <v>127</v>
      </c>
      <c r="D749" s="46">
        <v>3701426.9471164285</v>
      </c>
      <c r="E749" s="43">
        <v>370142.69471164286</v>
      </c>
      <c r="F749" s="43" t="s">
        <v>70</v>
      </c>
      <c r="G749" s="43" t="s">
        <v>71</v>
      </c>
      <c r="H749" s="43" t="s">
        <v>72</v>
      </c>
    </row>
    <row r="750" spans="1:8" x14ac:dyDescent="0.25">
      <c r="A750" s="43" t="s">
        <v>826</v>
      </c>
      <c r="B750" s="43" t="s">
        <v>102</v>
      </c>
      <c r="C750" s="46">
        <v>127</v>
      </c>
      <c r="D750" s="46">
        <v>3583576.3586398372</v>
      </c>
      <c r="E750" s="43">
        <v>322521.87227758532</v>
      </c>
      <c r="F750" s="43" t="s">
        <v>70</v>
      </c>
      <c r="G750" s="43" t="s">
        <v>71</v>
      </c>
      <c r="H750" s="43" t="s">
        <v>72</v>
      </c>
    </row>
    <row r="751" spans="1:8" x14ac:dyDescent="0.25">
      <c r="A751" s="43" t="s">
        <v>1845</v>
      </c>
      <c r="B751" s="43" t="s">
        <v>1050</v>
      </c>
      <c r="C751" s="46">
        <v>126</v>
      </c>
      <c r="D751" s="46">
        <v>3371137.3681087615</v>
      </c>
      <c r="E751" s="43">
        <v>202268.24208652569</v>
      </c>
      <c r="F751" s="43" t="s">
        <v>87</v>
      </c>
      <c r="G751" s="43" t="s">
        <v>71</v>
      </c>
      <c r="H751" s="43" t="s">
        <v>88</v>
      </c>
    </row>
    <row r="752" spans="1:8" x14ac:dyDescent="0.25">
      <c r="A752" s="72" t="s">
        <v>1846</v>
      </c>
      <c r="B752" s="72" t="s">
        <v>204</v>
      </c>
      <c r="C752" s="73">
        <v>126</v>
      </c>
      <c r="D752" s="73">
        <v>3371137.3681087615</v>
      </c>
      <c r="E752" s="72">
        <v>202268.24208652569</v>
      </c>
      <c r="F752" s="72" t="s">
        <v>87</v>
      </c>
      <c r="G752" s="72" t="s">
        <v>71</v>
      </c>
      <c r="H752" s="72" t="s">
        <v>88</v>
      </c>
    </row>
    <row r="753" spans="1:8" x14ac:dyDescent="0.25">
      <c r="A753" s="43" t="s">
        <v>1163</v>
      </c>
      <c r="B753" s="43" t="s">
        <v>74</v>
      </c>
      <c r="C753" s="46">
        <v>126</v>
      </c>
      <c r="D753" s="46">
        <v>3425249.2348086243</v>
      </c>
      <c r="E753" s="43">
        <v>274019.93878468993</v>
      </c>
      <c r="F753" s="43" t="s">
        <v>70</v>
      </c>
      <c r="G753" s="43" t="s">
        <v>71</v>
      </c>
      <c r="H753" s="43" t="s">
        <v>72</v>
      </c>
    </row>
    <row r="754" spans="1:8" x14ac:dyDescent="0.25">
      <c r="A754" s="43" t="s">
        <v>2040</v>
      </c>
      <c r="B754" s="43" t="s">
        <v>211</v>
      </c>
      <c r="C754" s="46">
        <v>126</v>
      </c>
      <c r="D754" s="46">
        <v>3082975.4069743133</v>
      </c>
      <c r="E754" s="43">
        <v>184978.52441845884</v>
      </c>
      <c r="F754" s="43" t="s">
        <v>70</v>
      </c>
      <c r="G754" s="43" t="s">
        <v>71</v>
      </c>
      <c r="H754" s="43" t="s">
        <v>72</v>
      </c>
    </row>
    <row r="755" spans="1:8" x14ac:dyDescent="0.25">
      <c r="A755" s="72" t="s">
        <v>1411</v>
      </c>
      <c r="B755" s="72" t="s">
        <v>101</v>
      </c>
      <c r="C755" s="73">
        <v>126</v>
      </c>
      <c r="D755" s="73">
        <v>3497858.0437307348</v>
      </c>
      <c r="E755" s="72">
        <v>244850.06306115142</v>
      </c>
      <c r="F755" s="72" t="s">
        <v>87</v>
      </c>
      <c r="G755" s="72" t="s">
        <v>71</v>
      </c>
      <c r="H755" s="72" t="s">
        <v>88</v>
      </c>
    </row>
    <row r="756" spans="1:8" x14ac:dyDescent="0.25">
      <c r="A756" s="43" t="s">
        <v>1527</v>
      </c>
      <c r="B756" s="43" t="s">
        <v>100</v>
      </c>
      <c r="C756" s="46">
        <v>126</v>
      </c>
      <c r="D756" s="46">
        <v>3323854.2514471463</v>
      </c>
      <c r="E756" s="43">
        <v>232669.7976013002</v>
      </c>
      <c r="F756" s="43" t="s">
        <v>78</v>
      </c>
      <c r="G756" s="43" t="s">
        <v>71</v>
      </c>
      <c r="H756" s="43" t="s">
        <v>72</v>
      </c>
    </row>
    <row r="757" spans="1:8" x14ac:dyDescent="0.25">
      <c r="A757" s="43" t="s">
        <v>1555</v>
      </c>
      <c r="B757" s="43" t="s">
        <v>160</v>
      </c>
      <c r="C757" s="46">
        <v>126</v>
      </c>
      <c r="D757" s="46">
        <v>3271600.5990550243</v>
      </c>
      <c r="E757" s="43">
        <v>229012.04193385167</v>
      </c>
      <c r="F757" s="43" t="s">
        <v>70</v>
      </c>
      <c r="G757" s="43" t="s">
        <v>71</v>
      </c>
      <c r="H757" s="43" t="s">
        <v>72</v>
      </c>
    </row>
    <row r="758" spans="1:8" x14ac:dyDescent="0.25">
      <c r="A758" s="72" t="s">
        <v>2041</v>
      </c>
      <c r="B758" s="72" t="s">
        <v>243</v>
      </c>
      <c r="C758" s="73">
        <v>126</v>
      </c>
      <c r="D758" s="73">
        <v>3082975.4069743133</v>
      </c>
      <c r="E758" s="72">
        <v>184978.52441845884</v>
      </c>
      <c r="F758" s="72" t="s">
        <v>70</v>
      </c>
      <c r="G758" s="72" t="s">
        <v>71</v>
      </c>
      <c r="H758" s="72" t="s">
        <v>72</v>
      </c>
    </row>
    <row r="759" spans="1:8" x14ac:dyDescent="0.25">
      <c r="A759" s="43" t="s">
        <v>1847</v>
      </c>
      <c r="B759" s="43" t="s">
        <v>77</v>
      </c>
      <c r="C759" s="46">
        <v>126</v>
      </c>
      <c r="D759" s="46">
        <v>3371137.3681087615</v>
      </c>
      <c r="E759" s="43">
        <v>202268.24208652569</v>
      </c>
      <c r="F759" s="43" t="s">
        <v>87</v>
      </c>
      <c r="G759" s="43" t="s">
        <v>71</v>
      </c>
      <c r="H759" s="43" t="s">
        <v>88</v>
      </c>
    </row>
    <row r="760" spans="1:8" x14ac:dyDescent="0.25">
      <c r="A760" s="72" t="s">
        <v>432</v>
      </c>
      <c r="B760" s="72" t="s">
        <v>73</v>
      </c>
      <c r="C760" s="73">
        <v>126</v>
      </c>
      <c r="D760" s="73">
        <v>3787082.068560726</v>
      </c>
      <c r="E760" s="72">
        <v>416579.02754167991</v>
      </c>
      <c r="F760" s="72" t="s">
        <v>84</v>
      </c>
      <c r="G760" s="72" t="s">
        <v>71</v>
      </c>
      <c r="H760" s="72" t="s">
        <v>72</v>
      </c>
    </row>
    <row r="761" spans="1:8" x14ac:dyDescent="0.25">
      <c r="A761" s="72" t="s">
        <v>2618</v>
      </c>
      <c r="B761" s="72" t="s">
        <v>103</v>
      </c>
      <c r="C761" s="73">
        <v>126</v>
      </c>
      <c r="D761" s="73">
        <v>2823580.3514086166</v>
      </c>
      <c r="E761" s="72">
        <v>141179.01757043085</v>
      </c>
      <c r="F761" s="72" t="s">
        <v>70</v>
      </c>
      <c r="G761" s="72" t="s">
        <v>71</v>
      </c>
      <c r="H761" s="72" t="s">
        <v>72</v>
      </c>
    </row>
    <row r="762" spans="1:8" x14ac:dyDescent="0.25">
      <c r="A762" s="72" t="s">
        <v>1164</v>
      </c>
      <c r="B762" s="72" t="s">
        <v>105</v>
      </c>
      <c r="C762" s="73">
        <v>126</v>
      </c>
      <c r="D762" s="73">
        <v>3425249.2348086243</v>
      </c>
      <c r="E762" s="72">
        <v>274019.93878468993</v>
      </c>
      <c r="F762" s="72" t="s">
        <v>70</v>
      </c>
      <c r="G762" s="72" t="s">
        <v>71</v>
      </c>
      <c r="H762" s="72" t="s">
        <v>72</v>
      </c>
    </row>
    <row r="763" spans="1:8" x14ac:dyDescent="0.25">
      <c r="A763" s="43" t="s">
        <v>2042</v>
      </c>
      <c r="B763" s="43" t="s">
        <v>323</v>
      </c>
      <c r="C763" s="46">
        <v>126</v>
      </c>
      <c r="D763" s="46">
        <v>3082975.4069743133</v>
      </c>
      <c r="E763" s="43">
        <v>184978.52441845884</v>
      </c>
      <c r="F763" s="43" t="s">
        <v>70</v>
      </c>
      <c r="G763" s="43" t="s">
        <v>71</v>
      </c>
      <c r="H763" s="43" t="s">
        <v>72</v>
      </c>
    </row>
    <row r="764" spans="1:8" x14ac:dyDescent="0.25">
      <c r="A764" s="72" t="s">
        <v>1556</v>
      </c>
      <c r="B764" s="72" t="s">
        <v>211</v>
      </c>
      <c r="C764" s="73">
        <v>126</v>
      </c>
      <c r="D764" s="73">
        <v>3271600.5990550243</v>
      </c>
      <c r="E764" s="72">
        <v>229012.04193385167</v>
      </c>
      <c r="F764" s="72" t="s">
        <v>70</v>
      </c>
      <c r="G764" s="72" t="s">
        <v>71</v>
      </c>
      <c r="H764" s="72" t="s">
        <v>72</v>
      </c>
    </row>
    <row r="765" spans="1:8" x14ac:dyDescent="0.25">
      <c r="A765" s="43" t="s">
        <v>1165</v>
      </c>
      <c r="B765" s="43" t="s">
        <v>162</v>
      </c>
      <c r="C765" s="46">
        <v>126</v>
      </c>
      <c r="D765" s="46">
        <v>3425249.2348086243</v>
      </c>
      <c r="E765" s="43">
        <v>274019.93878468993</v>
      </c>
      <c r="F765" s="43" t="s">
        <v>70</v>
      </c>
      <c r="G765" s="43" t="s">
        <v>71</v>
      </c>
      <c r="H765" s="43" t="s">
        <v>72</v>
      </c>
    </row>
    <row r="766" spans="1:8" x14ac:dyDescent="0.25">
      <c r="A766" s="72" t="s">
        <v>1166</v>
      </c>
      <c r="B766" s="72" t="s">
        <v>73</v>
      </c>
      <c r="C766" s="73">
        <v>126</v>
      </c>
      <c r="D766" s="73">
        <v>3425249.2348086243</v>
      </c>
      <c r="E766" s="72">
        <v>274019.93878468993</v>
      </c>
      <c r="F766" s="72" t="s">
        <v>70</v>
      </c>
      <c r="G766" s="72" t="s">
        <v>71</v>
      </c>
      <c r="H766" s="72" t="s">
        <v>72</v>
      </c>
    </row>
    <row r="767" spans="1:8" x14ac:dyDescent="0.25">
      <c r="A767" s="72" t="s">
        <v>2349</v>
      </c>
      <c r="B767" s="72" t="s">
        <v>202</v>
      </c>
      <c r="C767" s="73">
        <v>126</v>
      </c>
      <c r="D767" s="73">
        <v>3210122.2684149519</v>
      </c>
      <c r="E767" s="72">
        <v>160506.1134207476</v>
      </c>
      <c r="F767" s="72" t="s">
        <v>87</v>
      </c>
      <c r="G767" s="72" t="s">
        <v>71</v>
      </c>
      <c r="H767" s="72" t="s">
        <v>88</v>
      </c>
    </row>
    <row r="768" spans="1:8" x14ac:dyDescent="0.25">
      <c r="A768" s="72" t="s">
        <v>389</v>
      </c>
      <c r="B768" s="72" t="s">
        <v>75</v>
      </c>
      <c r="C768" s="73">
        <v>125</v>
      </c>
      <c r="D768" s="73">
        <v>3915624.8393708654</v>
      </c>
      <c r="E768" s="72">
        <v>469874.98072450393</v>
      </c>
      <c r="F768" s="72" t="s">
        <v>78</v>
      </c>
      <c r="G768" s="72" t="s">
        <v>71</v>
      </c>
      <c r="H768" s="72" t="s">
        <v>72</v>
      </c>
    </row>
    <row r="769" spans="1:8" x14ac:dyDescent="0.25">
      <c r="A769" s="43" t="s">
        <v>2637</v>
      </c>
      <c r="B769" s="43" t="s">
        <v>97</v>
      </c>
      <c r="C769" s="46">
        <v>125</v>
      </c>
      <c r="D769" s="46">
        <v>2803017.7453008927</v>
      </c>
      <c r="E769" s="43">
        <v>140150.88726504464</v>
      </c>
      <c r="F769" s="43" t="s">
        <v>70</v>
      </c>
      <c r="G769" s="43" t="s">
        <v>71</v>
      </c>
      <c r="H769" s="43" t="s">
        <v>72</v>
      </c>
    </row>
    <row r="770" spans="1:8" x14ac:dyDescent="0.25">
      <c r="A770" s="72" t="s">
        <v>1576</v>
      </c>
      <c r="B770" s="72" t="s">
        <v>132</v>
      </c>
      <c r="C770" s="73">
        <v>125</v>
      </c>
      <c r="D770" s="73">
        <v>3247482.276696139</v>
      </c>
      <c r="E770" s="72">
        <v>227323.75936872972</v>
      </c>
      <c r="F770" s="72" t="s">
        <v>70</v>
      </c>
      <c r="G770" s="72" t="s">
        <v>71</v>
      </c>
      <c r="H770" s="72" t="s">
        <v>72</v>
      </c>
    </row>
    <row r="771" spans="1:8" x14ac:dyDescent="0.25">
      <c r="A771" s="43" t="s">
        <v>1875</v>
      </c>
      <c r="B771" s="43" t="s">
        <v>124</v>
      </c>
      <c r="C771" s="46">
        <v>125</v>
      </c>
      <c r="D771" s="46">
        <v>3345924.5399483191</v>
      </c>
      <c r="E771" s="43">
        <v>200755.47239689913</v>
      </c>
      <c r="F771" s="43" t="s">
        <v>87</v>
      </c>
      <c r="G771" s="43" t="s">
        <v>71</v>
      </c>
      <c r="H771" s="43" t="s">
        <v>88</v>
      </c>
    </row>
    <row r="772" spans="1:8" x14ac:dyDescent="0.25">
      <c r="A772" s="43" t="s">
        <v>552</v>
      </c>
      <c r="B772" s="43" t="s">
        <v>257</v>
      </c>
      <c r="C772" s="46">
        <v>125</v>
      </c>
      <c r="D772" s="46">
        <v>3120806.8280256526</v>
      </c>
      <c r="E772" s="43">
        <v>374496.81936307828</v>
      </c>
      <c r="F772" s="43" t="s">
        <v>106</v>
      </c>
      <c r="G772" s="43" t="s">
        <v>71</v>
      </c>
      <c r="H772" s="43" t="s">
        <v>72</v>
      </c>
    </row>
    <row r="773" spans="1:8" x14ac:dyDescent="0.25">
      <c r="A773" s="72" t="s">
        <v>553</v>
      </c>
      <c r="B773" s="72" t="s">
        <v>554</v>
      </c>
      <c r="C773" s="73">
        <v>125</v>
      </c>
      <c r="D773" s="73">
        <v>3120806.8280256526</v>
      </c>
      <c r="E773" s="72">
        <v>374496.81936307828</v>
      </c>
      <c r="F773" s="72" t="s">
        <v>106</v>
      </c>
      <c r="G773" s="72" t="s">
        <v>71</v>
      </c>
      <c r="H773" s="72" t="s">
        <v>72</v>
      </c>
    </row>
    <row r="774" spans="1:8" x14ac:dyDescent="0.25">
      <c r="A774" s="43" t="s">
        <v>349</v>
      </c>
      <c r="B774" s="43" t="s">
        <v>92</v>
      </c>
      <c r="C774" s="46">
        <v>125</v>
      </c>
      <c r="D774" s="46">
        <v>4092860.2289683903</v>
      </c>
      <c r="E774" s="43">
        <v>573000.43205557461</v>
      </c>
      <c r="F774" s="43" t="s">
        <v>78</v>
      </c>
      <c r="G774" s="43" t="s">
        <v>71</v>
      </c>
      <c r="H774" s="43" t="s">
        <v>72</v>
      </c>
    </row>
    <row r="775" spans="1:8" x14ac:dyDescent="0.25">
      <c r="A775" s="72" t="s">
        <v>1176</v>
      </c>
      <c r="B775" s="72" t="s">
        <v>112</v>
      </c>
      <c r="C775" s="73">
        <v>125</v>
      </c>
      <c r="D775" s="73">
        <v>3399911.4788326467</v>
      </c>
      <c r="E775" s="72">
        <v>271992.91830661177</v>
      </c>
      <c r="F775" s="72" t="s">
        <v>70</v>
      </c>
      <c r="G775" s="72" t="s">
        <v>71</v>
      </c>
      <c r="H775" s="72" t="s">
        <v>72</v>
      </c>
    </row>
    <row r="776" spans="1:8" x14ac:dyDescent="0.25">
      <c r="A776" s="43" t="s">
        <v>2261</v>
      </c>
      <c r="B776" s="43" t="s">
        <v>83</v>
      </c>
      <c r="C776" s="46">
        <v>125</v>
      </c>
      <c r="D776" s="46">
        <v>2779478.2139048618</v>
      </c>
      <c r="E776" s="43">
        <v>166768.69283429169</v>
      </c>
      <c r="F776" s="43" t="s">
        <v>84</v>
      </c>
      <c r="G776" s="43" t="s">
        <v>71</v>
      </c>
      <c r="H776" s="43" t="s">
        <v>72</v>
      </c>
    </row>
    <row r="777" spans="1:8" x14ac:dyDescent="0.25">
      <c r="A777" s="43" t="s">
        <v>896</v>
      </c>
      <c r="B777" s="43" t="s">
        <v>73</v>
      </c>
      <c r="C777" s="46">
        <v>125</v>
      </c>
      <c r="D777" s="46">
        <v>3452289.5446589096</v>
      </c>
      <c r="E777" s="43">
        <v>310706.05901930184</v>
      </c>
      <c r="F777" s="43" t="s">
        <v>84</v>
      </c>
      <c r="G777" s="43" t="s">
        <v>71</v>
      </c>
      <c r="H777" s="43" t="s">
        <v>72</v>
      </c>
    </row>
    <row r="778" spans="1:8" x14ac:dyDescent="0.25">
      <c r="A778" s="72" t="s">
        <v>2638</v>
      </c>
      <c r="B778" s="72" t="s">
        <v>160</v>
      </c>
      <c r="C778" s="73">
        <v>125</v>
      </c>
      <c r="D778" s="73">
        <v>2803017.7453008927</v>
      </c>
      <c r="E778" s="72">
        <v>140150.88726504464</v>
      </c>
      <c r="F778" s="72" t="s">
        <v>70</v>
      </c>
      <c r="G778" s="72" t="s">
        <v>71</v>
      </c>
      <c r="H778" s="72" t="s">
        <v>72</v>
      </c>
    </row>
    <row r="779" spans="1:8" x14ac:dyDescent="0.25">
      <c r="A779" s="43" t="s">
        <v>2639</v>
      </c>
      <c r="B779" s="43" t="s">
        <v>102</v>
      </c>
      <c r="C779" s="46">
        <v>125</v>
      </c>
      <c r="D779" s="46">
        <v>2803017.7453008927</v>
      </c>
      <c r="E779" s="43">
        <v>140150.88726504464</v>
      </c>
      <c r="F779" s="43" t="s">
        <v>70</v>
      </c>
      <c r="G779" s="43" t="s">
        <v>71</v>
      </c>
      <c r="H779" s="43" t="s">
        <v>72</v>
      </c>
    </row>
    <row r="780" spans="1:8" x14ac:dyDescent="0.25">
      <c r="A780" s="43" t="s">
        <v>1177</v>
      </c>
      <c r="B780" s="43" t="s">
        <v>179</v>
      </c>
      <c r="C780" s="46">
        <v>125</v>
      </c>
      <c r="D780" s="46">
        <v>3399911.4788326467</v>
      </c>
      <c r="E780" s="43">
        <v>271992.91830661177</v>
      </c>
      <c r="F780" s="43" t="s">
        <v>70</v>
      </c>
      <c r="G780" s="43" t="s">
        <v>71</v>
      </c>
      <c r="H780" s="43" t="s">
        <v>72</v>
      </c>
    </row>
    <row r="781" spans="1:8" x14ac:dyDescent="0.25">
      <c r="A781" s="43" t="s">
        <v>603</v>
      </c>
      <c r="B781" s="43" t="s">
        <v>265</v>
      </c>
      <c r="C781" s="46">
        <v>125</v>
      </c>
      <c r="D781" s="46">
        <v>3646828.5751833962</v>
      </c>
      <c r="E781" s="43">
        <v>364682.85751833965</v>
      </c>
      <c r="F781" s="43" t="s">
        <v>70</v>
      </c>
      <c r="G781" s="43" t="s">
        <v>71</v>
      </c>
      <c r="H781" s="43" t="s">
        <v>72</v>
      </c>
    </row>
    <row r="782" spans="1:8" x14ac:dyDescent="0.25">
      <c r="A782" s="72" t="s">
        <v>851</v>
      </c>
      <c r="B782" s="72" t="s">
        <v>105</v>
      </c>
      <c r="C782" s="73">
        <v>125</v>
      </c>
      <c r="D782" s="73">
        <v>3530833.9014859637</v>
      </c>
      <c r="E782" s="72">
        <v>317775.05113373674</v>
      </c>
      <c r="F782" s="72" t="s">
        <v>70</v>
      </c>
      <c r="G782" s="72" t="s">
        <v>71</v>
      </c>
      <c r="H782" s="72" t="s">
        <v>72</v>
      </c>
    </row>
    <row r="783" spans="1:8" x14ac:dyDescent="0.25">
      <c r="A783" s="43" t="s">
        <v>1827</v>
      </c>
      <c r="B783" s="43" t="s">
        <v>151</v>
      </c>
      <c r="C783" s="46">
        <v>125</v>
      </c>
      <c r="D783" s="46">
        <v>2914759.8695354676</v>
      </c>
      <c r="E783" s="43">
        <v>204033.19086748271</v>
      </c>
      <c r="F783" s="43" t="s">
        <v>106</v>
      </c>
      <c r="G783" s="43" t="s">
        <v>71</v>
      </c>
      <c r="H783" s="43" t="s">
        <v>72</v>
      </c>
    </row>
    <row r="784" spans="1:8" x14ac:dyDescent="0.25">
      <c r="A784" s="72" t="s">
        <v>604</v>
      </c>
      <c r="B784" s="72" t="s">
        <v>108</v>
      </c>
      <c r="C784" s="73">
        <v>125</v>
      </c>
      <c r="D784" s="73">
        <v>3646828.5751833962</v>
      </c>
      <c r="E784" s="72">
        <v>364682.85751833965</v>
      </c>
      <c r="F784" s="72" t="s">
        <v>70</v>
      </c>
      <c r="G784" s="72" t="s">
        <v>71</v>
      </c>
      <c r="H784" s="72" t="s">
        <v>72</v>
      </c>
    </row>
    <row r="785" spans="1:8" x14ac:dyDescent="0.25">
      <c r="A785" s="72" t="s">
        <v>715</v>
      </c>
      <c r="B785" s="72" t="s">
        <v>291</v>
      </c>
      <c r="C785" s="73">
        <v>125</v>
      </c>
      <c r="D785" s="73">
        <v>3087616.9075095169</v>
      </c>
      <c r="E785" s="72">
        <v>339637.85982604692</v>
      </c>
      <c r="F785" s="72" t="s">
        <v>106</v>
      </c>
      <c r="G785" s="72" t="s">
        <v>71</v>
      </c>
      <c r="H785" s="72" t="s">
        <v>72</v>
      </c>
    </row>
    <row r="786" spans="1:8" x14ac:dyDescent="0.25">
      <c r="A786" s="72" t="s">
        <v>3778</v>
      </c>
      <c r="B786" s="72" t="s">
        <v>127</v>
      </c>
      <c r="C786" s="73">
        <v>125</v>
      </c>
      <c r="D786" s="73">
        <v>2533395.1045050314</v>
      </c>
      <c r="E786" s="72">
        <v>76001.853135150959</v>
      </c>
      <c r="F786" s="72" t="s">
        <v>106</v>
      </c>
      <c r="G786" s="72" t="s">
        <v>71</v>
      </c>
      <c r="H786" s="72" t="s">
        <v>72</v>
      </c>
    </row>
    <row r="787" spans="1:8" x14ac:dyDescent="0.25">
      <c r="A787" s="43" t="s">
        <v>605</v>
      </c>
      <c r="B787" s="43" t="s">
        <v>102</v>
      </c>
      <c r="C787" s="46">
        <v>125</v>
      </c>
      <c r="D787" s="46">
        <v>3646828.5751833962</v>
      </c>
      <c r="E787" s="43">
        <v>364682.85751833965</v>
      </c>
      <c r="F787" s="43" t="s">
        <v>70</v>
      </c>
      <c r="G787" s="43" t="s">
        <v>71</v>
      </c>
      <c r="H787" s="43" t="s">
        <v>72</v>
      </c>
    </row>
    <row r="788" spans="1:8" x14ac:dyDescent="0.25">
      <c r="A788" s="72" t="s">
        <v>776</v>
      </c>
      <c r="B788" s="72" t="s">
        <v>75</v>
      </c>
      <c r="C788" s="73">
        <v>125</v>
      </c>
      <c r="D788" s="73">
        <v>3668299.0598631818</v>
      </c>
      <c r="E788" s="72">
        <v>330146.91538768634</v>
      </c>
      <c r="F788" s="72" t="s">
        <v>87</v>
      </c>
      <c r="G788" s="72" t="s">
        <v>71</v>
      </c>
      <c r="H788" s="72" t="s">
        <v>88</v>
      </c>
    </row>
    <row r="789" spans="1:8" x14ac:dyDescent="0.25">
      <c r="A789" s="43" t="s">
        <v>2071</v>
      </c>
      <c r="B789" s="43" t="s">
        <v>102</v>
      </c>
      <c r="C789" s="46">
        <v>124</v>
      </c>
      <c r="D789" s="46">
        <v>3037704.9599557109</v>
      </c>
      <c r="E789" s="43">
        <v>182262.29759734269</v>
      </c>
      <c r="F789" s="43" t="s">
        <v>70</v>
      </c>
      <c r="G789" s="43" t="s">
        <v>71</v>
      </c>
      <c r="H789" s="43" t="s">
        <v>72</v>
      </c>
    </row>
    <row r="790" spans="1:8" x14ac:dyDescent="0.25">
      <c r="A790" s="43" t="s">
        <v>623</v>
      </c>
      <c r="B790" s="43" t="s">
        <v>176</v>
      </c>
      <c r="C790" s="46">
        <v>124</v>
      </c>
      <c r="D790" s="46">
        <v>3619487.6294678329</v>
      </c>
      <c r="E790" s="43">
        <v>361948.76294678333</v>
      </c>
      <c r="F790" s="43" t="s">
        <v>70</v>
      </c>
      <c r="G790" s="43" t="s">
        <v>71</v>
      </c>
      <c r="H790" s="43" t="s">
        <v>72</v>
      </c>
    </row>
    <row r="791" spans="1:8" x14ac:dyDescent="0.25">
      <c r="A791" s="43" t="s">
        <v>734</v>
      </c>
      <c r="B791" s="43" t="s">
        <v>149</v>
      </c>
      <c r="C791" s="46">
        <v>124</v>
      </c>
      <c r="D791" s="46">
        <v>3064652.9577806792</v>
      </c>
      <c r="E791" s="43">
        <v>337111.82535587478</v>
      </c>
      <c r="F791" s="43" t="s">
        <v>106</v>
      </c>
      <c r="G791" s="43" t="s">
        <v>71</v>
      </c>
      <c r="H791" s="43" t="s">
        <v>72</v>
      </c>
    </row>
    <row r="792" spans="1:8" x14ac:dyDescent="0.25">
      <c r="A792" s="72" t="s">
        <v>390</v>
      </c>
      <c r="B792" s="72" t="s">
        <v>383</v>
      </c>
      <c r="C792" s="73">
        <v>124</v>
      </c>
      <c r="D792" s="73">
        <v>3886377.9313375014</v>
      </c>
      <c r="E792" s="72">
        <v>466365.35176050029</v>
      </c>
      <c r="F792" s="72" t="s">
        <v>78</v>
      </c>
      <c r="G792" s="72" t="s">
        <v>71</v>
      </c>
      <c r="H792" s="72" t="s">
        <v>72</v>
      </c>
    </row>
    <row r="793" spans="1:8" x14ac:dyDescent="0.25">
      <c r="A793" s="72" t="s">
        <v>1840</v>
      </c>
      <c r="B793" s="72" t="s">
        <v>77</v>
      </c>
      <c r="C793" s="73">
        <v>124</v>
      </c>
      <c r="D793" s="73">
        <v>2893178.7761104228</v>
      </c>
      <c r="E793" s="72">
        <v>202522.51432772959</v>
      </c>
      <c r="F793" s="72" t="s">
        <v>106</v>
      </c>
      <c r="G793" s="72" t="s">
        <v>71</v>
      </c>
      <c r="H793" s="72" t="s">
        <v>72</v>
      </c>
    </row>
    <row r="794" spans="1:8" x14ac:dyDescent="0.25">
      <c r="A794" s="72" t="s">
        <v>1550</v>
      </c>
      <c r="B794" s="72" t="s">
        <v>77</v>
      </c>
      <c r="C794" s="73">
        <v>124</v>
      </c>
      <c r="D794" s="73">
        <v>3275248.6857350902</v>
      </c>
      <c r="E794" s="72">
        <v>229267.40800145629</v>
      </c>
      <c r="F794" s="72" t="s">
        <v>78</v>
      </c>
      <c r="G794" s="72" t="s">
        <v>71</v>
      </c>
      <c r="H794" s="72" t="s">
        <v>72</v>
      </c>
    </row>
    <row r="795" spans="1:8" x14ac:dyDescent="0.25">
      <c r="A795" s="43" t="s">
        <v>2679</v>
      </c>
      <c r="B795" s="43" t="s">
        <v>257</v>
      </c>
      <c r="C795" s="46">
        <v>124</v>
      </c>
      <c r="D795" s="46">
        <v>2759679.6658554487</v>
      </c>
      <c r="E795" s="43">
        <v>137983.98329277243</v>
      </c>
      <c r="F795" s="43" t="s">
        <v>106</v>
      </c>
      <c r="G795" s="43" t="s">
        <v>71</v>
      </c>
      <c r="H795" s="43" t="s">
        <v>72</v>
      </c>
    </row>
    <row r="796" spans="1:8" x14ac:dyDescent="0.25">
      <c r="A796" s="72" t="s">
        <v>1200</v>
      </c>
      <c r="B796" s="72" t="s">
        <v>97</v>
      </c>
      <c r="C796" s="73">
        <v>124</v>
      </c>
      <c r="D796" s="73">
        <v>3374545.8698878898</v>
      </c>
      <c r="E796" s="72">
        <v>269963.66959103121</v>
      </c>
      <c r="F796" s="72" t="s">
        <v>70</v>
      </c>
      <c r="G796" s="72" t="s">
        <v>71</v>
      </c>
      <c r="H796" s="72" t="s">
        <v>72</v>
      </c>
    </row>
    <row r="797" spans="1:8" x14ac:dyDescent="0.25">
      <c r="A797" s="43" t="s">
        <v>876</v>
      </c>
      <c r="B797" s="43" t="s">
        <v>112</v>
      </c>
      <c r="C797" s="46">
        <v>124</v>
      </c>
      <c r="D797" s="46">
        <v>3504420.91315998</v>
      </c>
      <c r="E797" s="43">
        <v>315397.88218439819</v>
      </c>
      <c r="F797" s="43" t="s">
        <v>70</v>
      </c>
      <c r="G797" s="43" t="s">
        <v>71</v>
      </c>
      <c r="H797" s="43" t="s">
        <v>72</v>
      </c>
    </row>
    <row r="798" spans="1:8" x14ac:dyDescent="0.25">
      <c r="A798" s="43" t="s">
        <v>351</v>
      </c>
      <c r="B798" s="43" t="s">
        <v>75</v>
      </c>
      <c r="C798" s="46">
        <v>124</v>
      </c>
      <c r="D798" s="46">
        <v>4062195.4378182455</v>
      </c>
      <c r="E798" s="43">
        <v>568707.36129455431</v>
      </c>
      <c r="F798" s="43" t="s">
        <v>78</v>
      </c>
      <c r="G798" s="43" t="s">
        <v>71</v>
      </c>
      <c r="H798" s="43" t="s">
        <v>72</v>
      </c>
    </row>
    <row r="799" spans="1:8" x14ac:dyDescent="0.25">
      <c r="A799" s="72" t="s">
        <v>345</v>
      </c>
      <c r="B799" s="72" t="s">
        <v>219</v>
      </c>
      <c r="C799" s="73">
        <v>124</v>
      </c>
      <c r="D799" s="73">
        <v>3633224.7660413901</v>
      </c>
      <c r="E799" s="72">
        <v>581315.96256662242</v>
      </c>
      <c r="F799" s="72" t="s">
        <v>95</v>
      </c>
      <c r="G799" s="72" t="s">
        <v>96</v>
      </c>
      <c r="H799" s="72" t="s">
        <v>88</v>
      </c>
    </row>
    <row r="800" spans="1:8" x14ac:dyDescent="0.25">
      <c r="A800" s="72" t="s">
        <v>877</v>
      </c>
      <c r="B800" s="72" t="s">
        <v>323</v>
      </c>
      <c r="C800" s="73">
        <v>124</v>
      </c>
      <c r="D800" s="73">
        <v>3504420.91315998</v>
      </c>
      <c r="E800" s="72">
        <v>315397.88218439819</v>
      </c>
      <c r="F800" s="72" t="s">
        <v>70</v>
      </c>
      <c r="G800" s="72" t="s">
        <v>71</v>
      </c>
      <c r="H800" s="72" t="s">
        <v>72</v>
      </c>
    </row>
    <row r="801" spans="1:8" x14ac:dyDescent="0.25">
      <c r="A801" s="72" t="s">
        <v>807</v>
      </c>
      <c r="B801" s="72" t="s">
        <v>93</v>
      </c>
      <c r="C801" s="73">
        <v>123</v>
      </c>
      <c r="D801" s="73">
        <v>3612644.9863282237</v>
      </c>
      <c r="E801" s="72">
        <v>325138.0487695401</v>
      </c>
      <c r="F801" s="72" t="s">
        <v>87</v>
      </c>
      <c r="G801" s="72" t="s">
        <v>71</v>
      </c>
      <c r="H801" s="72" t="s">
        <v>88</v>
      </c>
    </row>
    <row r="802" spans="1:8" x14ac:dyDescent="0.25">
      <c r="A802" s="72" t="s">
        <v>2086</v>
      </c>
      <c r="B802" s="72" t="s">
        <v>323</v>
      </c>
      <c r="C802" s="73">
        <v>123</v>
      </c>
      <c r="D802" s="73">
        <v>3015027.9175358796</v>
      </c>
      <c r="E802" s="72">
        <v>180901.6750521528</v>
      </c>
      <c r="F802" s="72" t="s">
        <v>70</v>
      </c>
      <c r="G802" s="72" t="s">
        <v>71</v>
      </c>
      <c r="H802" s="72" t="s">
        <v>72</v>
      </c>
    </row>
    <row r="803" spans="1:8" x14ac:dyDescent="0.25">
      <c r="A803" s="72" t="s">
        <v>885</v>
      </c>
      <c r="B803" s="72" t="s">
        <v>323</v>
      </c>
      <c r="C803" s="73">
        <v>123</v>
      </c>
      <c r="D803" s="73">
        <v>3477980.0324078565</v>
      </c>
      <c r="E803" s="72">
        <v>313018.20291670709</v>
      </c>
      <c r="F803" s="72" t="s">
        <v>70</v>
      </c>
      <c r="G803" s="72" t="s">
        <v>71</v>
      </c>
      <c r="H803" s="72" t="s">
        <v>72</v>
      </c>
    </row>
    <row r="804" spans="1:8" x14ac:dyDescent="0.25">
      <c r="A804" s="72" t="s">
        <v>1612</v>
      </c>
      <c r="B804" s="72" t="s">
        <v>170</v>
      </c>
      <c r="C804" s="73">
        <v>123</v>
      </c>
      <c r="D804" s="73">
        <v>3199162.0336146681</v>
      </c>
      <c r="E804" s="72">
        <v>223941.34235302673</v>
      </c>
      <c r="F804" s="72" t="s">
        <v>70</v>
      </c>
      <c r="G804" s="72" t="s">
        <v>71</v>
      </c>
      <c r="H804" s="72" t="s">
        <v>72</v>
      </c>
    </row>
    <row r="805" spans="1:8" x14ac:dyDescent="0.25">
      <c r="A805" s="43" t="s">
        <v>438</v>
      </c>
      <c r="B805" s="43" t="s">
        <v>439</v>
      </c>
      <c r="C805" s="46">
        <v>123</v>
      </c>
      <c r="D805" s="46">
        <v>3759943.1922047115</v>
      </c>
      <c r="E805" s="43">
        <v>413593.7511425183</v>
      </c>
      <c r="F805" s="43" t="s">
        <v>78</v>
      </c>
      <c r="G805" s="43" t="s">
        <v>71</v>
      </c>
      <c r="H805" s="43" t="s">
        <v>72</v>
      </c>
    </row>
    <row r="806" spans="1:8" x14ac:dyDescent="0.25">
      <c r="A806" s="43" t="s">
        <v>576</v>
      </c>
      <c r="B806" s="43" t="s">
        <v>93</v>
      </c>
      <c r="C806" s="46">
        <v>123</v>
      </c>
      <c r="D806" s="46">
        <v>3692615.303919245</v>
      </c>
      <c r="E806" s="43">
        <v>369261.53039192455</v>
      </c>
      <c r="F806" s="43" t="s">
        <v>87</v>
      </c>
      <c r="G806" s="43" t="s">
        <v>71</v>
      </c>
      <c r="H806" s="43" t="s">
        <v>88</v>
      </c>
    </row>
    <row r="807" spans="1:8" x14ac:dyDescent="0.25">
      <c r="A807" s="43" t="s">
        <v>2677</v>
      </c>
      <c r="B807" s="43" t="s">
        <v>112</v>
      </c>
      <c r="C807" s="46">
        <v>123</v>
      </c>
      <c r="D807" s="46">
        <v>2761808.9347217469</v>
      </c>
      <c r="E807" s="43">
        <v>138090.44673608735</v>
      </c>
      <c r="F807" s="43" t="s">
        <v>70</v>
      </c>
      <c r="G807" s="43" t="s">
        <v>71</v>
      </c>
      <c r="H807" s="43" t="s">
        <v>72</v>
      </c>
    </row>
    <row r="808" spans="1:8" x14ac:dyDescent="0.25">
      <c r="A808" s="72" t="s">
        <v>2230</v>
      </c>
      <c r="B808" s="72" t="s">
        <v>160</v>
      </c>
      <c r="C808" s="73">
        <v>123</v>
      </c>
      <c r="D808" s="73">
        <v>2812058.2732388005</v>
      </c>
      <c r="E808" s="72">
        <v>168723.49639432807</v>
      </c>
      <c r="F808" s="72" t="s">
        <v>106</v>
      </c>
      <c r="G808" s="72" t="s">
        <v>71</v>
      </c>
      <c r="H808" s="72" t="s">
        <v>72</v>
      </c>
    </row>
    <row r="809" spans="1:8" x14ac:dyDescent="0.25">
      <c r="A809" s="72" t="s">
        <v>437</v>
      </c>
      <c r="B809" s="72" t="s">
        <v>93</v>
      </c>
      <c r="C809" s="73">
        <v>123</v>
      </c>
      <c r="D809" s="73">
        <v>3764941.879798193</v>
      </c>
      <c r="E809" s="72">
        <v>414143.60677780129</v>
      </c>
      <c r="F809" s="72" t="s">
        <v>87</v>
      </c>
      <c r="G809" s="72" t="s">
        <v>71</v>
      </c>
      <c r="H809" s="72" t="s">
        <v>88</v>
      </c>
    </row>
    <row r="810" spans="1:8" x14ac:dyDescent="0.25">
      <c r="A810" s="43" t="s">
        <v>1613</v>
      </c>
      <c r="B810" s="43" t="s">
        <v>323</v>
      </c>
      <c r="C810" s="46">
        <v>123</v>
      </c>
      <c r="D810" s="46">
        <v>3199162.0336146681</v>
      </c>
      <c r="E810" s="43">
        <v>223941.34235302673</v>
      </c>
      <c r="F810" s="43" t="s">
        <v>70</v>
      </c>
      <c r="G810" s="43" t="s">
        <v>71</v>
      </c>
      <c r="H810" s="43" t="s">
        <v>72</v>
      </c>
    </row>
    <row r="811" spans="1:8" x14ac:dyDescent="0.25">
      <c r="A811" s="72" t="s">
        <v>325</v>
      </c>
      <c r="B811" s="72" t="s">
        <v>83</v>
      </c>
      <c r="C811" s="73">
        <v>123</v>
      </c>
      <c r="D811" s="73">
        <v>4161987.1043431917</v>
      </c>
      <c r="E811" s="72">
        <v>624298.06565147871</v>
      </c>
      <c r="F811" s="72" t="s">
        <v>84</v>
      </c>
      <c r="G811" s="72" t="s">
        <v>71</v>
      </c>
      <c r="H811" s="72" t="s">
        <v>72</v>
      </c>
    </row>
    <row r="812" spans="1:8" x14ac:dyDescent="0.25">
      <c r="A812" s="43" t="s">
        <v>1173</v>
      </c>
      <c r="B812" s="43" t="s">
        <v>83</v>
      </c>
      <c r="C812" s="46">
        <v>123</v>
      </c>
      <c r="D812" s="46">
        <v>3404780.8147386</v>
      </c>
      <c r="E812" s="43">
        <v>272382.465179088</v>
      </c>
      <c r="F812" s="43" t="s">
        <v>78</v>
      </c>
      <c r="G812" s="43" t="s">
        <v>71</v>
      </c>
      <c r="H812" s="43" t="s">
        <v>72</v>
      </c>
    </row>
    <row r="813" spans="1:8" x14ac:dyDescent="0.25">
      <c r="A813" s="72" t="s">
        <v>651</v>
      </c>
      <c r="B813" s="72" t="s">
        <v>323</v>
      </c>
      <c r="C813" s="73">
        <v>122</v>
      </c>
      <c r="D813" s="73">
        <v>3564722.0212517506</v>
      </c>
      <c r="E813" s="72">
        <v>356472.2021251751</v>
      </c>
      <c r="F813" s="72" t="s">
        <v>70</v>
      </c>
      <c r="G813" s="72" t="s">
        <v>71</v>
      </c>
      <c r="H813" s="72" t="s">
        <v>72</v>
      </c>
    </row>
    <row r="814" spans="1:8" x14ac:dyDescent="0.25">
      <c r="A814" s="72" t="s">
        <v>2688</v>
      </c>
      <c r="B814" s="72" t="s">
        <v>323</v>
      </c>
      <c r="C814" s="73">
        <v>122</v>
      </c>
      <c r="D814" s="73">
        <v>2741162.6512864274</v>
      </c>
      <c r="E814" s="72">
        <v>137058.13256432136</v>
      </c>
      <c r="F814" s="72" t="s">
        <v>70</v>
      </c>
      <c r="G814" s="72" t="s">
        <v>71</v>
      </c>
      <c r="H814" s="72" t="s">
        <v>72</v>
      </c>
    </row>
    <row r="815" spans="1:8" x14ac:dyDescent="0.25">
      <c r="A815" s="43" t="s">
        <v>1535</v>
      </c>
      <c r="B815" s="43" t="s">
        <v>217</v>
      </c>
      <c r="C815" s="46">
        <v>122</v>
      </c>
      <c r="D815" s="46">
        <v>2900163.4283501729</v>
      </c>
      <c r="E815" s="43">
        <v>232013.07426801385</v>
      </c>
      <c r="F815" s="43" t="s">
        <v>106</v>
      </c>
      <c r="G815" s="43" t="s">
        <v>71</v>
      </c>
      <c r="H815" s="43" t="s">
        <v>72</v>
      </c>
    </row>
    <row r="816" spans="1:8" x14ac:dyDescent="0.25">
      <c r="A816" s="72" t="s">
        <v>1785</v>
      </c>
      <c r="B816" s="72" t="s">
        <v>176</v>
      </c>
      <c r="C816" s="73">
        <v>122</v>
      </c>
      <c r="D816" s="73">
        <v>2978007.7477467335</v>
      </c>
      <c r="E816" s="72">
        <v>208460.54234227134</v>
      </c>
      <c r="F816" s="72" t="s">
        <v>84</v>
      </c>
      <c r="G816" s="72" t="s">
        <v>71</v>
      </c>
      <c r="H816" s="72" t="s">
        <v>72</v>
      </c>
    </row>
    <row r="817" spans="1:8" x14ac:dyDescent="0.25">
      <c r="A817" s="43" t="s">
        <v>652</v>
      </c>
      <c r="B817" s="43" t="s">
        <v>97</v>
      </c>
      <c r="C817" s="46">
        <v>122</v>
      </c>
      <c r="D817" s="46">
        <v>3564722.0212517506</v>
      </c>
      <c r="E817" s="43">
        <v>356472.2021251751</v>
      </c>
      <c r="F817" s="43" t="s">
        <v>70</v>
      </c>
      <c r="G817" s="43" t="s">
        <v>71</v>
      </c>
      <c r="H817" s="43" t="s">
        <v>72</v>
      </c>
    </row>
    <row r="818" spans="1:8" x14ac:dyDescent="0.25">
      <c r="A818" s="72" t="s">
        <v>897</v>
      </c>
      <c r="B818" s="72" t="s">
        <v>97</v>
      </c>
      <c r="C818" s="73">
        <v>122</v>
      </c>
      <c r="D818" s="73">
        <v>3451511.219723057</v>
      </c>
      <c r="E818" s="72">
        <v>310636.00977507513</v>
      </c>
      <c r="F818" s="72" t="s">
        <v>70</v>
      </c>
      <c r="G818" s="72" t="s">
        <v>71</v>
      </c>
      <c r="H818" s="72" t="s">
        <v>72</v>
      </c>
    </row>
    <row r="819" spans="1:8" x14ac:dyDescent="0.25">
      <c r="A819" s="72" t="s">
        <v>1216</v>
      </c>
      <c r="B819" s="72" t="s">
        <v>211</v>
      </c>
      <c r="C819" s="73">
        <v>122</v>
      </c>
      <c r="D819" s="73">
        <v>3323730.9352134196</v>
      </c>
      <c r="E819" s="72">
        <v>265898.47481707355</v>
      </c>
      <c r="F819" s="72" t="s">
        <v>70</v>
      </c>
      <c r="G819" s="72" t="s">
        <v>71</v>
      </c>
      <c r="H819" s="72" t="s">
        <v>72</v>
      </c>
    </row>
    <row r="820" spans="1:8" x14ac:dyDescent="0.25">
      <c r="A820" s="43" t="s">
        <v>1631</v>
      </c>
      <c r="B820" s="43" t="s">
        <v>160</v>
      </c>
      <c r="C820" s="46">
        <v>122</v>
      </c>
      <c r="D820" s="46">
        <v>3174960.0339281876</v>
      </c>
      <c r="E820" s="43">
        <v>222247.2023749731</v>
      </c>
      <c r="F820" s="43" t="s">
        <v>70</v>
      </c>
      <c r="G820" s="43" t="s">
        <v>71</v>
      </c>
      <c r="H820" s="43" t="s">
        <v>72</v>
      </c>
    </row>
    <row r="821" spans="1:8" x14ac:dyDescent="0.25">
      <c r="A821" s="43" t="s">
        <v>1118</v>
      </c>
      <c r="B821" s="43" t="s">
        <v>77</v>
      </c>
      <c r="C821" s="46">
        <v>122</v>
      </c>
      <c r="D821" s="46">
        <v>3495581.1414556457</v>
      </c>
      <c r="E821" s="43">
        <v>279646.49131645163</v>
      </c>
      <c r="F821" s="43" t="s">
        <v>87</v>
      </c>
      <c r="G821" s="43" t="s">
        <v>71</v>
      </c>
      <c r="H821" s="43" t="s">
        <v>88</v>
      </c>
    </row>
    <row r="822" spans="1:8" x14ac:dyDescent="0.25">
      <c r="A822" s="43" t="s">
        <v>898</v>
      </c>
      <c r="B822" s="43" t="s">
        <v>102</v>
      </c>
      <c r="C822" s="46">
        <v>122</v>
      </c>
      <c r="D822" s="46">
        <v>3451511.219723057</v>
      </c>
      <c r="E822" s="43">
        <v>310636.00977507513</v>
      </c>
      <c r="F822" s="43" t="s">
        <v>70</v>
      </c>
      <c r="G822" s="43" t="s">
        <v>71</v>
      </c>
      <c r="H822" s="43" t="s">
        <v>72</v>
      </c>
    </row>
    <row r="823" spans="1:8" x14ac:dyDescent="0.25">
      <c r="A823" s="43" t="s">
        <v>912</v>
      </c>
      <c r="B823" s="43" t="s">
        <v>79</v>
      </c>
      <c r="C823" s="46">
        <v>121</v>
      </c>
      <c r="D823" s="46">
        <v>3425014.4355498157</v>
      </c>
      <c r="E823" s="43">
        <v>308251.29919948342</v>
      </c>
      <c r="F823" s="43" t="s">
        <v>70</v>
      </c>
      <c r="G823" s="43" t="s">
        <v>71</v>
      </c>
      <c r="H823" s="43" t="s">
        <v>72</v>
      </c>
    </row>
    <row r="824" spans="1:8" x14ac:dyDescent="0.25">
      <c r="A824" s="43" t="s">
        <v>609</v>
      </c>
      <c r="B824" s="43" t="s">
        <v>75</v>
      </c>
      <c r="C824" s="46">
        <v>121</v>
      </c>
      <c r="D824" s="46">
        <v>3027732.5107994145</v>
      </c>
      <c r="E824" s="43">
        <v>363327.90129592974</v>
      </c>
      <c r="F824" s="43" t="s">
        <v>106</v>
      </c>
      <c r="G824" s="43" t="s">
        <v>71</v>
      </c>
      <c r="H824" s="43" t="s">
        <v>72</v>
      </c>
    </row>
    <row r="825" spans="1:8" x14ac:dyDescent="0.25">
      <c r="A825" s="43" t="s">
        <v>2268</v>
      </c>
      <c r="B825" s="43" t="s">
        <v>149</v>
      </c>
      <c r="C825" s="46">
        <v>121</v>
      </c>
      <c r="D825" s="46">
        <v>2769733.3854280179</v>
      </c>
      <c r="E825" s="43">
        <v>166184.00312568111</v>
      </c>
      <c r="F825" s="43" t="s">
        <v>106</v>
      </c>
      <c r="G825" s="43" t="s">
        <v>71</v>
      </c>
      <c r="H825" s="43" t="s">
        <v>72</v>
      </c>
    </row>
    <row r="826" spans="1:8" x14ac:dyDescent="0.25">
      <c r="A826" s="43" t="s">
        <v>1140</v>
      </c>
      <c r="B826" s="43" t="s">
        <v>393</v>
      </c>
      <c r="C826" s="46">
        <v>121</v>
      </c>
      <c r="D826" s="46">
        <v>3468426.4451101008</v>
      </c>
      <c r="E826" s="43">
        <v>277474.11560880806</v>
      </c>
      <c r="F826" s="43" t="s">
        <v>87</v>
      </c>
      <c r="G826" s="43" t="s">
        <v>71</v>
      </c>
      <c r="H826" s="43" t="s">
        <v>88</v>
      </c>
    </row>
    <row r="827" spans="1:8" x14ac:dyDescent="0.25">
      <c r="A827" s="43" t="s">
        <v>1234</v>
      </c>
      <c r="B827" s="43" t="s">
        <v>73</v>
      </c>
      <c r="C827" s="46">
        <v>121</v>
      </c>
      <c r="D827" s="46">
        <v>3298281.5304214046</v>
      </c>
      <c r="E827" s="43">
        <v>263862.52243371238</v>
      </c>
      <c r="F827" s="43" t="s">
        <v>70</v>
      </c>
      <c r="G827" s="43" t="s">
        <v>71</v>
      </c>
      <c r="H827" s="43" t="s">
        <v>72</v>
      </c>
    </row>
    <row r="828" spans="1:8" x14ac:dyDescent="0.25">
      <c r="A828" s="43" t="s">
        <v>3039</v>
      </c>
      <c r="B828" s="43" t="s">
        <v>202</v>
      </c>
      <c r="C828" s="46">
        <v>121</v>
      </c>
      <c r="D828" s="46">
        <v>2865772.9719955749</v>
      </c>
      <c r="E828" s="43">
        <v>114630.918879823</v>
      </c>
      <c r="F828" s="43" t="s">
        <v>87</v>
      </c>
      <c r="G828" s="43" t="s">
        <v>71</v>
      </c>
      <c r="H828" s="43" t="s">
        <v>88</v>
      </c>
    </row>
    <row r="829" spans="1:8" x14ac:dyDescent="0.25">
      <c r="A829" s="43" t="s">
        <v>1641</v>
      </c>
      <c r="B829" s="43" t="s">
        <v>162</v>
      </c>
      <c r="C829" s="46">
        <v>121</v>
      </c>
      <c r="D829" s="46">
        <v>3150730.0627532648</v>
      </c>
      <c r="E829" s="43">
        <v>220551.10439272851</v>
      </c>
      <c r="F829" s="43" t="s">
        <v>70</v>
      </c>
      <c r="G829" s="43" t="s">
        <v>71</v>
      </c>
      <c r="H829" s="43" t="s">
        <v>72</v>
      </c>
    </row>
    <row r="830" spans="1:8" x14ac:dyDescent="0.25">
      <c r="A830" s="43" t="s">
        <v>999</v>
      </c>
      <c r="B830" s="43" t="s">
        <v>127</v>
      </c>
      <c r="C830" s="46">
        <v>121</v>
      </c>
      <c r="D830" s="46">
        <v>2960481.1964918012</v>
      </c>
      <c r="E830" s="43">
        <v>296048.11964918015</v>
      </c>
      <c r="F830" s="43" t="s">
        <v>106</v>
      </c>
      <c r="G830" s="43" t="s">
        <v>71</v>
      </c>
      <c r="H830" s="43" t="s">
        <v>72</v>
      </c>
    </row>
    <row r="831" spans="1:8" x14ac:dyDescent="0.25">
      <c r="A831" s="43" t="s">
        <v>1251</v>
      </c>
      <c r="B831" s="43" t="s">
        <v>323</v>
      </c>
      <c r="C831" s="46">
        <v>120</v>
      </c>
      <c r="D831" s="46">
        <v>3272804.1145358947</v>
      </c>
      <c r="E831" s="43">
        <v>261824.32916287158</v>
      </c>
      <c r="F831" s="43" t="s">
        <v>70</v>
      </c>
      <c r="G831" s="43" t="s">
        <v>71</v>
      </c>
      <c r="H831" s="43" t="s">
        <v>72</v>
      </c>
    </row>
    <row r="832" spans="1:8" x14ac:dyDescent="0.25">
      <c r="A832" s="43" t="s">
        <v>668</v>
      </c>
      <c r="B832" s="43" t="s">
        <v>73</v>
      </c>
      <c r="C832" s="46">
        <v>120</v>
      </c>
      <c r="D832" s="46">
        <v>3509844.5270326133</v>
      </c>
      <c r="E832" s="43">
        <v>350984.45270326134</v>
      </c>
      <c r="F832" s="43" t="s">
        <v>70</v>
      </c>
      <c r="G832" s="43" t="s">
        <v>71</v>
      </c>
      <c r="H832" s="43" t="s">
        <v>72</v>
      </c>
    </row>
    <row r="833" spans="1:8" x14ac:dyDescent="0.25">
      <c r="A833" s="72" t="s">
        <v>1662</v>
      </c>
      <c r="B833" s="72" t="s">
        <v>323</v>
      </c>
      <c r="C833" s="73">
        <v>120</v>
      </c>
      <c r="D833" s="73">
        <v>3126472.0804848466</v>
      </c>
      <c r="E833" s="72">
        <v>218853.04563393924</v>
      </c>
      <c r="F833" s="72" t="s">
        <v>70</v>
      </c>
      <c r="G833" s="72" t="s">
        <v>71</v>
      </c>
      <c r="H833" s="72" t="s">
        <v>72</v>
      </c>
    </row>
    <row r="834" spans="1:8" x14ac:dyDescent="0.25">
      <c r="A834" s="43" t="s">
        <v>2741</v>
      </c>
      <c r="B834" s="43" t="s">
        <v>176</v>
      </c>
      <c r="C834" s="46">
        <v>120</v>
      </c>
      <c r="D834" s="46">
        <v>2677400.8271347475</v>
      </c>
      <c r="E834" s="43">
        <v>133870.04135673738</v>
      </c>
      <c r="F834" s="43" t="s">
        <v>106</v>
      </c>
      <c r="G834" s="43" t="s">
        <v>71</v>
      </c>
      <c r="H834" s="43" t="s">
        <v>72</v>
      </c>
    </row>
    <row r="835" spans="1:8" x14ac:dyDescent="0.25">
      <c r="A835" s="72" t="s">
        <v>853</v>
      </c>
      <c r="B835" s="72" t="s">
        <v>176</v>
      </c>
      <c r="C835" s="73">
        <v>120</v>
      </c>
      <c r="D835" s="73">
        <v>3528987.3884060206</v>
      </c>
      <c r="E835" s="72">
        <v>317608.86495654186</v>
      </c>
      <c r="F835" s="72" t="s">
        <v>87</v>
      </c>
      <c r="G835" s="72" t="s">
        <v>71</v>
      </c>
      <c r="H835" s="72" t="s">
        <v>88</v>
      </c>
    </row>
    <row r="836" spans="1:8" x14ac:dyDescent="0.25">
      <c r="A836" s="72" t="s">
        <v>2708</v>
      </c>
      <c r="B836" s="72" t="s">
        <v>108</v>
      </c>
      <c r="C836" s="73">
        <v>120</v>
      </c>
      <c r="D836" s="73">
        <v>2699786.1303454102</v>
      </c>
      <c r="E836" s="72">
        <v>134989.30651727051</v>
      </c>
      <c r="F836" s="72" t="s">
        <v>70</v>
      </c>
      <c r="G836" s="72" t="s">
        <v>71</v>
      </c>
      <c r="H836" s="72" t="s">
        <v>72</v>
      </c>
    </row>
    <row r="837" spans="1:8" x14ac:dyDescent="0.25">
      <c r="A837" s="43" t="s">
        <v>1663</v>
      </c>
      <c r="B837" s="43" t="s">
        <v>367</v>
      </c>
      <c r="C837" s="46">
        <v>120</v>
      </c>
      <c r="D837" s="46">
        <v>3126472.0804848466</v>
      </c>
      <c r="E837" s="43">
        <v>218853.04563393924</v>
      </c>
      <c r="F837" s="43" t="s">
        <v>70</v>
      </c>
      <c r="G837" s="43" t="s">
        <v>71</v>
      </c>
      <c r="H837" s="43" t="s">
        <v>72</v>
      </c>
    </row>
    <row r="838" spans="1:8" x14ac:dyDescent="0.25">
      <c r="A838" s="72" t="s">
        <v>669</v>
      </c>
      <c r="B838" s="72" t="s">
        <v>170</v>
      </c>
      <c r="C838" s="73">
        <v>120</v>
      </c>
      <c r="D838" s="73">
        <v>3509844.5270326133</v>
      </c>
      <c r="E838" s="72">
        <v>350984.45270326134</v>
      </c>
      <c r="F838" s="72" t="s">
        <v>70</v>
      </c>
      <c r="G838" s="72" t="s">
        <v>71</v>
      </c>
      <c r="H838" s="72" t="s">
        <v>72</v>
      </c>
    </row>
    <row r="839" spans="1:8" x14ac:dyDescent="0.25">
      <c r="A839" s="72" t="s">
        <v>1664</v>
      </c>
      <c r="B839" s="72" t="s">
        <v>170</v>
      </c>
      <c r="C839" s="73">
        <v>120</v>
      </c>
      <c r="D839" s="73">
        <v>3126472.0804848466</v>
      </c>
      <c r="E839" s="72">
        <v>218853.04563393924</v>
      </c>
      <c r="F839" s="72" t="s">
        <v>70</v>
      </c>
      <c r="G839" s="72" t="s">
        <v>71</v>
      </c>
      <c r="H839" s="72" t="s">
        <v>72</v>
      </c>
    </row>
    <row r="840" spans="1:8" x14ac:dyDescent="0.25">
      <c r="A840" s="43" t="s">
        <v>854</v>
      </c>
      <c r="B840" s="43" t="s">
        <v>73</v>
      </c>
      <c r="C840" s="46">
        <v>120</v>
      </c>
      <c r="D840" s="46">
        <v>3528987.3884060206</v>
      </c>
      <c r="E840" s="43">
        <v>317608.86495654186</v>
      </c>
      <c r="F840" s="43" t="s">
        <v>87</v>
      </c>
      <c r="G840" s="43" t="s">
        <v>71</v>
      </c>
      <c r="H840" s="43" t="s">
        <v>88</v>
      </c>
    </row>
    <row r="841" spans="1:8" x14ac:dyDescent="0.25">
      <c r="A841" s="72" t="s">
        <v>855</v>
      </c>
      <c r="B841" s="72" t="s">
        <v>124</v>
      </c>
      <c r="C841" s="73">
        <v>120</v>
      </c>
      <c r="D841" s="73">
        <v>3528987.3884060206</v>
      </c>
      <c r="E841" s="72">
        <v>317608.86495654186</v>
      </c>
      <c r="F841" s="72" t="s">
        <v>87</v>
      </c>
      <c r="G841" s="72" t="s">
        <v>71</v>
      </c>
      <c r="H841" s="72" t="s">
        <v>88</v>
      </c>
    </row>
    <row r="842" spans="1:8" x14ac:dyDescent="0.25">
      <c r="A842" s="43" t="s">
        <v>2437</v>
      </c>
      <c r="B842" s="43" t="s">
        <v>391</v>
      </c>
      <c r="C842" s="46">
        <v>120</v>
      </c>
      <c r="D842" s="46">
        <v>3066160.1352936476</v>
      </c>
      <c r="E842" s="43">
        <v>153308.00676468239</v>
      </c>
      <c r="F842" s="43" t="s">
        <v>87</v>
      </c>
      <c r="G842" s="43" t="s">
        <v>71</v>
      </c>
      <c r="H842" s="43" t="s">
        <v>88</v>
      </c>
    </row>
    <row r="843" spans="1:8" x14ac:dyDescent="0.25">
      <c r="A843" s="43" t="s">
        <v>2709</v>
      </c>
      <c r="B843" s="43" t="s">
        <v>323</v>
      </c>
      <c r="C843" s="46">
        <v>120</v>
      </c>
      <c r="D843" s="46">
        <v>2699786.1303454102</v>
      </c>
      <c r="E843" s="43">
        <v>134989.30651727051</v>
      </c>
      <c r="F843" s="43" t="s">
        <v>70</v>
      </c>
      <c r="G843" s="43" t="s">
        <v>71</v>
      </c>
      <c r="H843" s="43" t="s">
        <v>72</v>
      </c>
    </row>
    <row r="844" spans="1:8" x14ac:dyDescent="0.25">
      <c r="A844" s="72" t="s">
        <v>2134</v>
      </c>
      <c r="B844" s="72" t="s">
        <v>97</v>
      </c>
      <c r="C844" s="73">
        <v>120</v>
      </c>
      <c r="D844" s="73">
        <v>2946829.0404079789</v>
      </c>
      <c r="E844" s="72">
        <v>176809.74242447878</v>
      </c>
      <c r="F844" s="72" t="s">
        <v>70</v>
      </c>
      <c r="G844" s="72" t="s">
        <v>71</v>
      </c>
      <c r="H844" s="72" t="s">
        <v>72</v>
      </c>
    </row>
    <row r="845" spans="1:8" x14ac:dyDescent="0.25">
      <c r="A845" s="72" t="s">
        <v>2710</v>
      </c>
      <c r="B845" s="72" t="s">
        <v>211</v>
      </c>
      <c r="C845" s="73">
        <v>120</v>
      </c>
      <c r="D845" s="73">
        <v>2699786.1303454102</v>
      </c>
      <c r="E845" s="72">
        <v>134989.30651727051</v>
      </c>
      <c r="F845" s="72" t="s">
        <v>70</v>
      </c>
      <c r="G845" s="72" t="s">
        <v>71</v>
      </c>
      <c r="H845" s="72" t="s">
        <v>72</v>
      </c>
    </row>
    <row r="846" spans="1:8" x14ac:dyDescent="0.25">
      <c r="A846" s="72" t="s">
        <v>2742</v>
      </c>
      <c r="B846" s="72" t="s">
        <v>75</v>
      </c>
      <c r="C846" s="73">
        <v>120</v>
      </c>
      <c r="D846" s="73">
        <v>2677400.8271347475</v>
      </c>
      <c r="E846" s="72">
        <v>133870.04135673738</v>
      </c>
      <c r="F846" s="72" t="s">
        <v>106</v>
      </c>
      <c r="G846" s="72" t="s">
        <v>71</v>
      </c>
      <c r="H846" s="72" t="s">
        <v>72</v>
      </c>
    </row>
    <row r="847" spans="1:8" x14ac:dyDescent="0.25">
      <c r="A847" s="72" t="s">
        <v>1562</v>
      </c>
      <c r="B847" s="72" t="s">
        <v>252</v>
      </c>
      <c r="C847" s="73">
        <v>120</v>
      </c>
      <c r="D847" s="73">
        <v>2855995.1671996969</v>
      </c>
      <c r="E847" s="72">
        <v>228479.61337597575</v>
      </c>
      <c r="F847" s="72" t="s">
        <v>106</v>
      </c>
      <c r="G847" s="72" t="s">
        <v>71</v>
      </c>
      <c r="H847" s="72" t="s">
        <v>72</v>
      </c>
    </row>
    <row r="848" spans="1:8" x14ac:dyDescent="0.25">
      <c r="A848" s="43" t="s">
        <v>928</v>
      </c>
      <c r="B848" s="43" t="s">
        <v>102</v>
      </c>
      <c r="C848" s="46">
        <v>120</v>
      </c>
      <c r="D848" s="46">
        <v>3398489.6402830784</v>
      </c>
      <c r="E848" s="43">
        <v>305864.06762547704</v>
      </c>
      <c r="F848" s="43" t="s">
        <v>70</v>
      </c>
      <c r="G848" s="43" t="s">
        <v>71</v>
      </c>
      <c r="H848" s="43" t="s">
        <v>72</v>
      </c>
    </row>
    <row r="849" spans="1:8" x14ac:dyDescent="0.25">
      <c r="A849" s="43" t="s">
        <v>1665</v>
      </c>
      <c r="B849" s="43" t="s">
        <v>160</v>
      </c>
      <c r="C849" s="46">
        <v>120</v>
      </c>
      <c r="D849" s="46">
        <v>3126472.0804848466</v>
      </c>
      <c r="E849" s="43">
        <v>218853.04563393924</v>
      </c>
      <c r="F849" s="43" t="s">
        <v>70</v>
      </c>
      <c r="G849" s="43" t="s">
        <v>71</v>
      </c>
      <c r="H849" s="43" t="s">
        <v>72</v>
      </c>
    </row>
    <row r="850" spans="1:8" x14ac:dyDescent="0.25">
      <c r="A850" s="43" t="s">
        <v>2711</v>
      </c>
      <c r="B850" s="43" t="s">
        <v>93</v>
      </c>
      <c r="C850" s="46">
        <v>120</v>
      </c>
      <c r="D850" s="46">
        <v>2699786.1303454102</v>
      </c>
      <c r="E850" s="43">
        <v>134989.30651727051</v>
      </c>
      <c r="F850" s="43" t="s">
        <v>70</v>
      </c>
      <c r="G850" s="43" t="s">
        <v>71</v>
      </c>
      <c r="H850" s="43" t="s">
        <v>72</v>
      </c>
    </row>
    <row r="851" spans="1:8" x14ac:dyDescent="0.25">
      <c r="A851" s="72" t="s">
        <v>1911</v>
      </c>
      <c r="B851" s="72" t="s">
        <v>85</v>
      </c>
      <c r="C851" s="73">
        <v>120</v>
      </c>
      <c r="D851" s="73">
        <v>2806593.5144782704</v>
      </c>
      <c r="E851" s="72">
        <v>196461.54601347892</v>
      </c>
      <c r="F851" s="72" t="s">
        <v>106</v>
      </c>
      <c r="G851" s="72" t="s">
        <v>71</v>
      </c>
      <c r="H851" s="72" t="s">
        <v>72</v>
      </c>
    </row>
    <row r="852" spans="1:8" x14ac:dyDescent="0.25">
      <c r="A852" s="72" t="s">
        <v>1252</v>
      </c>
      <c r="B852" s="72" t="s">
        <v>97</v>
      </c>
      <c r="C852" s="73">
        <v>120</v>
      </c>
      <c r="D852" s="73">
        <v>3272804.1145358947</v>
      </c>
      <c r="E852" s="72">
        <v>261824.32916287158</v>
      </c>
      <c r="F852" s="72" t="s">
        <v>70</v>
      </c>
      <c r="G852" s="72" t="s">
        <v>71</v>
      </c>
      <c r="H852" s="72" t="s">
        <v>72</v>
      </c>
    </row>
    <row r="853" spans="1:8" x14ac:dyDescent="0.25">
      <c r="A853" s="72" t="s">
        <v>649</v>
      </c>
      <c r="B853" s="72" t="s">
        <v>83</v>
      </c>
      <c r="C853" s="73">
        <v>120</v>
      </c>
      <c r="D853" s="73">
        <v>3570979.9769111546</v>
      </c>
      <c r="E853" s="72">
        <v>357097.99769111548</v>
      </c>
      <c r="F853" s="72" t="s">
        <v>78</v>
      </c>
      <c r="G853" s="72" t="s">
        <v>71</v>
      </c>
      <c r="H853" s="72" t="s">
        <v>72</v>
      </c>
    </row>
    <row r="854" spans="1:8" x14ac:dyDescent="0.25">
      <c r="A854" s="72" t="s">
        <v>1666</v>
      </c>
      <c r="B854" s="72" t="s">
        <v>89</v>
      </c>
      <c r="C854" s="73">
        <v>120</v>
      </c>
      <c r="D854" s="73">
        <v>3126472.0804848466</v>
      </c>
      <c r="E854" s="72">
        <v>218853.04563393924</v>
      </c>
      <c r="F854" s="72" t="s">
        <v>70</v>
      </c>
      <c r="G854" s="72" t="s">
        <v>71</v>
      </c>
      <c r="H854" s="72" t="s">
        <v>72</v>
      </c>
    </row>
    <row r="855" spans="1:8" x14ac:dyDescent="0.25">
      <c r="A855" s="43" t="s">
        <v>1253</v>
      </c>
      <c r="B855" s="43" t="s">
        <v>105</v>
      </c>
      <c r="C855" s="46">
        <v>120</v>
      </c>
      <c r="D855" s="46">
        <v>3272804.1145358947</v>
      </c>
      <c r="E855" s="43">
        <v>261824.32916287158</v>
      </c>
      <c r="F855" s="43" t="s">
        <v>70</v>
      </c>
      <c r="G855" s="43" t="s">
        <v>71</v>
      </c>
      <c r="H855" s="43" t="s">
        <v>72</v>
      </c>
    </row>
    <row r="856" spans="1:8" x14ac:dyDescent="0.25">
      <c r="A856" s="43" t="s">
        <v>1667</v>
      </c>
      <c r="B856" s="43" t="s">
        <v>102</v>
      </c>
      <c r="C856" s="46">
        <v>120</v>
      </c>
      <c r="D856" s="46">
        <v>3126472.0804848466</v>
      </c>
      <c r="E856" s="43">
        <v>218853.04563393924</v>
      </c>
      <c r="F856" s="43" t="s">
        <v>70</v>
      </c>
      <c r="G856" s="43" t="s">
        <v>71</v>
      </c>
      <c r="H856" s="43" t="s">
        <v>72</v>
      </c>
    </row>
    <row r="857" spans="1:8" x14ac:dyDescent="0.25">
      <c r="A857" s="72" t="s">
        <v>1668</v>
      </c>
      <c r="B857" s="72" t="s">
        <v>1669</v>
      </c>
      <c r="C857" s="73">
        <v>120</v>
      </c>
      <c r="D857" s="73">
        <v>3126472.0804848466</v>
      </c>
      <c r="E857" s="72">
        <v>218853.04563393924</v>
      </c>
      <c r="F857" s="72" t="s">
        <v>70</v>
      </c>
      <c r="G857" s="72" t="s">
        <v>71</v>
      </c>
      <c r="H857" s="72" t="s">
        <v>72</v>
      </c>
    </row>
    <row r="858" spans="1:8" x14ac:dyDescent="0.25">
      <c r="A858" s="72" t="s">
        <v>2712</v>
      </c>
      <c r="B858" s="72" t="s">
        <v>97</v>
      </c>
      <c r="C858" s="73">
        <v>120</v>
      </c>
      <c r="D858" s="73">
        <v>2699786.1303454102</v>
      </c>
      <c r="E858" s="72">
        <v>134989.30651727051</v>
      </c>
      <c r="F858" s="72" t="s">
        <v>70</v>
      </c>
      <c r="G858" s="72" t="s">
        <v>71</v>
      </c>
      <c r="H858" s="72" t="s">
        <v>72</v>
      </c>
    </row>
    <row r="859" spans="1:8" x14ac:dyDescent="0.25">
      <c r="A859" s="43" t="s">
        <v>2713</v>
      </c>
      <c r="B859" s="43" t="s">
        <v>127</v>
      </c>
      <c r="C859" s="46">
        <v>120</v>
      </c>
      <c r="D859" s="46">
        <v>2699786.1303454102</v>
      </c>
      <c r="E859" s="43">
        <v>134989.30651727051</v>
      </c>
      <c r="F859" s="43" t="s">
        <v>70</v>
      </c>
      <c r="G859" s="43" t="s">
        <v>71</v>
      </c>
      <c r="H859" s="43" t="s">
        <v>72</v>
      </c>
    </row>
    <row r="860" spans="1:8" x14ac:dyDescent="0.25">
      <c r="A860" s="43" t="s">
        <v>2135</v>
      </c>
      <c r="B860" s="43" t="s">
        <v>323</v>
      </c>
      <c r="C860" s="46">
        <v>120</v>
      </c>
      <c r="D860" s="46">
        <v>2946829.0404079789</v>
      </c>
      <c r="E860" s="43">
        <v>176809.74242447878</v>
      </c>
      <c r="F860" s="43" t="s">
        <v>70</v>
      </c>
      <c r="G860" s="43" t="s">
        <v>71</v>
      </c>
      <c r="H860" s="43" t="s">
        <v>72</v>
      </c>
    </row>
    <row r="861" spans="1:8" x14ac:dyDescent="0.25">
      <c r="A861" s="43" t="s">
        <v>856</v>
      </c>
      <c r="B861" s="43" t="s">
        <v>202</v>
      </c>
      <c r="C861" s="46">
        <v>120</v>
      </c>
      <c r="D861" s="46">
        <v>3528987.3884060206</v>
      </c>
      <c r="E861" s="43">
        <v>317608.86495654186</v>
      </c>
      <c r="F861" s="43" t="s">
        <v>87</v>
      </c>
      <c r="G861" s="43" t="s">
        <v>71</v>
      </c>
      <c r="H861" s="43" t="s">
        <v>88</v>
      </c>
    </row>
    <row r="862" spans="1:8" x14ac:dyDescent="0.25">
      <c r="A862" s="72" t="s">
        <v>2714</v>
      </c>
      <c r="B862" s="72" t="s">
        <v>112</v>
      </c>
      <c r="C862" s="73">
        <v>120</v>
      </c>
      <c r="D862" s="73">
        <v>2699786.1303454102</v>
      </c>
      <c r="E862" s="72">
        <v>134989.30651727051</v>
      </c>
      <c r="F862" s="72" t="s">
        <v>70</v>
      </c>
      <c r="G862" s="72" t="s">
        <v>71</v>
      </c>
      <c r="H862" s="72" t="s">
        <v>72</v>
      </c>
    </row>
    <row r="863" spans="1:8" x14ac:dyDescent="0.25">
      <c r="A863" s="43" t="s">
        <v>1912</v>
      </c>
      <c r="B863" s="43" t="s">
        <v>112</v>
      </c>
      <c r="C863" s="46">
        <v>120</v>
      </c>
      <c r="D863" s="46">
        <v>2806593.5144782704</v>
      </c>
      <c r="E863" s="43">
        <v>196461.54601347892</v>
      </c>
      <c r="F863" s="43" t="s">
        <v>106</v>
      </c>
      <c r="G863" s="43" t="s">
        <v>71</v>
      </c>
      <c r="H863" s="43" t="s">
        <v>72</v>
      </c>
    </row>
    <row r="864" spans="1:8" x14ac:dyDescent="0.25">
      <c r="A864" s="43" t="s">
        <v>630</v>
      </c>
      <c r="B864" s="43" t="s">
        <v>77</v>
      </c>
      <c r="C864" s="46">
        <v>120</v>
      </c>
      <c r="D864" s="46">
        <v>3607007.2104460415</v>
      </c>
      <c r="E864" s="43">
        <v>360700.7210446042</v>
      </c>
      <c r="F864" s="43" t="s">
        <v>87</v>
      </c>
      <c r="G864" s="43" t="s">
        <v>71</v>
      </c>
      <c r="H864" s="43" t="s">
        <v>88</v>
      </c>
    </row>
    <row r="865" spans="1:8" x14ac:dyDescent="0.25">
      <c r="A865" s="43" t="s">
        <v>1015</v>
      </c>
      <c r="B865" s="43" t="s">
        <v>77</v>
      </c>
      <c r="C865" s="46">
        <v>120</v>
      </c>
      <c r="D865" s="46">
        <v>2937703.0763072488</v>
      </c>
      <c r="E865" s="43">
        <v>293770.30763072491</v>
      </c>
      <c r="F865" s="43" t="s">
        <v>106</v>
      </c>
      <c r="G865" s="43" t="s">
        <v>71</v>
      </c>
      <c r="H865" s="43" t="s">
        <v>72</v>
      </c>
    </row>
    <row r="866" spans="1:8" x14ac:dyDescent="0.25">
      <c r="A866" s="43" t="s">
        <v>1563</v>
      </c>
      <c r="B866" s="43" t="s">
        <v>168</v>
      </c>
      <c r="C866" s="46">
        <v>120</v>
      </c>
      <c r="D866" s="46">
        <v>2855995.1671996969</v>
      </c>
      <c r="E866" s="43">
        <v>228479.61337597575</v>
      </c>
      <c r="F866" s="43" t="s">
        <v>106</v>
      </c>
      <c r="G866" s="43" t="s">
        <v>71</v>
      </c>
      <c r="H866" s="43" t="s">
        <v>72</v>
      </c>
    </row>
    <row r="867" spans="1:8" x14ac:dyDescent="0.25">
      <c r="A867" s="72" t="s">
        <v>1264</v>
      </c>
      <c r="B867" s="72" t="s">
        <v>77</v>
      </c>
      <c r="C867" s="73">
        <v>120</v>
      </c>
      <c r="D867" s="73">
        <v>2899192.2923859595</v>
      </c>
      <c r="E867" s="72">
        <v>260927.30631473634</v>
      </c>
      <c r="F867" s="72" t="s">
        <v>106</v>
      </c>
      <c r="G867" s="72" t="s">
        <v>71</v>
      </c>
      <c r="H867" s="72" t="s">
        <v>72</v>
      </c>
    </row>
    <row r="868" spans="1:8" x14ac:dyDescent="0.25">
      <c r="A868" s="72" t="s">
        <v>2438</v>
      </c>
      <c r="B868" s="72" t="s">
        <v>143</v>
      </c>
      <c r="C868" s="73">
        <v>120</v>
      </c>
      <c r="D868" s="73">
        <v>3066160.1352936476</v>
      </c>
      <c r="E868" s="72">
        <v>153308.00676468239</v>
      </c>
      <c r="F868" s="72" t="s">
        <v>87</v>
      </c>
      <c r="G868" s="72" t="s">
        <v>71</v>
      </c>
      <c r="H868" s="72" t="s">
        <v>88</v>
      </c>
    </row>
    <row r="869" spans="1:8" x14ac:dyDescent="0.25">
      <c r="A869" s="43" t="s">
        <v>670</v>
      </c>
      <c r="B869" s="43" t="s">
        <v>107</v>
      </c>
      <c r="C869" s="46">
        <v>120</v>
      </c>
      <c r="D869" s="46">
        <v>3509844.5270326133</v>
      </c>
      <c r="E869" s="43">
        <v>350984.45270326134</v>
      </c>
      <c r="F869" s="43" t="s">
        <v>70</v>
      </c>
      <c r="G869" s="43" t="s">
        <v>71</v>
      </c>
      <c r="H869" s="43" t="s">
        <v>72</v>
      </c>
    </row>
    <row r="870" spans="1:8" x14ac:dyDescent="0.25">
      <c r="A870" s="43" t="s">
        <v>650</v>
      </c>
      <c r="B870" s="43" t="s">
        <v>115</v>
      </c>
      <c r="C870" s="46">
        <v>120</v>
      </c>
      <c r="D870" s="46">
        <v>3570979.9769111546</v>
      </c>
      <c r="E870" s="43">
        <v>357097.99769111548</v>
      </c>
      <c r="F870" s="43" t="s">
        <v>78</v>
      </c>
      <c r="G870" s="43" t="s">
        <v>71</v>
      </c>
      <c r="H870" s="43" t="s">
        <v>72</v>
      </c>
    </row>
    <row r="871" spans="1:8" x14ac:dyDescent="0.25">
      <c r="A871" s="43" t="s">
        <v>354</v>
      </c>
      <c r="B871" s="43" t="s">
        <v>115</v>
      </c>
      <c r="C871" s="46">
        <v>120</v>
      </c>
      <c r="D871" s="46">
        <v>3939222.0030755415</v>
      </c>
      <c r="E871" s="43">
        <v>551491.08043057576</v>
      </c>
      <c r="F871" s="43" t="s">
        <v>78</v>
      </c>
      <c r="G871" s="43" t="s">
        <v>71</v>
      </c>
      <c r="H871" s="43" t="s">
        <v>72</v>
      </c>
    </row>
    <row r="872" spans="1:8" x14ac:dyDescent="0.25">
      <c r="A872" s="72" t="s">
        <v>695</v>
      </c>
      <c r="B872" s="72" t="s">
        <v>83</v>
      </c>
      <c r="C872" s="73">
        <v>120</v>
      </c>
      <c r="D872" s="73">
        <v>3455600.8085059104</v>
      </c>
      <c r="E872" s="72">
        <v>345560.08085059107</v>
      </c>
      <c r="F872" s="72" t="s">
        <v>84</v>
      </c>
      <c r="G872" s="72" t="s">
        <v>71</v>
      </c>
      <c r="H872" s="72" t="s">
        <v>72</v>
      </c>
    </row>
    <row r="873" spans="1:8" x14ac:dyDescent="0.25">
      <c r="A873" s="43" t="s">
        <v>1670</v>
      </c>
      <c r="B873" s="43" t="s">
        <v>323</v>
      </c>
      <c r="C873" s="46">
        <v>120</v>
      </c>
      <c r="D873" s="46">
        <v>3126472.0804848466</v>
      </c>
      <c r="E873" s="43">
        <v>218853.04563393924</v>
      </c>
      <c r="F873" s="43" t="s">
        <v>70</v>
      </c>
      <c r="G873" s="43" t="s">
        <v>71</v>
      </c>
      <c r="H873" s="43" t="s">
        <v>72</v>
      </c>
    </row>
    <row r="874" spans="1:8" x14ac:dyDescent="0.25">
      <c r="A874" s="72" t="s">
        <v>929</v>
      </c>
      <c r="B874" s="72" t="s">
        <v>211</v>
      </c>
      <c r="C874" s="73">
        <v>120</v>
      </c>
      <c r="D874" s="73">
        <v>3398489.6402830784</v>
      </c>
      <c r="E874" s="72">
        <v>305864.06762547704</v>
      </c>
      <c r="F874" s="72" t="s">
        <v>70</v>
      </c>
      <c r="G874" s="72" t="s">
        <v>71</v>
      </c>
      <c r="H874" s="72" t="s">
        <v>72</v>
      </c>
    </row>
    <row r="875" spans="1:8" x14ac:dyDescent="0.25">
      <c r="A875" s="43" t="s">
        <v>2743</v>
      </c>
      <c r="B875" s="43" t="s">
        <v>257</v>
      </c>
      <c r="C875" s="46">
        <v>120</v>
      </c>
      <c r="D875" s="46">
        <v>2677400.8271347475</v>
      </c>
      <c r="E875" s="43">
        <v>133870.04135673738</v>
      </c>
      <c r="F875" s="43" t="s">
        <v>106</v>
      </c>
      <c r="G875" s="43" t="s">
        <v>71</v>
      </c>
      <c r="H875" s="43" t="s">
        <v>72</v>
      </c>
    </row>
    <row r="876" spans="1:8" x14ac:dyDescent="0.25">
      <c r="A876" s="72" t="s">
        <v>2136</v>
      </c>
      <c r="B876" s="72" t="s">
        <v>303</v>
      </c>
      <c r="C876" s="73">
        <v>120</v>
      </c>
      <c r="D876" s="73">
        <v>2946829.0404079789</v>
      </c>
      <c r="E876" s="72">
        <v>176809.74242447878</v>
      </c>
      <c r="F876" s="72" t="s">
        <v>70</v>
      </c>
      <c r="G876" s="72" t="s">
        <v>71</v>
      </c>
      <c r="H876" s="72" t="s">
        <v>72</v>
      </c>
    </row>
    <row r="877" spans="1:8" x14ac:dyDescent="0.25">
      <c r="A877" s="43" t="s">
        <v>3225</v>
      </c>
      <c r="B877" s="43" t="s">
        <v>127</v>
      </c>
      <c r="C877" s="46">
        <v>120</v>
      </c>
      <c r="D877" s="46">
        <v>2583848.4395143269</v>
      </c>
      <c r="E877" s="43">
        <v>103353.93758057308</v>
      </c>
      <c r="F877" s="43" t="s">
        <v>106</v>
      </c>
      <c r="G877" s="43" t="s">
        <v>71</v>
      </c>
      <c r="H877" s="43" t="s">
        <v>72</v>
      </c>
    </row>
    <row r="878" spans="1:8" x14ac:dyDescent="0.25">
      <c r="A878" s="72" t="s">
        <v>1965</v>
      </c>
      <c r="B878" s="72" t="s">
        <v>73</v>
      </c>
      <c r="C878" s="73">
        <v>119</v>
      </c>
      <c r="D878" s="73">
        <v>3194153.8024615198</v>
      </c>
      <c r="E878" s="72">
        <v>191649.22814769117</v>
      </c>
      <c r="F878" s="72" t="s">
        <v>87</v>
      </c>
      <c r="G878" s="72" t="s">
        <v>71</v>
      </c>
      <c r="H878" s="72" t="s">
        <v>88</v>
      </c>
    </row>
    <row r="879" spans="1:8" x14ac:dyDescent="0.25">
      <c r="A879" s="43" t="s">
        <v>356</v>
      </c>
      <c r="B879" s="43" t="s">
        <v>176</v>
      </c>
      <c r="C879" s="46">
        <v>119</v>
      </c>
      <c r="D879" s="46">
        <v>3908399.826302228</v>
      </c>
      <c r="E879" s="43">
        <v>547175.97568231192</v>
      </c>
      <c r="F879" s="43" t="s">
        <v>78</v>
      </c>
      <c r="G879" s="43" t="s">
        <v>71</v>
      </c>
      <c r="H879" s="43" t="s">
        <v>72</v>
      </c>
    </row>
    <row r="880" spans="1:8" x14ac:dyDescent="0.25">
      <c r="A880" s="72" t="s">
        <v>2740</v>
      </c>
      <c r="B880" s="72" t="s">
        <v>323</v>
      </c>
      <c r="C880" s="73">
        <v>119</v>
      </c>
      <c r="D880" s="73">
        <v>2679055.8135802569</v>
      </c>
      <c r="E880" s="72">
        <v>133952.79067901286</v>
      </c>
      <c r="F880" s="72" t="s">
        <v>70</v>
      </c>
      <c r="G880" s="72" t="s">
        <v>71</v>
      </c>
      <c r="H880" s="72" t="s">
        <v>72</v>
      </c>
    </row>
    <row r="881" spans="1:8" x14ac:dyDescent="0.25">
      <c r="A881" s="43" t="s">
        <v>940</v>
      </c>
      <c r="B881" s="43" t="s">
        <v>73</v>
      </c>
      <c r="C881" s="46">
        <v>119</v>
      </c>
      <c r="D881" s="46">
        <v>3371936.7942684446</v>
      </c>
      <c r="E881" s="43">
        <v>303474.31148416002</v>
      </c>
      <c r="F881" s="43" t="s">
        <v>70</v>
      </c>
      <c r="G881" s="43" t="s">
        <v>71</v>
      </c>
      <c r="H881" s="43" t="s">
        <v>72</v>
      </c>
    </row>
    <row r="882" spans="1:8" x14ac:dyDescent="0.25">
      <c r="A882" s="43" t="s">
        <v>1275</v>
      </c>
      <c r="B882" s="43" t="s">
        <v>1247</v>
      </c>
      <c r="C882" s="46">
        <v>119</v>
      </c>
      <c r="D882" s="46">
        <v>3247298.6479024864</v>
      </c>
      <c r="E882" s="43">
        <v>259783.89183219892</v>
      </c>
      <c r="F882" s="43" t="s">
        <v>70</v>
      </c>
      <c r="G882" s="43" t="s">
        <v>71</v>
      </c>
      <c r="H882" s="43" t="s">
        <v>72</v>
      </c>
    </row>
    <row r="883" spans="1:8" x14ac:dyDescent="0.25">
      <c r="A883" s="43" t="s">
        <v>1694</v>
      </c>
      <c r="B883" s="43" t="s">
        <v>73</v>
      </c>
      <c r="C883" s="46">
        <v>119</v>
      </c>
      <c r="D883" s="46">
        <v>3102186.0474685309</v>
      </c>
      <c r="E883" s="43">
        <v>217153.02332279715</v>
      </c>
      <c r="F883" s="43" t="s">
        <v>70</v>
      </c>
      <c r="G883" s="43" t="s">
        <v>71</v>
      </c>
      <c r="H883" s="43" t="s">
        <v>72</v>
      </c>
    </row>
    <row r="884" spans="1:8" x14ac:dyDescent="0.25">
      <c r="A884" s="43" t="s">
        <v>1966</v>
      </c>
      <c r="B884" s="43" t="s">
        <v>73</v>
      </c>
      <c r="C884" s="46">
        <v>119</v>
      </c>
      <c r="D884" s="46">
        <v>3194153.8024615198</v>
      </c>
      <c r="E884" s="43">
        <v>191649.22814769117</v>
      </c>
      <c r="F884" s="43" t="s">
        <v>87</v>
      </c>
      <c r="G884" s="43" t="s">
        <v>71</v>
      </c>
      <c r="H884" s="43" t="s">
        <v>88</v>
      </c>
    </row>
    <row r="885" spans="1:8" x14ac:dyDescent="0.25">
      <c r="A885" s="43" t="s">
        <v>460</v>
      </c>
      <c r="B885" s="43" t="s">
        <v>77</v>
      </c>
      <c r="C885" s="46">
        <v>118</v>
      </c>
      <c r="D885" s="46">
        <v>3619203.629329544</v>
      </c>
      <c r="E885" s="43">
        <v>398112.39922624989</v>
      </c>
      <c r="F885" s="43" t="s">
        <v>87</v>
      </c>
      <c r="G885" s="43" t="s">
        <v>71</v>
      </c>
      <c r="H885" s="43" t="s">
        <v>88</v>
      </c>
    </row>
    <row r="886" spans="1:8" x14ac:dyDescent="0.25">
      <c r="A886" s="43" t="s">
        <v>3245</v>
      </c>
      <c r="B886" s="43" t="s">
        <v>176</v>
      </c>
      <c r="C886" s="46">
        <v>118</v>
      </c>
      <c r="D886" s="46">
        <v>2544111.0497751934</v>
      </c>
      <c r="E886" s="43">
        <v>101764.44199100774</v>
      </c>
      <c r="F886" s="43" t="s">
        <v>106</v>
      </c>
      <c r="G886" s="43" t="s">
        <v>71</v>
      </c>
      <c r="H886" s="43" t="s">
        <v>72</v>
      </c>
    </row>
    <row r="887" spans="1:8" x14ac:dyDescent="0.25">
      <c r="A887" s="72" t="s">
        <v>653</v>
      </c>
      <c r="B887" s="72" t="s">
        <v>257</v>
      </c>
      <c r="C887" s="73">
        <v>118</v>
      </c>
      <c r="D887" s="73">
        <v>2957652.0356378062</v>
      </c>
      <c r="E887" s="72">
        <v>354918.24427653675</v>
      </c>
      <c r="F887" s="72" t="s">
        <v>106</v>
      </c>
      <c r="G887" s="72" t="s">
        <v>71</v>
      </c>
      <c r="H887" s="72" t="s">
        <v>72</v>
      </c>
    </row>
    <row r="888" spans="1:8" x14ac:dyDescent="0.25">
      <c r="A888" s="43" t="s">
        <v>2468</v>
      </c>
      <c r="B888" s="43" t="s">
        <v>75</v>
      </c>
      <c r="C888" s="46">
        <v>118</v>
      </c>
      <c r="D888" s="46">
        <v>3017984.2009279355</v>
      </c>
      <c r="E888" s="43">
        <v>150899.21004639679</v>
      </c>
      <c r="F888" s="43" t="s">
        <v>87</v>
      </c>
      <c r="G888" s="43" t="s">
        <v>71</v>
      </c>
      <c r="H888" s="43" t="s">
        <v>88</v>
      </c>
    </row>
    <row r="889" spans="1:8" x14ac:dyDescent="0.25">
      <c r="A889" s="43" t="s">
        <v>654</v>
      </c>
      <c r="B889" s="43" t="s">
        <v>554</v>
      </c>
      <c r="C889" s="46">
        <v>118</v>
      </c>
      <c r="D889" s="46">
        <v>2957652.0356378062</v>
      </c>
      <c r="E889" s="43">
        <v>354918.24427653675</v>
      </c>
      <c r="F889" s="43" t="s">
        <v>106</v>
      </c>
      <c r="G889" s="43" t="s">
        <v>71</v>
      </c>
      <c r="H889" s="43" t="s">
        <v>72</v>
      </c>
    </row>
    <row r="890" spans="1:8" x14ac:dyDescent="0.25">
      <c r="A890" s="72" t="s">
        <v>1294</v>
      </c>
      <c r="B890" s="72" t="s">
        <v>160</v>
      </c>
      <c r="C890" s="73">
        <v>118</v>
      </c>
      <c r="D890" s="73">
        <v>3221765.0908173802</v>
      </c>
      <c r="E890" s="72">
        <v>257741.20726539043</v>
      </c>
      <c r="F890" s="72" t="s">
        <v>70</v>
      </c>
      <c r="G890" s="72" t="s">
        <v>71</v>
      </c>
      <c r="H890" s="72" t="s">
        <v>72</v>
      </c>
    </row>
    <row r="891" spans="1:8" x14ac:dyDescent="0.25">
      <c r="A891" s="43" t="s">
        <v>3863</v>
      </c>
      <c r="B891" s="43" t="s">
        <v>160</v>
      </c>
      <c r="C891" s="46">
        <v>118</v>
      </c>
      <c r="D891" s="46">
        <v>2403135.3686343394</v>
      </c>
      <c r="E891" s="43">
        <v>72094.061059030195</v>
      </c>
      <c r="F891" s="43" t="s">
        <v>106</v>
      </c>
      <c r="G891" s="43" t="s">
        <v>71</v>
      </c>
      <c r="H891" s="43" t="s">
        <v>72</v>
      </c>
    </row>
    <row r="892" spans="1:8" x14ac:dyDescent="0.25">
      <c r="A892" s="72" t="s">
        <v>3082</v>
      </c>
      <c r="B892" s="72" t="s">
        <v>83</v>
      </c>
      <c r="C892" s="73">
        <v>118</v>
      </c>
      <c r="D892" s="73">
        <v>2799109.1166732977</v>
      </c>
      <c r="E892" s="72">
        <v>111964.36466693191</v>
      </c>
      <c r="F892" s="72" t="s">
        <v>87</v>
      </c>
      <c r="G892" s="72" t="s">
        <v>71</v>
      </c>
      <c r="H892" s="72" t="s">
        <v>88</v>
      </c>
    </row>
    <row r="893" spans="1:8" x14ac:dyDescent="0.25">
      <c r="A893" s="72" t="s">
        <v>1874</v>
      </c>
      <c r="B893" s="72" t="s">
        <v>232</v>
      </c>
      <c r="C893" s="73">
        <v>118</v>
      </c>
      <c r="D893" s="73">
        <v>2871681.1192144989</v>
      </c>
      <c r="E893" s="72">
        <v>201017.67834501489</v>
      </c>
      <c r="F893" s="72" t="s">
        <v>84</v>
      </c>
      <c r="G893" s="72" t="s">
        <v>71</v>
      </c>
      <c r="H893" s="72" t="s">
        <v>72</v>
      </c>
    </row>
    <row r="894" spans="1:8" x14ac:dyDescent="0.25">
      <c r="A894" s="72" t="s">
        <v>958</v>
      </c>
      <c r="B894" s="72" t="s">
        <v>105</v>
      </c>
      <c r="C894" s="73">
        <v>118</v>
      </c>
      <c r="D894" s="73">
        <v>3345355.8578021112</v>
      </c>
      <c r="E894" s="72">
        <v>301082.02720219002</v>
      </c>
      <c r="F894" s="72" t="s">
        <v>70</v>
      </c>
      <c r="G894" s="72" t="s">
        <v>71</v>
      </c>
      <c r="H894" s="72" t="s">
        <v>72</v>
      </c>
    </row>
    <row r="895" spans="1:8" x14ac:dyDescent="0.25">
      <c r="A895" s="72" t="s">
        <v>831</v>
      </c>
      <c r="B895" s="72" t="s">
        <v>105</v>
      </c>
      <c r="C895" s="73">
        <v>118</v>
      </c>
      <c r="D895" s="73">
        <v>2926320.7506705741</v>
      </c>
      <c r="E895" s="72">
        <v>321895.28257376322</v>
      </c>
      <c r="F895" s="72" t="s">
        <v>106</v>
      </c>
      <c r="G895" s="72" t="s">
        <v>71</v>
      </c>
      <c r="H895" s="72" t="s">
        <v>72</v>
      </c>
    </row>
    <row r="896" spans="1:8" x14ac:dyDescent="0.25">
      <c r="A896" s="43" t="s">
        <v>2133</v>
      </c>
      <c r="B896" s="43" t="s">
        <v>85</v>
      </c>
      <c r="C896" s="46">
        <v>118</v>
      </c>
      <c r="D896" s="46">
        <v>2947445.0517325685</v>
      </c>
      <c r="E896" s="43">
        <v>176846.70310395415</v>
      </c>
      <c r="F896" s="43" t="s">
        <v>78</v>
      </c>
      <c r="G896" s="43" t="s">
        <v>71</v>
      </c>
      <c r="H896" s="43" t="s">
        <v>72</v>
      </c>
    </row>
    <row r="897" spans="1:8" x14ac:dyDescent="0.25">
      <c r="A897" s="43" t="s">
        <v>2165</v>
      </c>
      <c r="B897" s="43" t="s">
        <v>323</v>
      </c>
      <c r="C897" s="46">
        <v>118</v>
      </c>
      <c r="D897" s="46">
        <v>2901222.9345915965</v>
      </c>
      <c r="E897" s="43">
        <v>174073.37607549582</v>
      </c>
      <c r="F897" s="43" t="s">
        <v>70</v>
      </c>
      <c r="G897" s="43" t="s">
        <v>71</v>
      </c>
      <c r="H897" s="43" t="s">
        <v>72</v>
      </c>
    </row>
    <row r="898" spans="1:8" x14ac:dyDescent="0.25">
      <c r="A898" s="43" t="s">
        <v>1295</v>
      </c>
      <c r="B898" s="43" t="s">
        <v>323</v>
      </c>
      <c r="C898" s="46">
        <v>118</v>
      </c>
      <c r="D898" s="46">
        <v>3221765.0908173802</v>
      </c>
      <c r="E898" s="43">
        <v>257741.20726539043</v>
      </c>
      <c r="F898" s="43" t="s">
        <v>70</v>
      </c>
      <c r="G898" s="43" t="s">
        <v>71</v>
      </c>
      <c r="H898" s="43" t="s">
        <v>72</v>
      </c>
    </row>
    <row r="899" spans="1:8" x14ac:dyDescent="0.25">
      <c r="A899" s="43" t="s">
        <v>959</v>
      </c>
      <c r="B899" s="43" t="s">
        <v>102</v>
      </c>
      <c r="C899" s="46">
        <v>118</v>
      </c>
      <c r="D899" s="46">
        <v>3345355.8578021112</v>
      </c>
      <c r="E899" s="43">
        <v>301082.02720219002</v>
      </c>
      <c r="F899" s="43" t="s">
        <v>70</v>
      </c>
      <c r="G899" s="43" t="s">
        <v>71</v>
      </c>
      <c r="H899" s="43" t="s">
        <v>72</v>
      </c>
    </row>
    <row r="900" spans="1:8" x14ac:dyDescent="0.25">
      <c r="A900" s="72" t="s">
        <v>2400</v>
      </c>
      <c r="B900" s="72" t="s">
        <v>115</v>
      </c>
      <c r="C900" s="73">
        <v>118</v>
      </c>
      <c r="D900" s="73">
        <v>2608600.0454724128</v>
      </c>
      <c r="E900" s="72">
        <v>156516.00272834476</v>
      </c>
      <c r="F900" s="72" t="s">
        <v>84</v>
      </c>
      <c r="G900" s="72" t="s">
        <v>71</v>
      </c>
      <c r="H900" s="72" t="s">
        <v>72</v>
      </c>
    </row>
    <row r="901" spans="1:8" x14ac:dyDescent="0.25">
      <c r="A901" s="72" t="s">
        <v>1296</v>
      </c>
      <c r="B901" s="72" t="s">
        <v>323</v>
      </c>
      <c r="C901" s="73">
        <v>118</v>
      </c>
      <c r="D901" s="73">
        <v>3221765.0908173802</v>
      </c>
      <c r="E901" s="72">
        <v>257741.20726539043</v>
      </c>
      <c r="F901" s="72" t="s">
        <v>70</v>
      </c>
      <c r="G901" s="72" t="s">
        <v>71</v>
      </c>
      <c r="H901" s="72" t="s">
        <v>72</v>
      </c>
    </row>
    <row r="902" spans="1:8" x14ac:dyDescent="0.25">
      <c r="A902" s="43" t="s">
        <v>470</v>
      </c>
      <c r="B902" s="43" t="s">
        <v>162</v>
      </c>
      <c r="C902" s="46">
        <v>118</v>
      </c>
      <c r="D902" s="46">
        <v>3553873.1674726526</v>
      </c>
      <c r="E902" s="43">
        <v>390926.04842199181</v>
      </c>
      <c r="F902" s="43" t="s">
        <v>70</v>
      </c>
      <c r="G902" s="43" t="s">
        <v>71</v>
      </c>
      <c r="H902" s="43" t="s">
        <v>72</v>
      </c>
    </row>
    <row r="903" spans="1:8" x14ac:dyDescent="0.25">
      <c r="A903" s="43" t="s">
        <v>2326</v>
      </c>
      <c r="B903" s="43" t="s">
        <v>127</v>
      </c>
      <c r="C903" s="46">
        <v>118</v>
      </c>
      <c r="D903" s="46">
        <v>2706049.5827962789</v>
      </c>
      <c r="E903" s="43">
        <v>162362.97496777677</v>
      </c>
      <c r="F903" s="43" t="s">
        <v>106</v>
      </c>
      <c r="G903" s="43" t="s">
        <v>71</v>
      </c>
      <c r="H903" s="43" t="s">
        <v>72</v>
      </c>
    </row>
    <row r="904" spans="1:8" x14ac:dyDescent="0.25">
      <c r="A904" s="43" t="s">
        <v>1308</v>
      </c>
      <c r="B904" s="43" t="s">
        <v>323</v>
      </c>
      <c r="C904" s="46">
        <v>117</v>
      </c>
      <c r="D904" s="46">
        <v>3196203.4035273097</v>
      </c>
      <c r="E904" s="43">
        <v>255696.27228218477</v>
      </c>
      <c r="F904" s="43" t="s">
        <v>70</v>
      </c>
      <c r="G904" s="43" t="s">
        <v>71</v>
      </c>
      <c r="H904" s="43" t="s">
        <v>72</v>
      </c>
    </row>
    <row r="905" spans="1:8" x14ac:dyDescent="0.25">
      <c r="A905" s="43" t="s">
        <v>1619</v>
      </c>
      <c r="B905" s="43" t="s">
        <v>75</v>
      </c>
      <c r="C905" s="46">
        <v>117</v>
      </c>
      <c r="D905" s="46">
        <v>2789545.9586710124</v>
      </c>
      <c r="E905" s="43">
        <v>223163.67669368099</v>
      </c>
      <c r="F905" s="43" t="s">
        <v>106</v>
      </c>
      <c r="G905" s="43" t="s">
        <v>71</v>
      </c>
      <c r="H905" s="43" t="s">
        <v>72</v>
      </c>
    </row>
    <row r="906" spans="1:8" x14ac:dyDescent="0.25">
      <c r="A906" s="43" t="s">
        <v>706</v>
      </c>
      <c r="B906" s="43" t="s">
        <v>102</v>
      </c>
      <c r="C906" s="46">
        <v>117</v>
      </c>
      <c r="D906" s="46">
        <v>3427317.8057116112</v>
      </c>
      <c r="E906" s="43">
        <v>342731.78057116113</v>
      </c>
      <c r="F906" s="43" t="s">
        <v>70</v>
      </c>
      <c r="G906" s="43" t="s">
        <v>71</v>
      </c>
      <c r="H906" s="43" t="s">
        <v>72</v>
      </c>
    </row>
    <row r="907" spans="1:8" x14ac:dyDescent="0.25">
      <c r="A907" s="43" t="s">
        <v>2769</v>
      </c>
      <c r="B907" s="43" t="s">
        <v>211</v>
      </c>
      <c r="C907" s="46">
        <v>117</v>
      </c>
      <c r="D907" s="46">
        <v>2637510.8689415879</v>
      </c>
      <c r="E907" s="43">
        <v>131875.5434470794</v>
      </c>
      <c r="F907" s="43" t="s">
        <v>70</v>
      </c>
      <c r="G907" s="43" t="s">
        <v>71</v>
      </c>
      <c r="H907" s="43" t="s">
        <v>72</v>
      </c>
    </row>
    <row r="908" spans="1:8" x14ac:dyDescent="0.25">
      <c r="A908" s="72" t="s">
        <v>464</v>
      </c>
      <c r="B908" s="72" t="s">
        <v>323</v>
      </c>
      <c r="C908" s="73">
        <v>117</v>
      </c>
      <c r="D908" s="73">
        <v>3588351.0997314476</v>
      </c>
      <c r="E908" s="72">
        <v>394718.62097045931</v>
      </c>
      <c r="F908" s="72" t="s">
        <v>78</v>
      </c>
      <c r="G908" s="72" t="s">
        <v>71</v>
      </c>
      <c r="H908" s="72" t="s">
        <v>72</v>
      </c>
    </row>
    <row r="909" spans="1:8" x14ac:dyDescent="0.25">
      <c r="A909" s="72" t="s">
        <v>2744</v>
      </c>
      <c r="B909" s="72" t="s">
        <v>100</v>
      </c>
      <c r="C909" s="73">
        <v>117</v>
      </c>
      <c r="D909" s="73">
        <v>2677325.4635723098</v>
      </c>
      <c r="E909" s="72">
        <v>133866.27317861549</v>
      </c>
      <c r="F909" s="72" t="s">
        <v>78</v>
      </c>
      <c r="G909" s="72" t="s">
        <v>71</v>
      </c>
      <c r="H909" s="72" t="s">
        <v>72</v>
      </c>
    </row>
    <row r="910" spans="1:8" x14ac:dyDescent="0.25">
      <c r="A910" s="72" t="s">
        <v>665</v>
      </c>
      <c r="B910" s="72" t="s">
        <v>93</v>
      </c>
      <c r="C910" s="73">
        <v>117</v>
      </c>
      <c r="D910" s="73">
        <v>3521186.6495890846</v>
      </c>
      <c r="E910" s="72">
        <v>352118.66495890846</v>
      </c>
      <c r="F910" s="72" t="s">
        <v>87</v>
      </c>
      <c r="G910" s="72" t="s">
        <v>71</v>
      </c>
      <c r="H910" s="72" t="s">
        <v>88</v>
      </c>
    </row>
    <row r="911" spans="1:8" x14ac:dyDescent="0.25">
      <c r="A911" s="43" t="s">
        <v>1567</v>
      </c>
      <c r="B911" s="43" t="s">
        <v>101</v>
      </c>
      <c r="C911" s="46">
        <v>117</v>
      </c>
      <c r="D911" s="46">
        <v>3261043.9712515851</v>
      </c>
      <c r="E911" s="43">
        <v>228273.07798761094</v>
      </c>
      <c r="F911" s="43" t="s">
        <v>87</v>
      </c>
      <c r="G911" s="43" t="s">
        <v>71</v>
      </c>
      <c r="H911" s="43" t="s">
        <v>88</v>
      </c>
    </row>
    <row r="912" spans="1:8" x14ac:dyDescent="0.25">
      <c r="A912" s="72" t="s">
        <v>1568</v>
      </c>
      <c r="B912" s="72" t="s">
        <v>77</v>
      </c>
      <c r="C912" s="73">
        <v>117</v>
      </c>
      <c r="D912" s="73">
        <v>3261043.9712515851</v>
      </c>
      <c r="E912" s="72">
        <v>228273.07798761094</v>
      </c>
      <c r="F912" s="72" t="s">
        <v>87</v>
      </c>
      <c r="G912" s="72" t="s">
        <v>71</v>
      </c>
      <c r="H912" s="72" t="s">
        <v>88</v>
      </c>
    </row>
    <row r="913" spans="1:8" x14ac:dyDescent="0.25">
      <c r="A913" s="43" t="s">
        <v>846</v>
      </c>
      <c r="B913" s="43" t="s">
        <v>75</v>
      </c>
      <c r="C913" s="46">
        <v>117</v>
      </c>
      <c r="D913" s="46">
        <v>2903173.5348113319</v>
      </c>
      <c r="E913" s="43">
        <v>319349.08882924652</v>
      </c>
      <c r="F913" s="43" t="s">
        <v>106</v>
      </c>
      <c r="G913" s="43" t="s">
        <v>71</v>
      </c>
      <c r="H913" s="43" t="s">
        <v>72</v>
      </c>
    </row>
    <row r="914" spans="1:8" x14ac:dyDescent="0.25">
      <c r="A914" s="72" t="s">
        <v>1309</v>
      </c>
      <c r="B914" s="72" t="s">
        <v>211</v>
      </c>
      <c r="C914" s="73">
        <v>117</v>
      </c>
      <c r="D914" s="73">
        <v>3196203.4035273097</v>
      </c>
      <c r="E914" s="72">
        <v>255696.27228218477</v>
      </c>
      <c r="F914" s="72" t="s">
        <v>70</v>
      </c>
      <c r="G914" s="72" t="s">
        <v>71</v>
      </c>
      <c r="H914" s="72" t="s">
        <v>72</v>
      </c>
    </row>
    <row r="915" spans="1:8" x14ac:dyDescent="0.25">
      <c r="A915" s="43" t="s">
        <v>3267</v>
      </c>
      <c r="B915" s="43" t="s">
        <v>112</v>
      </c>
      <c r="C915" s="46">
        <v>117</v>
      </c>
      <c r="D915" s="46">
        <v>2524202.8991777771</v>
      </c>
      <c r="E915" s="43">
        <v>100968.11596711108</v>
      </c>
      <c r="F915" s="43" t="s">
        <v>106</v>
      </c>
      <c r="G915" s="43" t="s">
        <v>71</v>
      </c>
      <c r="H915" s="43" t="s">
        <v>72</v>
      </c>
    </row>
    <row r="916" spans="1:8" x14ac:dyDescent="0.25">
      <c r="A916" s="43" t="s">
        <v>1720</v>
      </c>
      <c r="B916" s="43" t="s">
        <v>323</v>
      </c>
      <c r="C916" s="46">
        <v>117</v>
      </c>
      <c r="D916" s="46">
        <v>3053529.6703275382</v>
      </c>
      <c r="E916" s="43">
        <v>213747.07692292766</v>
      </c>
      <c r="F916" s="43" t="s">
        <v>70</v>
      </c>
      <c r="G916" s="43" t="s">
        <v>71</v>
      </c>
      <c r="H916" s="43" t="s">
        <v>72</v>
      </c>
    </row>
    <row r="917" spans="1:8" x14ac:dyDescent="0.25">
      <c r="A917" s="72" t="s">
        <v>1417</v>
      </c>
      <c r="B917" s="72" t="s">
        <v>115</v>
      </c>
      <c r="C917" s="73">
        <v>117</v>
      </c>
      <c r="D917" s="73">
        <v>3045355.8424250758</v>
      </c>
      <c r="E917" s="72">
        <v>243628.46739400606</v>
      </c>
      <c r="F917" s="72" t="s">
        <v>84</v>
      </c>
      <c r="G917" s="72" t="s">
        <v>71</v>
      </c>
      <c r="H917" s="72" t="s">
        <v>72</v>
      </c>
    </row>
    <row r="918" spans="1:8" x14ac:dyDescent="0.25">
      <c r="A918" s="43" t="s">
        <v>2151</v>
      </c>
      <c r="B918" s="43" t="s">
        <v>115</v>
      </c>
      <c r="C918" s="46">
        <v>117</v>
      </c>
      <c r="D918" s="46">
        <v>2924441.7808108092</v>
      </c>
      <c r="E918" s="43">
        <v>175466.5068486486</v>
      </c>
      <c r="F918" s="43" t="s">
        <v>78</v>
      </c>
      <c r="G918" s="43" t="s">
        <v>71</v>
      </c>
      <c r="H918" s="43" t="s">
        <v>72</v>
      </c>
    </row>
    <row r="919" spans="1:8" x14ac:dyDescent="0.25">
      <c r="A919" s="43" t="s">
        <v>2179</v>
      </c>
      <c r="B919" s="43" t="s">
        <v>85</v>
      </c>
      <c r="C919" s="46">
        <v>117</v>
      </c>
      <c r="D919" s="46">
        <v>2878377.7062525917</v>
      </c>
      <c r="E919" s="43">
        <v>172702.66237515555</v>
      </c>
      <c r="F919" s="43" t="s">
        <v>70</v>
      </c>
      <c r="G919" s="43" t="s">
        <v>71</v>
      </c>
      <c r="H919" s="43" t="s">
        <v>72</v>
      </c>
    </row>
    <row r="920" spans="1:8" x14ac:dyDescent="0.25">
      <c r="A920" s="72" t="s">
        <v>1741</v>
      </c>
      <c r="B920" s="72" t="s">
        <v>119</v>
      </c>
      <c r="C920" s="73">
        <v>116</v>
      </c>
      <c r="D920" s="73">
        <v>3029159.246646815</v>
      </c>
      <c r="E920" s="72">
        <v>212041.14726527702</v>
      </c>
      <c r="F920" s="72" t="s">
        <v>70</v>
      </c>
      <c r="G920" s="72" t="s">
        <v>71</v>
      </c>
      <c r="H920" s="72" t="s">
        <v>72</v>
      </c>
    </row>
    <row r="921" spans="1:8" x14ac:dyDescent="0.25">
      <c r="A921" s="43" t="s">
        <v>1330</v>
      </c>
      <c r="B921" s="43" t="s">
        <v>77</v>
      </c>
      <c r="C921" s="46">
        <v>116</v>
      </c>
      <c r="D921" s="46">
        <v>3170613.5462294938</v>
      </c>
      <c r="E921" s="43">
        <v>253649.08369835952</v>
      </c>
      <c r="F921" s="43" t="s">
        <v>70</v>
      </c>
      <c r="G921" s="43" t="s">
        <v>71</v>
      </c>
      <c r="H921" s="43" t="s">
        <v>72</v>
      </c>
    </row>
    <row r="922" spans="1:8" x14ac:dyDescent="0.25">
      <c r="A922" s="72" t="s">
        <v>1331</v>
      </c>
      <c r="B922" s="72" t="s">
        <v>85</v>
      </c>
      <c r="C922" s="73">
        <v>116</v>
      </c>
      <c r="D922" s="73">
        <v>3170613.5462294938</v>
      </c>
      <c r="E922" s="72">
        <v>253649.08369835952</v>
      </c>
      <c r="F922" s="72" t="s">
        <v>70</v>
      </c>
      <c r="G922" s="72" t="s">
        <v>71</v>
      </c>
      <c r="H922" s="72" t="s">
        <v>72</v>
      </c>
    </row>
    <row r="923" spans="1:8" x14ac:dyDescent="0.25">
      <c r="A923" s="43" t="s">
        <v>2796</v>
      </c>
      <c r="B923" s="43" t="s">
        <v>73</v>
      </c>
      <c r="C923" s="46">
        <v>116</v>
      </c>
      <c r="D923" s="46">
        <v>2616696.1615120266</v>
      </c>
      <c r="E923" s="43">
        <v>130834.80807560134</v>
      </c>
      <c r="F923" s="43" t="s">
        <v>70</v>
      </c>
      <c r="G923" s="43" t="s">
        <v>71</v>
      </c>
      <c r="H923" s="43" t="s">
        <v>72</v>
      </c>
    </row>
    <row r="924" spans="1:8" x14ac:dyDescent="0.25">
      <c r="A924" s="72" t="s">
        <v>998</v>
      </c>
      <c r="B924" s="72" t="s">
        <v>74</v>
      </c>
      <c r="C924" s="73">
        <v>116</v>
      </c>
      <c r="D924" s="73">
        <v>3292109.554451772</v>
      </c>
      <c r="E924" s="72">
        <v>296289.85990065947</v>
      </c>
      <c r="F924" s="72" t="s">
        <v>70</v>
      </c>
      <c r="G924" s="72" t="s">
        <v>71</v>
      </c>
      <c r="H924" s="72" t="s">
        <v>72</v>
      </c>
    </row>
    <row r="925" spans="1:8" x14ac:dyDescent="0.25">
      <c r="A925" s="72" t="s">
        <v>2812</v>
      </c>
      <c r="B925" s="72" t="s">
        <v>554</v>
      </c>
      <c r="C925" s="73">
        <v>116</v>
      </c>
      <c r="D925" s="73">
        <v>2594702.357740602</v>
      </c>
      <c r="E925" s="72">
        <v>129735.11788703011</v>
      </c>
      <c r="F925" s="72" t="s">
        <v>106</v>
      </c>
      <c r="G925" s="72" t="s">
        <v>71</v>
      </c>
      <c r="H925" s="72" t="s">
        <v>72</v>
      </c>
    </row>
    <row r="926" spans="1:8" x14ac:dyDescent="0.25">
      <c r="A926" s="72" t="s">
        <v>499</v>
      </c>
      <c r="B926" s="72" t="s">
        <v>97</v>
      </c>
      <c r="C926" s="73">
        <v>116</v>
      </c>
      <c r="D926" s="73">
        <v>3497092.6724329824</v>
      </c>
      <c r="E926" s="72">
        <v>384680.19396762812</v>
      </c>
      <c r="F926" s="72" t="s">
        <v>70</v>
      </c>
      <c r="G926" s="72" t="s">
        <v>71</v>
      </c>
      <c r="H926" s="72" t="s">
        <v>72</v>
      </c>
    </row>
    <row r="927" spans="1:8" x14ac:dyDescent="0.25">
      <c r="A927" s="72" t="s">
        <v>921</v>
      </c>
      <c r="B927" s="72" t="s">
        <v>75</v>
      </c>
      <c r="C927" s="73">
        <v>116</v>
      </c>
      <c r="D927" s="73">
        <v>3417113.2867151881</v>
      </c>
      <c r="E927" s="72">
        <v>307540.1958043669</v>
      </c>
      <c r="F927" s="72" t="s">
        <v>87</v>
      </c>
      <c r="G927" s="72" t="s">
        <v>71</v>
      </c>
      <c r="H927" s="72" t="s">
        <v>88</v>
      </c>
    </row>
    <row r="928" spans="1:8" x14ac:dyDescent="0.25">
      <c r="A928" s="43" t="s">
        <v>1742</v>
      </c>
      <c r="B928" s="43" t="s">
        <v>323</v>
      </c>
      <c r="C928" s="46">
        <v>116</v>
      </c>
      <c r="D928" s="46">
        <v>3029159.246646815</v>
      </c>
      <c r="E928" s="43">
        <v>212041.14726527702</v>
      </c>
      <c r="F928" s="43" t="s">
        <v>70</v>
      </c>
      <c r="G928" s="43" t="s">
        <v>71</v>
      </c>
      <c r="H928" s="43" t="s">
        <v>72</v>
      </c>
    </row>
    <row r="929" spans="1:8" x14ac:dyDescent="0.25">
      <c r="A929" s="72" t="s">
        <v>2797</v>
      </c>
      <c r="B929" s="72" t="s">
        <v>73</v>
      </c>
      <c r="C929" s="73">
        <v>116</v>
      </c>
      <c r="D929" s="73">
        <v>2616696.1615120266</v>
      </c>
      <c r="E929" s="72">
        <v>130834.80807560134</v>
      </c>
      <c r="F929" s="72" t="s">
        <v>70</v>
      </c>
      <c r="G929" s="72" t="s">
        <v>71</v>
      </c>
      <c r="H929" s="72" t="s">
        <v>72</v>
      </c>
    </row>
    <row r="930" spans="1:8" x14ac:dyDescent="0.25">
      <c r="A930" s="72" t="s">
        <v>1335</v>
      </c>
      <c r="B930" s="72" t="s">
        <v>75</v>
      </c>
      <c r="C930" s="73">
        <v>116</v>
      </c>
      <c r="D930" s="73">
        <v>2809100.7741501071</v>
      </c>
      <c r="E930" s="72">
        <v>252819.06967350963</v>
      </c>
      <c r="F930" s="72" t="s">
        <v>106</v>
      </c>
      <c r="G930" s="72" t="s">
        <v>71</v>
      </c>
      <c r="H930" s="72" t="s">
        <v>72</v>
      </c>
    </row>
    <row r="931" spans="1:8" x14ac:dyDescent="0.25">
      <c r="A931" s="72" t="s">
        <v>2192</v>
      </c>
      <c r="B931" s="72" t="s">
        <v>77</v>
      </c>
      <c r="C931" s="73">
        <v>116</v>
      </c>
      <c r="D931" s="73">
        <v>2855504.3079058421</v>
      </c>
      <c r="E931" s="72">
        <v>171330.25847435056</v>
      </c>
      <c r="F931" s="72" t="s">
        <v>70</v>
      </c>
      <c r="G931" s="72" t="s">
        <v>71</v>
      </c>
      <c r="H931" s="72" t="s">
        <v>72</v>
      </c>
    </row>
    <row r="932" spans="1:8" x14ac:dyDescent="0.25">
      <c r="A932" s="72" t="s">
        <v>2502</v>
      </c>
      <c r="B932" s="72" t="s">
        <v>202</v>
      </c>
      <c r="C932" s="73">
        <v>116</v>
      </c>
      <c r="D932" s="73">
        <v>2969713.6087065614</v>
      </c>
      <c r="E932" s="72">
        <v>148485.68043532807</v>
      </c>
      <c r="F932" s="72" t="s">
        <v>87</v>
      </c>
      <c r="G932" s="72" t="s">
        <v>71</v>
      </c>
      <c r="H932" s="72" t="s">
        <v>88</v>
      </c>
    </row>
    <row r="933" spans="1:8" x14ac:dyDescent="0.25">
      <c r="A933" s="72" t="s">
        <v>1743</v>
      </c>
      <c r="B933" s="72" t="s">
        <v>102</v>
      </c>
      <c r="C933" s="73">
        <v>116</v>
      </c>
      <c r="D933" s="73">
        <v>3029159.246646815</v>
      </c>
      <c r="E933" s="72">
        <v>212041.14726527702</v>
      </c>
      <c r="F933" s="72" t="s">
        <v>70</v>
      </c>
      <c r="G933" s="72" t="s">
        <v>71</v>
      </c>
      <c r="H933" s="72" t="s">
        <v>72</v>
      </c>
    </row>
    <row r="934" spans="1:8" x14ac:dyDescent="0.25">
      <c r="A934" s="72" t="s">
        <v>1345</v>
      </c>
      <c r="B934" s="72" t="s">
        <v>211</v>
      </c>
      <c r="C934" s="73">
        <v>115</v>
      </c>
      <c r="D934" s="73">
        <v>3144995.4790715752</v>
      </c>
      <c r="E934" s="72">
        <v>251599.63832572603</v>
      </c>
      <c r="F934" s="72" t="s">
        <v>70</v>
      </c>
      <c r="G934" s="72" t="s">
        <v>71</v>
      </c>
      <c r="H934" s="72" t="s">
        <v>72</v>
      </c>
    </row>
    <row r="935" spans="1:8" x14ac:dyDescent="0.25">
      <c r="A935" s="72" t="s">
        <v>511</v>
      </c>
      <c r="B935" s="72" t="s">
        <v>323</v>
      </c>
      <c r="C935" s="73">
        <v>115</v>
      </c>
      <c r="D935" s="73">
        <v>3468660.1300491714</v>
      </c>
      <c r="E935" s="72">
        <v>381552.6143054089</v>
      </c>
      <c r="F935" s="72" t="s">
        <v>70</v>
      </c>
      <c r="G935" s="72" t="s">
        <v>71</v>
      </c>
      <c r="H935" s="72" t="s">
        <v>72</v>
      </c>
    </row>
    <row r="936" spans="1:8" x14ac:dyDescent="0.25">
      <c r="A936" s="43" t="s">
        <v>2829</v>
      </c>
      <c r="B936" s="43" t="s">
        <v>75</v>
      </c>
      <c r="C936" s="46">
        <v>115</v>
      </c>
      <c r="D936" s="46">
        <v>2573961.8264539144</v>
      </c>
      <c r="E936" s="43">
        <v>128698.09132269572</v>
      </c>
      <c r="F936" s="43" t="s">
        <v>106</v>
      </c>
      <c r="G936" s="43" t="s">
        <v>71</v>
      </c>
      <c r="H936" s="43" t="s">
        <v>72</v>
      </c>
    </row>
    <row r="937" spans="1:8" x14ac:dyDescent="0.25">
      <c r="A937" s="72" t="s">
        <v>2219</v>
      </c>
      <c r="B937" s="72" t="s">
        <v>323</v>
      </c>
      <c r="C937" s="73">
        <v>115</v>
      </c>
      <c r="D937" s="73">
        <v>2832602.6996989897</v>
      </c>
      <c r="E937" s="72">
        <v>169956.16198193943</v>
      </c>
      <c r="F937" s="72" t="s">
        <v>70</v>
      </c>
      <c r="G937" s="72" t="s">
        <v>71</v>
      </c>
      <c r="H937" s="72" t="s">
        <v>72</v>
      </c>
    </row>
    <row r="938" spans="1:8" x14ac:dyDescent="0.25">
      <c r="A938" s="43" t="s">
        <v>2220</v>
      </c>
      <c r="B938" s="43" t="s">
        <v>323</v>
      </c>
      <c r="C938" s="46">
        <v>115</v>
      </c>
      <c r="D938" s="46">
        <v>2832602.6996989897</v>
      </c>
      <c r="E938" s="43">
        <v>169956.16198193943</v>
      </c>
      <c r="F938" s="43" t="s">
        <v>70</v>
      </c>
      <c r="G938" s="43" t="s">
        <v>71</v>
      </c>
      <c r="H938" s="43" t="s">
        <v>72</v>
      </c>
    </row>
    <row r="939" spans="1:8" x14ac:dyDescent="0.25">
      <c r="A939" s="72" t="s">
        <v>1759</v>
      </c>
      <c r="B939" s="72" t="s">
        <v>323</v>
      </c>
      <c r="C939" s="73">
        <v>115</v>
      </c>
      <c r="D939" s="73">
        <v>3004760.6131059881</v>
      </c>
      <c r="E939" s="72">
        <v>210333.24291741915</v>
      </c>
      <c r="F939" s="72" t="s">
        <v>70</v>
      </c>
      <c r="G939" s="72" t="s">
        <v>71</v>
      </c>
      <c r="H939" s="72" t="s">
        <v>72</v>
      </c>
    </row>
    <row r="940" spans="1:8" x14ac:dyDescent="0.25">
      <c r="A940" s="43" t="s">
        <v>1346</v>
      </c>
      <c r="B940" s="43" t="s">
        <v>957</v>
      </c>
      <c r="C940" s="46">
        <v>115</v>
      </c>
      <c r="D940" s="46">
        <v>3144995.4790715752</v>
      </c>
      <c r="E940" s="43">
        <v>251599.63832572603</v>
      </c>
      <c r="F940" s="43" t="s">
        <v>70</v>
      </c>
      <c r="G940" s="43" t="s">
        <v>71</v>
      </c>
      <c r="H940" s="43" t="s">
        <v>72</v>
      </c>
    </row>
    <row r="941" spans="1:8" x14ac:dyDescent="0.25">
      <c r="A941" s="72" t="s">
        <v>1095</v>
      </c>
      <c r="B941" s="72" t="s">
        <v>257</v>
      </c>
      <c r="C941" s="73">
        <v>115</v>
      </c>
      <c r="D941" s="73">
        <v>2823418.1485775616</v>
      </c>
      <c r="E941" s="72">
        <v>282341.8148577562</v>
      </c>
      <c r="F941" s="72" t="s">
        <v>106</v>
      </c>
      <c r="G941" s="72" t="s">
        <v>71</v>
      </c>
      <c r="H941" s="72" t="s">
        <v>72</v>
      </c>
    </row>
    <row r="942" spans="1:8" x14ac:dyDescent="0.25">
      <c r="A942" s="43" t="s">
        <v>1605</v>
      </c>
      <c r="B942" s="43" t="s">
        <v>81</v>
      </c>
      <c r="C942" s="46">
        <v>115</v>
      </c>
      <c r="D942" s="46">
        <v>3208158.7299378663</v>
      </c>
      <c r="E942" s="43">
        <v>224571.11109565062</v>
      </c>
      <c r="F942" s="43" t="s">
        <v>87</v>
      </c>
      <c r="G942" s="43" t="s">
        <v>71</v>
      </c>
      <c r="H942" s="43" t="s">
        <v>88</v>
      </c>
    </row>
    <row r="943" spans="1:8" x14ac:dyDescent="0.25">
      <c r="A943" s="43" t="s">
        <v>704</v>
      </c>
      <c r="B943" s="43" t="s">
        <v>97</v>
      </c>
      <c r="C943" s="46">
        <v>115</v>
      </c>
      <c r="D943" s="46">
        <v>3431895.7298702262</v>
      </c>
      <c r="E943" s="43">
        <v>343189.57298702264</v>
      </c>
      <c r="F943" s="43" t="s">
        <v>78</v>
      </c>
      <c r="G943" s="43" t="s">
        <v>71</v>
      </c>
      <c r="H943" s="43" t="s">
        <v>72</v>
      </c>
    </row>
    <row r="944" spans="1:8" x14ac:dyDescent="0.25">
      <c r="A944" s="72" t="s">
        <v>1010</v>
      </c>
      <c r="B944" s="72" t="s">
        <v>75</v>
      </c>
      <c r="C944" s="73">
        <v>115</v>
      </c>
      <c r="D944" s="73">
        <v>3265444.107912627</v>
      </c>
      <c r="E944" s="72">
        <v>293889.96971213643</v>
      </c>
      <c r="F944" s="72" t="s">
        <v>70</v>
      </c>
      <c r="G944" s="72" t="s">
        <v>71</v>
      </c>
      <c r="H944" s="72" t="s">
        <v>72</v>
      </c>
    </row>
    <row r="945" spans="1:8" x14ac:dyDescent="0.25">
      <c r="A945" s="72" t="s">
        <v>731</v>
      </c>
      <c r="B945" s="72" t="s">
        <v>74</v>
      </c>
      <c r="C945" s="73">
        <v>115</v>
      </c>
      <c r="D945" s="73">
        <v>3372159.2077142643</v>
      </c>
      <c r="E945" s="72">
        <v>337215.92077142646</v>
      </c>
      <c r="F945" s="72" t="s">
        <v>70</v>
      </c>
      <c r="G945" s="72" t="s">
        <v>71</v>
      </c>
      <c r="H945" s="72" t="s">
        <v>72</v>
      </c>
    </row>
    <row r="946" spans="1:8" x14ac:dyDescent="0.25">
      <c r="A946" s="43" t="s">
        <v>1011</v>
      </c>
      <c r="B946" s="43" t="s">
        <v>102</v>
      </c>
      <c r="C946" s="46">
        <v>115</v>
      </c>
      <c r="D946" s="46">
        <v>3265444.107912627</v>
      </c>
      <c r="E946" s="43">
        <v>293889.96971213643</v>
      </c>
      <c r="F946" s="43" t="s">
        <v>70</v>
      </c>
      <c r="G946" s="43" t="s">
        <v>71</v>
      </c>
      <c r="H946" s="43" t="s">
        <v>72</v>
      </c>
    </row>
    <row r="947" spans="1:8" x14ac:dyDescent="0.25">
      <c r="A947" s="43" t="s">
        <v>1760</v>
      </c>
      <c r="B947" s="43" t="s">
        <v>110</v>
      </c>
      <c r="C947" s="46">
        <v>115</v>
      </c>
      <c r="D947" s="46">
        <v>3004760.6131059881</v>
      </c>
      <c r="E947" s="43">
        <v>210333.24291741915</v>
      </c>
      <c r="F947" s="43" t="s">
        <v>70</v>
      </c>
      <c r="G947" s="43" t="s">
        <v>71</v>
      </c>
      <c r="H947" s="43" t="s">
        <v>72</v>
      </c>
    </row>
    <row r="948" spans="1:8" x14ac:dyDescent="0.25">
      <c r="A948" s="43" t="s">
        <v>512</v>
      </c>
      <c r="B948" s="43" t="s">
        <v>105</v>
      </c>
      <c r="C948" s="46">
        <v>115</v>
      </c>
      <c r="D948" s="46">
        <v>3468660.1300491714</v>
      </c>
      <c r="E948" s="43">
        <v>381552.6143054089</v>
      </c>
      <c r="F948" s="43" t="s">
        <v>70</v>
      </c>
      <c r="G948" s="43" t="s">
        <v>71</v>
      </c>
      <c r="H948" s="43" t="s">
        <v>72</v>
      </c>
    </row>
    <row r="949" spans="1:8" x14ac:dyDescent="0.25">
      <c r="A949" s="43" t="s">
        <v>777</v>
      </c>
      <c r="B949" s="43" t="s">
        <v>83</v>
      </c>
      <c r="C949" s="46">
        <v>115</v>
      </c>
      <c r="D949" s="46">
        <v>3301063.7311878777</v>
      </c>
      <c r="E949" s="43">
        <v>330106.37311878777</v>
      </c>
      <c r="F949" s="43" t="s">
        <v>84</v>
      </c>
      <c r="G949" s="43" t="s">
        <v>71</v>
      </c>
      <c r="H949" s="43" t="s">
        <v>72</v>
      </c>
    </row>
    <row r="950" spans="1:8" x14ac:dyDescent="0.25">
      <c r="A950" s="72" t="s">
        <v>1231</v>
      </c>
      <c r="B950" s="72" t="s">
        <v>252</v>
      </c>
      <c r="C950" s="73">
        <v>115</v>
      </c>
      <c r="D950" s="73">
        <v>3305002.1108816923</v>
      </c>
      <c r="E950" s="72">
        <v>264400.16887053539</v>
      </c>
      <c r="F950" s="72" t="s">
        <v>87</v>
      </c>
      <c r="G950" s="72" t="s">
        <v>71</v>
      </c>
      <c r="H950" s="72" t="s">
        <v>88</v>
      </c>
    </row>
    <row r="951" spans="1:8" x14ac:dyDescent="0.25">
      <c r="A951" s="72" t="s">
        <v>2031</v>
      </c>
      <c r="B951" s="72" t="s">
        <v>1669</v>
      </c>
      <c r="C951" s="73">
        <v>115</v>
      </c>
      <c r="D951" s="73">
        <v>3092500.9704416208</v>
      </c>
      <c r="E951" s="72">
        <v>185550.05822649723</v>
      </c>
      <c r="F951" s="72" t="s">
        <v>87</v>
      </c>
      <c r="G951" s="72" t="s">
        <v>71</v>
      </c>
      <c r="H951" s="72" t="s">
        <v>88</v>
      </c>
    </row>
    <row r="952" spans="1:8" x14ac:dyDescent="0.25">
      <c r="A952" s="43" t="s">
        <v>732</v>
      </c>
      <c r="B952" s="43" t="s">
        <v>323</v>
      </c>
      <c r="C952" s="46">
        <v>115</v>
      </c>
      <c r="D952" s="46">
        <v>3372159.2077142643</v>
      </c>
      <c r="E952" s="43">
        <v>337215.92077142646</v>
      </c>
      <c r="F952" s="43" t="s">
        <v>70</v>
      </c>
      <c r="G952" s="43" t="s">
        <v>71</v>
      </c>
      <c r="H952" s="43" t="s">
        <v>72</v>
      </c>
    </row>
    <row r="953" spans="1:8" x14ac:dyDescent="0.25">
      <c r="A953" s="72" t="s">
        <v>2532</v>
      </c>
      <c r="B953" s="72" t="s">
        <v>77</v>
      </c>
      <c r="C953" s="73">
        <v>115</v>
      </c>
      <c r="D953" s="73">
        <v>2945542.7445306038</v>
      </c>
      <c r="E953" s="72">
        <v>147277.13722653021</v>
      </c>
      <c r="F953" s="72" t="s">
        <v>87</v>
      </c>
      <c r="G953" s="72" t="s">
        <v>71</v>
      </c>
      <c r="H953" s="72" t="s">
        <v>88</v>
      </c>
    </row>
    <row r="954" spans="1:8" x14ac:dyDescent="0.25">
      <c r="A954" s="72" t="s">
        <v>1012</v>
      </c>
      <c r="B954" s="72" t="s">
        <v>162</v>
      </c>
      <c r="C954" s="73">
        <v>115</v>
      </c>
      <c r="D954" s="73">
        <v>3265444.107912627</v>
      </c>
      <c r="E954" s="72">
        <v>293889.96971213643</v>
      </c>
      <c r="F954" s="72" t="s">
        <v>70</v>
      </c>
      <c r="G954" s="72" t="s">
        <v>71</v>
      </c>
      <c r="H954" s="72" t="s">
        <v>72</v>
      </c>
    </row>
    <row r="955" spans="1:8" x14ac:dyDescent="0.25">
      <c r="A955" s="72" t="s">
        <v>733</v>
      </c>
      <c r="B955" s="72" t="s">
        <v>162</v>
      </c>
      <c r="C955" s="73">
        <v>115</v>
      </c>
      <c r="D955" s="73">
        <v>3372159.2077142643</v>
      </c>
      <c r="E955" s="72">
        <v>337215.92077142646</v>
      </c>
      <c r="F955" s="72" t="s">
        <v>70</v>
      </c>
      <c r="G955" s="72" t="s">
        <v>71</v>
      </c>
      <c r="H955" s="72" t="s">
        <v>72</v>
      </c>
    </row>
    <row r="956" spans="1:8" x14ac:dyDescent="0.25">
      <c r="A956" s="43" t="s">
        <v>1013</v>
      </c>
      <c r="B956" s="43" t="s">
        <v>97</v>
      </c>
      <c r="C956" s="46">
        <v>115</v>
      </c>
      <c r="D956" s="46">
        <v>3265444.107912627</v>
      </c>
      <c r="E956" s="43">
        <v>293889.96971213643</v>
      </c>
      <c r="F956" s="43" t="s">
        <v>70</v>
      </c>
      <c r="G956" s="43" t="s">
        <v>71</v>
      </c>
      <c r="H956" s="43" t="s">
        <v>72</v>
      </c>
    </row>
    <row r="957" spans="1:8" x14ac:dyDescent="0.25">
      <c r="A957" s="72" t="s">
        <v>1014</v>
      </c>
      <c r="B957" s="72" t="s">
        <v>378</v>
      </c>
      <c r="C957" s="73">
        <v>115</v>
      </c>
      <c r="D957" s="73">
        <v>3265444.107912627</v>
      </c>
      <c r="E957" s="72">
        <v>293889.96971213643</v>
      </c>
      <c r="F957" s="72" t="s">
        <v>70</v>
      </c>
      <c r="G957" s="72" t="s">
        <v>71</v>
      </c>
      <c r="H957" s="72" t="s">
        <v>72</v>
      </c>
    </row>
    <row r="958" spans="1:8" x14ac:dyDescent="0.25">
      <c r="A958" s="43" t="s">
        <v>1682</v>
      </c>
      <c r="B958" s="43" t="s">
        <v>75</v>
      </c>
      <c r="C958" s="46">
        <v>114</v>
      </c>
      <c r="D958" s="46">
        <v>2722859.4598575723</v>
      </c>
      <c r="E958" s="43">
        <v>217828.7567886058</v>
      </c>
      <c r="F958" s="43" t="s">
        <v>106</v>
      </c>
      <c r="G958" s="43" t="s">
        <v>71</v>
      </c>
      <c r="H958" s="43" t="s">
        <v>72</v>
      </c>
    </row>
    <row r="959" spans="1:8" x14ac:dyDescent="0.25">
      <c r="A959" s="72" t="s">
        <v>1359</v>
      </c>
      <c r="B959" s="72" t="s">
        <v>211</v>
      </c>
      <c r="C959" s="73">
        <v>114</v>
      </c>
      <c r="D959" s="73">
        <v>3119349.1621515625</v>
      </c>
      <c r="E959" s="72">
        <v>249547.93297212501</v>
      </c>
      <c r="F959" s="72" t="s">
        <v>70</v>
      </c>
      <c r="G959" s="72" t="s">
        <v>71</v>
      </c>
      <c r="H959" s="72" t="s">
        <v>72</v>
      </c>
    </row>
    <row r="960" spans="1:8" x14ac:dyDescent="0.25">
      <c r="A960" s="72" t="s">
        <v>2828</v>
      </c>
      <c r="B960" s="72" t="s">
        <v>211</v>
      </c>
      <c r="C960" s="73">
        <v>114</v>
      </c>
      <c r="D960" s="73">
        <v>2574982.077170602</v>
      </c>
      <c r="E960" s="72">
        <v>128749.10385853011</v>
      </c>
      <c r="F960" s="72" t="s">
        <v>70</v>
      </c>
      <c r="G960" s="72" t="s">
        <v>71</v>
      </c>
      <c r="H960" s="72" t="s">
        <v>72</v>
      </c>
    </row>
    <row r="961" spans="1:8" x14ac:dyDescent="0.25">
      <c r="A961" s="43" t="s">
        <v>1360</v>
      </c>
      <c r="B961" s="43" t="s">
        <v>160</v>
      </c>
      <c r="C961" s="46">
        <v>114</v>
      </c>
      <c r="D961" s="46">
        <v>3119349.1621515625</v>
      </c>
      <c r="E961" s="43">
        <v>249547.93297212501</v>
      </c>
      <c r="F961" s="43" t="s">
        <v>70</v>
      </c>
      <c r="G961" s="43" t="s">
        <v>71</v>
      </c>
      <c r="H961" s="43" t="s">
        <v>72</v>
      </c>
    </row>
    <row r="962" spans="1:8" x14ac:dyDescent="0.25">
      <c r="A962" s="43" t="s">
        <v>1034</v>
      </c>
      <c r="B962" s="43" t="s">
        <v>75</v>
      </c>
      <c r="C962" s="46">
        <v>114</v>
      </c>
      <c r="D962" s="46">
        <v>3238750.4116113866</v>
      </c>
      <c r="E962" s="43">
        <v>291487.5370450248</v>
      </c>
      <c r="F962" s="43" t="s">
        <v>70</v>
      </c>
      <c r="G962" s="43" t="s">
        <v>71</v>
      </c>
      <c r="H962" s="43" t="s">
        <v>72</v>
      </c>
    </row>
    <row r="963" spans="1:8" x14ac:dyDescent="0.25">
      <c r="A963" s="72" t="s">
        <v>746</v>
      </c>
      <c r="B963" s="72" t="s">
        <v>149</v>
      </c>
      <c r="C963" s="73">
        <v>114</v>
      </c>
      <c r="D963" s="73">
        <v>3344537.5540234447</v>
      </c>
      <c r="E963" s="72">
        <v>334453.75540234451</v>
      </c>
      <c r="F963" s="72" t="s">
        <v>70</v>
      </c>
      <c r="G963" s="72" t="s">
        <v>71</v>
      </c>
      <c r="H963" s="72" t="s">
        <v>72</v>
      </c>
    </row>
    <row r="964" spans="1:8" x14ac:dyDescent="0.25">
      <c r="A964" s="72" t="s">
        <v>1035</v>
      </c>
      <c r="B964" s="72" t="s">
        <v>102</v>
      </c>
      <c r="C964" s="73">
        <v>114</v>
      </c>
      <c r="D964" s="73">
        <v>3238750.4116113866</v>
      </c>
      <c r="E964" s="72">
        <v>291487.5370450248</v>
      </c>
      <c r="F964" s="72" t="s">
        <v>70</v>
      </c>
      <c r="G964" s="72" t="s">
        <v>71</v>
      </c>
      <c r="H964" s="72" t="s">
        <v>72</v>
      </c>
    </row>
    <row r="965" spans="1:8" x14ac:dyDescent="0.25">
      <c r="A965" s="43" t="s">
        <v>2551</v>
      </c>
      <c r="B965" s="43" t="s">
        <v>73</v>
      </c>
      <c r="C965" s="46">
        <v>114</v>
      </c>
      <c r="D965" s="46">
        <v>2921348.130186744</v>
      </c>
      <c r="E965" s="43">
        <v>146067.40650933722</v>
      </c>
      <c r="F965" s="43" t="s">
        <v>87</v>
      </c>
      <c r="G965" s="43" t="s">
        <v>71</v>
      </c>
      <c r="H965" s="43" t="s">
        <v>88</v>
      </c>
    </row>
    <row r="966" spans="1:8" x14ac:dyDescent="0.25">
      <c r="A966" s="72" t="s">
        <v>2053</v>
      </c>
      <c r="B966" s="72" t="s">
        <v>69</v>
      </c>
      <c r="C966" s="73">
        <v>114</v>
      </c>
      <c r="D966" s="73">
        <v>3067028.4584811432</v>
      </c>
      <c r="E966" s="72">
        <v>184021.7075088686</v>
      </c>
      <c r="F966" s="72" t="s">
        <v>87</v>
      </c>
      <c r="G966" s="72" t="s">
        <v>71</v>
      </c>
      <c r="H966" s="72" t="s">
        <v>88</v>
      </c>
    </row>
    <row r="967" spans="1:8" x14ac:dyDescent="0.25">
      <c r="A967" s="43" t="s">
        <v>2393</v>
      </c>
      <c r="B967" s="43" t="s">
        <v>112</v>
      </c>
      <c r="C967" s="46">
        <v>114</v>
      </c>
      <c r="D967" s="46">
        <v>2620769.1597802322</v>
      </c>
      <c r="E967" s="43">
        <v>157246.14958681396</v>
      </c>
      <c r="F967" s="43" t="s">
        <v>106</v>
      </c>
      <c r="G967" s="43" t="s">
        <v>71</v>
      </c>
      <c r="H967" s="43" t="s">
        <v>72</v>
      </c>
    </row>
    <row r="968" spans="1:8" x14ac:dyDescent="0.25">
      <c r="A968" s="43" t="s">
        <v>525</v>
      </c>
      <c r="B968" s="43" t="s">
        <v>112</v>
      </c>
      <c r="C968" s="46">
        <v>114</v>
      </c>
      <c r="D968" s="46">
        <v>3440199.3379032654</v>
      </c>
      <c r="E968" s="43">
        <v>378421.92716935923</v>
      </c>
      <c r="F968" s="43" t="s">
        <v>70</v>
      </c>
      <c r="G968" s="43" t="s">
        <v>71</v>
      </c>
      <c r="H968" s="43" t="s">
        <v>72</v>
      </c>
    </row>
    <row r="969" spans="1:8" x14ac:dyDescent="0.25">
      <c r="A969" s="72" t="s">
        <v>1361</v>
      </c>
      <c r="B969" s="72" t="s">
        <v>112</v>
      </c>
      <c r="C969" s="73">
        <v>114</v>
      </c>
      <c r="D969" s="73">
        <v>3119349.1621515625</v>
      </c>
      <c r="E969" s="72">
        <v>249547.93297212501</v>
      </c>
      <c r="F969" s="72" t="s">
        <v>70</v>
      </c>
      <c r="G969" s="72" t="s">
        <v>71</v>
      </c>
      <c r="H969" s="72" t="s">
        <v>72</v>
      </c>
    </row>
    <row r="970" spans="1:8" x14ac:dyDescent="0.25">
      <c r="A970" s="72" t="s">
        <v>526</v>
      </c>
      <c r="B970" s="72" t="s">
        <v>323</v>
      </c>
      <c r="C970" s="73">
        <v>114</v>
      </c>
      <c r="D970" s="73">
        <v>3440199.3379032654</v>
      </c>
      <c r="E970" s="72">
        <v>378421.92716935923</v>
      </c>
      <c r="F970" s="72" t="s">
        <v>70</v>
      </c>
      <c r="G970" s="72" t="s">
        <v>71</v>
      </c>
      <c r="H970" s="72" t="s">
        <v>72</v>
      </c>
    </row>
    <row r="971" spans="1:8" x14ac:dyDescent="0.25">
      <c r="A971" s="72" t="s">
        <v>2254</v>
      </c>
      <c r="B971" s="72" t="s">
        <v>119</v>
      </c>
      <c r="C971" s="73">
        <v>113</v>
      </c>
      <c r="D971" s="73">
        <v>2786714.6940473183</v>
      </c>
      <c r="E971" s="72">
        <v>167202.88164283914</v>
      </c>
      <c r="F971" s="72" t="s">
        <v>70</v>
      </c>
      <c r="G971" s="72" t="s">
        <v>71</v>
      </c>
      <c r="H971" s="72" t="s">
        <v>72</v>
      </c>
    </row>
    <row r="972" spans="1:8" x14ac:dyDescent="0.25">
      <c r="A972" s="43" t="s">
        <v>2255</v>
      </c>
      <c r="B972" s="43" t="s">
        <v>73</v>
      </c>
      <c r="C972" s="46">
        <v>113</v>
      </c>
      <c r="D972" s="46">
        <v>2786714.6940473183</v>
      </c>
      <c r="E972" s="43">
        <v>167202.88164283914</v>
      </c>
      <c r="F972" s="43" t="s">
        <v>70</v>
      </c>
      <c r="G972" s="43" t="s">
        <v>71</v>
      </c>
      <c r="H972" s="43" t="s">
        <v>72</v>
      </c>
    </row>
    <row r="973" spans="1:8" x14ac:dyDescent="0.25">
      <c r="A973" s="72" t="s">
        <v>1139</v>
      </c>
      <c r="B973" s="72" t="s">
        <v>176</v>
      </c>
      <c r="C973" s="73">
        <v>113</v>
      </c>
      <c r="D973" s="73">
        <v>2777519.2935470706</v>
      </c>
      <c r="E973" s="72">
        <v>277751.92935470707</v>
      </c>
      <c r="F973" s="72" t="s">
        <v>106</v>
      </c>
      <c r="G973" s="72" t="s">
        <v>71</v>
      </c>
      <c r="H973" s="72" t="s">
        <v>72</v>
      </c>
    </row>
    <row r="974" spans="1:8" x14ac:dyDescent="0.25">
      <c r="A974" s="72" t="s">
        <v>2070</v>
      </c>
      <c r="B974" s="72" t="s">
        <v>93</v>
      </c>
      <c r="C974" s="73">
        <v>113</v>
      </c>
      <c r="D974" s="73">
        <v>3041532.1677214708</v>
      </c>
      <c r="E974" s="72">
        <v>182491.93006328825</v>
      </c>
      <c r="F974" s="72" t="s">
        <v>87</v>
      </c>
      <c r="G974" s="72" t="s">
        <v>71</v>
      </c>
      <c r="H974" s="72" t="s">
        <v>88</v>
      </c>
    </row>
    <row r="975" spans="1:8" x14ac:dyDescent="0.25">
      <c r="A975" s="72" t="s">
        <v>2859</v>
      </c>
      <c r="B975" s="72" t="s">
        <v>367</v>
      </c>
      <c r="C975" s="73">
        <v>113</v>
      </c>
      <c r="D975" s="73">
        <v>2532401.3422429645</v>
      </c>
      <c r="E975" s="72">
        <v>126620.06711214823</v>
      </c>
      <c r="F975" s="72" t="s">
        <v>106</v>
      </c>
      <c r="G975" s="72" t="s">
        <v>71</v>
      </c>
      <c r="H975" s="72" t="s">
        <v>72</v>
      </c>
    </row>
    <row r="976" spans="1:8" x14ac:dyDescent="0.25">
      <c r="A976" s="72" t="s">
        <v>768</v>
      </c>
      <c r="B976" s="72" t="s">
        <v>102</v>
      </c>
      <c r="C976" s="73">
        <v>113</v>
      </c>
      <c r="D976" s="73">
        <v>3316887.6106188502</v>
      </c>
      <c r="E976" s="72">
        <v>331688.76106188504</v>
      </c>
      <c r="F976" s="72" t="s">
        <v>70</v>
      </c>
      <c r="G976" s="72" t="s">
        <v>71</v>
      </c>
      <c r="H976" s="72" t="s">
        <v>72</v>
      </c>
    </row>
    <row r="977" spans="1:8" x14ac:dyDescent="0.25">
      <c r="A977" s="43" t="s">
        <v>2850</v>
      </c>
      <c r="B977" s="43" t="s">
        <v>323</v>
      </c>
      <c r="C977" s="46">
        <v>113</v>
      </c>
      <c r="D977" s="46">
        <v>2554082.6204050668</v>
      </c>
      <c r="E977" s="43">
        <v>127704.13102025335</v>
      </c>
      <c r="F977" s="43" t="s">
        <v>70</v>
      </c>
      <c r="G977" s="43" t="s">
        <v>71</v>
      </c>
      <c r="H977" s="43" t="s">
        <v>72</v>
      </c>
    </row>
    <row r="978" spans="1:8" x14ac:dyDescent="0.25">
      <c r="A978" s="72" t="s">
        <v>3938</v>
      </c>
      <c r="B978" s="72" t="s">
        <v>101</v>
      </c>
      <c r="C978" s="73">
        <v>113</v>
      </c>
      <c r="D978" s="73">
        <v>2309304.0419039354</v>
      </c>
      <c r="E978" s="72">
        <v>69279.12125711808</v>
      </c>
      <c r="F978" s="72" t="s">
        <v>106</v>
      </c>
      <c r="G978" s="72" t="s">
        <v>71</v>
      </c>
      <c r="H978" s="72" t="s">
        <v>72</v>
      </c>
    </row>
    <row r="979" spans="1:8" x14ac:dyDescent="0.25">
      <c r="A979" s="72" t="s">
        <v>727</v>
      </c>
      <c r="B979" s="72" t="s">
        <v>75</v>
      </c>
      <c r="C979" s="73">
        <v>113</v>
      </c>
      <c r="D979" s="73">
        <v>3376039.5776849715</v>
      </c>
      <c r="E979" s="72">
        <v>337603.95776849717</v>
      </c>
      <c r="F979" s="72" t="s">
        <v>78</v>
      </c>
      <c r="G979" s="72" t="s">
        <v>71</v>
      </c>
      <c r="H979" s="72" t="s">
        <v>72</v>
      </c>
    </row>
    <row r="980" spans="1:8" x14ac:dyDescent="0.25">
      <c r="A980" s="43" t="s">
        <v>1796</v>
      </c>
      <c r="B980" s="43" t="s">
        <v>102</v>
      </c>
      <c r="C980" s="46">
        <v>113</v>
      </c>
      <c r="D980" s="46">
        <v>2955878.5567863691</v>
      </c>
      <c r="E980" s="43">
        <v>206911.4989750458</v>
      </c>
      <c r="F980" s="43" t="s">
        <v>70</v>
      </c>
      <c r="G980" s="43" t="s">
        <v>71</v>
      </c>
      <c r="H980" s="43" t="s">
        <v>72</v>
      </c>
    </row>
    <row r="981" spans="1:8" x14ac:dyDescent="0.25">
      <c r="A981" s="72" t="s">
        <v>1053</v>
      </c>
      <c r="B981" s="72" t="s">
        <v>1054</v>
      </c>
      <c r="C981" s="73">
        <v>113</v>
      </c>
      <c r="D981" s="73">
        <v>3212028.4255963708</v>
      </c>
      <c r="E981" s="72">
        <v>289082.55830367334</v>
      </c>
      <c r="F981" s="72" t="s">
        <v>70</v>
      </c>
      <c r="G981" s="72" t="s">
        <v>71</v>
      </c>
      <c r="H981" s="72" t="s">
        <v>72</v>
      </c>
    </row>
    <row r="982" spans="1:8" x14ac:dyDescent="0.25">
      <c r="A982" s="43" t="s">
        <v>550</v>
      </c>
      <c r="B982" s="43" t="s">
        <v>323</v>
      </c>
      <c r="C982" s="46">
        <v>113</v>
      </c>
      <c r="D982" s="46">
        <v>3411710.2560435836</v>
      </c>
      <c r="E982" s="43">
        <v>375288.12816479424</v>
      </c>
      <c r="F982" s="43" t="s">
        <v>70</v>
      </c>
      <c r="G982" s="43" t="s">
        <v>71</v>
      </c>
      <c r="H982" s="43" t="s">
        <v>72</v>
      </c>
    </row>
    <row r="983" spans="1:8" x14ac:dyDescent="0.25">
      <c r="A983" s="43" t="s">
        <v>1387</v>
      </c>
      <c r="B983" s="43" t="s">
        <v>85</v>
      </c>
      <c r="C983" s="46">
        <v>113</v>
      </c>
      <c r="D983" s="46">
        <v>3093674.5555177722</v>
      </c>
      <c r="E983" s="43">
        <v>247493.96444142179</v>
      </c>
      <c r="F983" s="43" t="s">
        <v>70</v>
      </c>
      <c r="G983" s="43" t="s">
        <v>71</v>
      </c>
      <c r="H983" s="43" t="s">
        <v>72</v>
      </c>
    </row>
    <row r="984" spans="1:8" x14ac:dyDescent="0.25">
      <c r="A984" s="72" t="s">
        <v>2580</v>
      </c>
      <c r="B984" s="72" t="s">
        <v>73</v>
      </c>
      <c r="C984" s="73">
        <v>112</v>
      </c>
      <c r="D984" s="73">
        <v>2872887.5364397126</v>
      </c>
      <c r="E984" s="72">
        <v>143644.37682198564</v>
      </c>
      <c r="F984" s="72" t="s">
        <v>87</v>
      </c>
      <c r="G984" s="72" t="s">
        <v>71</v>
      </c>
      <c r="H984" s="72" t="s">
        <v>88</v>
      </c>
    </row>
    <row r="985" spans="1:8" x14ac:dyDescent="0.25">
      <c r="A985" s="43" t="s">
        <v>3335</v>
      </c>
      <c r="B985" s="43" t="s">
        <v>75</v>
      </c>
      <c r="C985" s="46">
        <v>112</v>
      </c>
      <c r="D985" s="46">
        <v>2424265.7344207787</v>
      </c>
      <c r="E985" s="43">
        <v>96970.629376831144</v>
      </c>
      <c r="F985" s="43" t="s">
        <v>106</v>
      </c>
      <c r="G985" s="43" t="s">
        <v>71</v>
      </c>
      <c r="H985" s="43" t="s">
        <v>72</v>
      </c>
    </row>
    <row r="986" spans="1:8" x14ac:dyDescent="0.25">
      <c r="A986" s="72" t="s">
        <v>1532</v>
      </c>
      <c r="B986" s="72" t="s">
        <v>176</v>
      </c>
      <c r="C986" s="73">
        <v>112</v>
      </c>
      <c r="D986" s="73">
        <v>2904967.8375343704</v>
      </c>
      <c r="E986" s="72">
        <v>232397.42700274964</v>
      </c>
      <c r="F986" s="72" t="s">
        <v>84</v>
      </c>
      <c r="G986" s="72" t="s">
        <v>71</v>
      </c>
      <c r="H986" s="72" t="s">
        <v>72</v>
      </c>
    </row>
    <row r="987" spans="1:8" x14ac:dyDescent="0.25">
      <c r="A987" s="43" t="s">
        <v>2272</v>
      </c>
      <c r="B987" s="43" t="s">
        <v>211</v>
      </c>
      <c r="C987" s="46">
        <v>112</v>
      </c>
      <c r="D987" s="46">
        <v>2763728.216649387</v>
      </c>
      <c r="E987" s="43">
        <v>165823.69299896326</v>
      </c>
      <c r="F987" s="43" t="s">
        <v>70</v>
      </c>
      <c r="G987" s="43" t="s">
        <v>71</v>
      </c>
      <c r="H987" s="43" t="s">
        <v>72</v>
      </c>
    </row>
    <row r="988" spans="1:8" x14ac:dyDescent="0.25">
      <c r="A988" s="72" t="s">
        <v>1402</v>
      </c>
      <c r="B988" s="72" t="s">
        <v>112</v>
      </c>
      <c r="C988" s="73">
        <v>112</v>
      </c>
      <c r="D988" s="73">
        <v>3067971.6191687742</v>
      </c>
      <c r="E988" s="72">
        <v>245437.72953350193</v>
      </c>
      <c r="F988" s="72" t="s">
        <v>70</v>
      </c>
      <c r="G988" s="72" t="s">
        <v>71</v>
      </c>
      <c r="H988" s="72" t="s">
        <v>72</v>
      </c>
    </row>
    <row r="989" spans="1:8" x14ac:dyDescent="0.25">
      <c r="A989" s="72" t="s">
        <v>2520</v>
      </c>
      <c r="B989" s="72" t="s">
        <v>83</v>
      </c>
      <c r="C989" s="73">
        <v>112</v>
      </c>
      <c r="D989" s="73">
        <v>2463659.0956284581</v>
      </c>
      <c r="E989" s="72">
        <v>147819.54573770749</v>
      </c>
      <c r="F989" s="72" t="s">
        <v>84</v>
      </c>
      <c r="G989" s="72" t="s">
        <v>71</v>
      </c>
      <c r="H989" s="72" t="s">
        <v>72</v>
      </c>
    </row>
    <row r="990" spans="1:8" x14ac:dyDescent="0.25">
      <c r="A990" s="43" t="s">
        <v>2421</v>
      </c>
      <c r="B990" s="43" t="s">
        <v>160</v>
      </c>
      <c r="C990" s="46">
        <v>112</v>
      </c>
      <c r="D990" s="46">
        <v>2577970.104745877</v>
      </c>
      <c r="E990" s="43">
        <v>154678.20628475264</v>
      </c>
      <c r="F990" s="43" t="s">
        <v>106</v>
      </c>
      <c r="G990" s="43" t="s">
        <v>71</v>
      </c>
      <c r="H990" s="43" t="s">
        <v>72</v>
      </c>
    </row>
    <row r="991" spans="1:8" x14ac:dyDescent="0.25">
      <c r="A991" s="43" t="s">
        <v>2858</v>
      </c>
      <c r="B991" s="43" t="s">
        <v>73</v>
      </c>
      <c r="C991" s="46">
        <v>112</v>
      </c>
      <c r="D991" s="46">
        <v>2533154.8339243233</v>
      </c>
      <c r="E991" s="43">
        <v>126657.74169621617</v>
      </c>
      <c r="F991" s="43" t="s">
        <v>70</v>
      </c>
      <c r="G991" s="43" t="s">
        <v>71</v>
      </c>
      <c r="H991" s="43" t="s">
        <v>72</v>
      </c>
    </row>
    <row r="992" spans="1:8" x14ac:dyDescent="0.25">
      <c r="A992" s="72" t="s">
        <v>2273</v>
      </c>
      <c r="B992" s="72" t="s">
        <v>105</v>
      </c>
      <c r="C992" s="73">
        <v>112</v>
      </c>
      <c r="D992" s="73">
        <v>2763728.216649387</v>
      </c>
      <c r="E992" s="72">
        <v>165823.69299896326</v>
      </c>
      <c r="F992" s="72" t="s">
        <v>70</v>
      </c>
      <c r="G992" s="72" t="s">
        <v>71</v>
      </c>
      <c r="H992" s="72" t="s">
        <v>72</v>
      </c>
    </row>
    <row r="993" spans="1:8" x14ac:dyDescent="0.25">
      <c r="A993" s="43" t="s">
        <v>523</v>
      </c>
      <c r="B993" s="43" t="s">
        <v>252</v>
      </c>
      <c r="C993" s="46">
        <v>112</v>
      </c>
      <c r="D993" s="46">
        <v>3443536.48543107</v>
      </c>
      <c r="E993" s="43">
        <v>378789.01339741773</v>
      </c>
      <c r="F993" s="43" t="s">
        <v>87</v>
      </c>
      <c r="G993" s="43" t="s">
        <v>71</v>
      </c>
      <c r="H993" s="43" t="s">
        <v>88</v>
      </c>
    </row>
    <row r="994" spans="1:8" x14ac:dyDescent="0.25">
      <c r="A994" s="72" t="s">
        <v>1292</v>
      </c>
      <c r="B994" s="72" t="s">
        <v>73</v>
      </c>
      <c r="C994" s="73">
        <v>112</v>
      </c>
      <c r="D994" s="73">
        <v>3222969.7019294677</v>
      </c>
      <c r="E994" s="72">
        <v>257837.57615435743</v>
      </c>
      <c r="F994" s="72" t="s">
        <v>87</v>
      </c>
      <c r="G994" s="72" t="s">
        <v>71</v>
      </c>
      <c r="H994" s="72" t="s">
        <v>88</v>
      </c>
    </row>
    <row r="995" spans="1:8" x14ac:dyDescent="0.25">
      <c r="A995" s="72" t="s">
        <v>1810</v>
      </c>
      <c r="B995" s="72" t="s">
        <v>85</v>
      </c>
      <c r="C995" s="73">
        <v>112</v>
      </c>
      <c r="D995" s="73">
        <v>2931395.0540544633</v>
      </c>
      <c r="E995" s="72">
        <v>205197.65378381242</v>
      </c>
      <c r="F995" s="72" t="s">
        <v>70</v>
      </c>
      <c r="G995" s="72" t="s">
        <v>71</v>
      </c>
      <c r="H995" s="72" t="s">
        <v>72</v>
      </c>
    </row>
    <row r="996" spans="1:8" x14ac:dyDescent="0.25">
      <c r="A996" s="72" t="s">
        <v>3336</v>
      </c>
      <c r="B996" s="72" t="s">
        <v>105</v>
      </c>
      <c r="C996" s="73">
        <v>112</v>
      </c>
      <c r="D996" s="73">
        <v>2424265.7344207787</v>
      </c>
      <c r="E996" s="72">
        <v>96970.629376831144</v>
      </c>
      <c r="F996" s="72" t="s">
        <v>106</v>
      </c>
      <c r="G996" s="72" t="s">
        <v>71</v>
      </c>
      <c r="H996" s="72" t="s">
        <v>72</v>
      </c>
    </row>
    <row r="997" spans="1:8" x14ac:dyDescent="0.25">
      <c r="A997" s="43" t="s">
        <v>2274</v>
      </c>
      <c r="B997" s="43" t="s">
        <v>112</v>
      </c>
      <c r="C997" s="46">
        <v>112</v>
      </c>
      <c r="D997" s="46">
        <v>2763728.216649387</v>
      </c>
      <c r="E997" s="43">
        <v>165823.69299896326</v>
      </c>
      <c r="F997" s="43" t="s">
        <v>70</v>
      </c>
      <c r="G997" s="43" t="s">
        <v>71</v>
      </c>
      <c r="H997" s="43" t="s">
        <v>72</v>
      </c>
    </row>
    <row r="998" spans="1:8" x14ac:dyDescent="0.25">
      <c r="A998" s="43" t="s">
        <v>588</v>
      </c>
      <c r="B998" s="43" t="s">
        <v>83</v>
      </c>
      <c r="C998" s="46">
        <v>112</v>
      </c>
      <c r="D998" s="46">
        <v>3337467.9736180957</v>
      </c>
      <c r="E998" s="43">
        <v>367121.47709799057</v>
      </c>
      <c r="F998" s="43" t="s">
        <v>84</v>
      </c>
      <c r="G998" s="43" t="s">
        <v>71</v>
      </c>
      <c r="H998" s="43" t="s">
        <v>72</v>
      </c>
    </row>
    <row r="999" spans="1:8" x14ac:dyDescent="0.25">
      <c r="A999" s="43" t="s">
        <v>1403</v>
      </c>
      <c r="B999" s="43" t="s">
        <v>323</v>
      </c>
      <c r="C999" s="46">
        <v>112</v>
      </c>
      <c r="D999" s="46">
        <v>3067971.6191687742</v>
      </c>
      <c r="E999" s="43">
        <v>245437.72953350193</v>
      </c>
      <c r="F999" s="43" t="s">
        <v>70</v>
      </c>
      <c r="G999" s="43" t="s">
        <v>71</v>
      </c>
      <c r="H999" s="43" t="s">
        <v>72</v>
      </c>
    </row>
    <row r="1000" spans="1:8" x14ac:dyDescent="0.25">
      <c r="A1000" s="72" t="s">
        <v>786</v>
      </c>
      <c r="B1000" s="72" t="s">
        <v>162</v>
      </c>
      <c r="C1000" s="73">
        <v>112</v>
      </c>
      <c r="D1000" s="73">
        <v>3289209.3374990458</v>
      </c>
      <c r="E1000" s="72">
        <v>328920.93374990462</v>
      </c>
      <c r="F1000" s="72" t="s">
        <v>70</v>
      </c>
      <c r="G1000" s="72" t="s">
        <v>71</v>
      </c>
      <c r="H1000" s="72" t="s">
        <v>72</v>
      </c>
    </row>
    <row r="1001" spans="1:8" x14ac:dyDescent="0.25">
      <c r="A1001" s="43" t="s">
        <v>2050</v>
      </c>
      <c r="B1001" s="43" t="s">
        <v>127</v>
      </c>
      <c r="C1001" s="46">
        <v>112</v>
      </c>
      <c r="D1001" s="46">
        <v>2632161.1377204596</v>
      </c>
      <c r="E1001" s="43">
        <v>184251.27964043216</v>
      </c>
      <c r="F1001" s="43" t="s">
        <v>106</v>
      </c>
      <c r="G1001" s="43" t="s">
        <v>71</v>
      </c>
      <c r="H1001" s="43" t="s">
        <v>72</v>
      </c>
    </row>
    <row r="1002" spans="1:8" x14ac:dyDescent="0.25">
      <c r="A1002" s="72" t="s">
        <v>2293</v>
      </c>
      <c r="B1002" s="72" t="s">
        <v>119</v>
      </c>
      <c r="C1002" s="73">
        <v>111</v>
      </c>
      <c r="D1002" s="73">
        <v>2739776.391913374</v>
      </c>
      <c r="E1002" s="72">
        <v>164386.58351480248</v>
      </c>
      <c r="F1002" s="72" t="s">
        <v>70</v>
      </c>
      <c r="G1002" s="72" t="s">
        <v>71</v>
      </c>
      <c r="H1002" s="72" t="s">
        <v>72</v>
      </c>
    </row>
    <row r="1003" spans="1:8" x14ac:dyDescent="0.25">
      <c r="A1003" s="43" t="s">
        <v>1833</v>
      </c>
      <c r="B1003" s="43" t="s">
        <v>102</v>
      </c>
      <c r="C1003" s="46">
        <v>111</v>
      </c>
      <c r="D1003" s="46">
        <v>2905946.2039844771</v>
      </c>
      <c r="E1003" s="43">
        <v>203416.23427891338</v>
      </c>
      <c r="F1003" s="43" t="s">
        <v>70</v>
      </c>
      <c r="G1003" s="43" t="s">
        <v>71</v>
      </c>
      <c r="H1003" s="43" t="s">
        <v>72</v>
      </c>
    </row>
    <row r="1004" spans="1:8" x14ac:dyDescent="0.25">
      <c r="A1004" s="72" t="s">
        <v>579</v>
      </c>
      <c r="B1004" s="72" t="s">
        <v>323</v>
      </c>
      <c r="C1004" s="73">
        <v>111</v>
      </c>
      <c r="D1004" s="73">
        <v>3353710.0855557234</v>
      </c>
      <c r="E1004" s="72">
        <v>368908.10941112961</v>
      </c>
      <c r="F1004" s="72" t="s">
        <v>70</v>
      </c>
      <c r="G1004" s="72" t="s">
        <v>71</v>
      </c>
      <c r="H1004" s="72" t="s">
        <v>72</v>
      </c>
    </row>
    <row r="1005" spans="1:8" x14ac:dyDescent="0.25">
      <c r="A1005" s="43" t="s">
        <v>1426</v>
      </c>
      <c r="B1005" s="43" t="s">
        <v>179</v>
      </c>
      <c r="C1005" s="46">
        <v>111</v>
      </c>
      <c r="D1005" s="46">
        <v>2695891.7573565403</v>
      </c>
      <c r="E1005" s="43">
        <v>242630.2581620886</v>
      </c>
      <c r="F1005" s="43" t="s">
        <v>106</v>
      </c>
      <c r="G1005" s="43" t="s">
        <v>71</v>
      </c>
      <c r="H1005" s="43" t="s">
        <v>72</v>
      </c>
    </row>
    <row r="1006" spans="1:8" x14ac:dyDescent="0.25">
      <c r="A1006" s="43" t="s">
        <v>580</v>
      </c>
      <c r="B1006" s="43" t="s">
        <v>323</v>
      </c>
      <c r="C1006" s="46">
        <v>111</v>
      </c>
      <c r="D1006" s="46">
        <v>3353710.0855557234</v>
      </c>
      <c r="E1006" s="43">
        <v>368908.10941112961</v>
      </c>
      <c r="F1006" s="43" t="s">
        <v>70</v>
      </c>
      <c r="G1006" s="43" t="s">
        <v>71</v>
      </c>
      <c r="H1006" s="43" t="s">
        <v>72</v>
      </c>
    </row>
    <row r="1007" spans="1:8" x14ac:dyDescent="0.25">
      <c r="A1007" s="43" t="s">
        <v>745</v>
      </c>
      <c r="B1007" s="43" t="s">
        <v>73</v>
      </c>
      <c r="C1007" s="46">
        <v>111</v>
      </c>
      <c r="D1007" s="46">
        <v>3348905.0441985889</v>
      </c>
      <c r="E1007" s="43">
        <v>334890.50441985892</v>
      </c>
      <c r="F1007" s="43" t="s">
        <v>87</v>
      </c>
      <c r="G1007" s="43" t="s">
        <v>71</v>
      </c>
      <c r="H1007" s="43" t="s">
        <v>88</v>
      </c>
    </row>
    <row r="1008" spans="1:8" x14ac:dyDescent="0.25">
      <c r="A1008" s="72" t="s">
        <v>2355</v>
      </c>
      <c r="B1008" s="72" t="s">
        <v>101</v>
      </c>
      <c r="C1008" s="73">
        <v>111</v>
      </c>
      <c r="D1008" s="73">
        <v>1999349.4618919524</v>
      </c>
      <c r="E1008" s="72">
        <v>159947.95695135617</v>
      </c>
      <c r="F1008" s="72" t="s">
        <v>95</v>
      </c>
      <c r="G1008" s="72" t="s">
        <v>96</v>
      </c>
      <c r="H1008" s="72" t="s">
        <v>88</v>
      </c>
    </row>
    <row r="1009" spans="1:8" x14ac:dyDescent="0.25">
      <c r="A1009" s="72" t="s">
        <v>2875</v>
      </c>
      <c r="B1009" s="72" t="s">
        <v>86</v>
      </c>
      <c r="C1009" s="73">
        <v>111</v>
      </c>
      <c r="D1009" s="73">
        <v>2511261.7001054985</v>
      </c>
      <c r="E1009" s="72">
        <v>125563.08500527493</v>
      </c>
      <c r="F1009" s="72" t="s">
        <v>70</v>
      </c>
      <c r="G1009" s="72" t="s">
        <v>71</v>
      </c>
      <c r="H1009" s="72" t="s">
        <v>72</v>
      </c>
    </row>
    <row r="1010" spans="1:8" x14ac:dyDescent="0.25">
      <c r="A1010" s="43" t="s">
        <v>800</v>
      </c>
      <c r="B1010" s="43" t="s">
        <v>323</v>
      </c>
      <c r="C1010" s="46">
        <v>111</v>
      </c>
      <c r="D1010" s="46">
        <v>3260565.7170411618</v>
      </c>
      <c r="E1010" s="43">
        <v>326056.57170411618</v>
      </c>
      <c r="F1010" s="43" t="s">
        <v>70</v>
      </c>
      <c r="G1010" s="43" t="s">
        <v>71</v>
      </c>
      <c r="H1010" s="43" t="s">
        <v>72</v>
      </c>
    </row>
    <row r="1011" spans="1:8" x14ac:dyDescent="0.25">
      <c r="A1011" s="72" t="s">
        <v>1737</v>
      </c>
      <c r="B1011" s="72" t="s">
        <v>97</v>
      </c>
      <c r="C1011" s="73">
        <v>111</v>
      </c>
      <c r="D1011" s="73">
        <v>2655934.4165592478</v>
      </c>
      <c r="E1011" s="72">
        <v>212474.75332473984</v>
      </c>
      <c r="F1011" s="72" t="s">
        <v>106</v>
      </c>
      <c r="G1011" s="72" t="s">
        <v>71</v>
      </c>
      <c r="H1011" s="72" t="s">
        <v>72</v>
      </c>
    </row>
    <row r="1012" spans="1:8" x14ac:dyDescent="0.25">
      <c r="A1012" s="43" t="s">
        <v>2876</v>
      </c>
      <c r="B1012" s="43" t="s">
        <v>211</v>
      </c>
      <c r="C1012" s="46">
        <v>111</v>
      </c>
      <c r="D1012" s="46">
        <v>2511261.7001054985</v>
      </c>
      <c r="E1012" s="43">
        <v>125563.08500527493</v>
      </c>
      <c r="F1012" s="43" t="s">
        <v>70</v>
      </c>
      <c r="G1012" s="43" t="s">
        <v>71</v>
      </c>
      <c r="H1012" s="43" t="s">
        <v>72</v>
      </c>
    </row>
    <row r="1013" spans="1:8" x14ac:dyDescent="0.25">
      <c r="A1013" s="72" t="s">
        <v>1427</v>
      </c>
      <c r="B1013" s="72" t="s">
        <v>257</v>
      </c>
      <c r="C1013" s="73">
        <v>111</v>
      </c>
      <c r="D1013" s="73">
        <v>2695891.7573565403</v>
      </c>
      <c r="E1013" s="72">
        <v>242630.2581620886</v>
      </c>
      <c r="F1013" s="72" t="s">
        <v>106</v>
      </c>
      <c r="G1013" s="72" t="s">
        <v>71</v>
      </c>
      <c r="H1013" s="72" t="s">
        <v>72</v>
      </c>
    </row>
    <row r="1014" spans="1:8" x14ac:dyDescent="0.25">
      <c r="A1014" s="43" t="s">
        <v>1102</v>
      </c>
      <c r="B1014" s="43" t="s">
        <v>119</v>
      </c>
      <c r="C1014" s="46">
        <v>110</v>
      </c>
      <c r="D1014" s="46">
        <v>3127470.4657077747</v>
      </c>
      <c r="E1014" s="43">
        <v>281472.3419136997</v>
      </c>
      <c r="F1014" s="43" t="s">
        <v>70</v>
      </c>
      <c r="G1014" s="43" t="s">
        <v>71</v>
      </c>
      <c r="H1014" s="43" t="s">
        <v>72</v>
      </c>
    </row>
    <row r="1015" spans="1:8" x14ac:dyDescent="0.25">
      <c r="A1015" s="43" t="s">
        <v>1332</v>
      </c>
      <c r="B1015" s="43" t="s">
        <v>77</v>
      </c>
      <c r="C1015" s="46">
        <v>110</v>
      </c>
      <c r="D1015" s="46">
        <v>3168162.2962986035</v>
      </c>
      <c r="E1015" s="43">
        <v>253452.98370388828</v>
      </c>
      <c r="F1015" s="43" t="s">
        <v>87</v>
      </c>
      <c r="G1015" s="43" t="s">
        <v>71</v>
      </c>
      <c r="H1015" s="43" t="s">
        <v>88</v>
      </c>
    </row>
    <row r="1016" spans="1:8" x14ac:dyDescent="0.25">
      <c r="A1016" s="72" t="s">
        <v>1103</v>
      </c>
      <c r="B1016" s="72" t="s">
        <v>323</v>
      </c>
      <c r="C1016" s="73">
        <v>110</v>
      </c>
      <c r="D1016" s="73">
        <v>3127470.4657077747</v>
      </c>
      <c r="E1016" s="72">
        <v>281472.3419136997</v>
      </c>
      <c r="F1016" s="72" t="s">
        <v>70</v>
      </c>
      <c r="G1016" s="72" t="s">
        <v>71</v>
      </c>
      <c r="H1016" s="72" t="s">
        <v>72</v>
      </c>
    </row>
    <row r="1017" spans="1:8" x14ac:dyDescent="0.25">
      <c r="A1017" s="43" t="s">
        <v>2615</v>
      </c>
      <c r="B1017" s="43" t="s">
        <v>93</v>
      </c>
      <c r="C1017" s="46">
        <v>110</v>
      </c>
      <c r="D1017" s="46">
        <v>2824331.598049737</v>
      </c>
      <c r="E1017" s="43">
        <v>141216.57990248685</v>
      </c>
      <c r="F1017" s="43" t="s">
        <v>87</v>
      </c>
      <c r="G1017" s="43" t="s">
        <v>71</v>
      </c>
      <c r="H1017" s="43" t="s">
        <v>88</v>
      </c>
    </row>
    <row r="1018" spans="1:8" x14ac:dyDescent="0.25">
      <c r="A1018" s="43" t="s">
        <v>761</v>
      </c>
      <c r="B1018" s="43" t="s">
        <v>77</v>
      </c>
      <c r="C1018" s="46">
        <v>110</v>
      </c>
      <c r="D1018" s="46">
        <v>3320108.0836060978</v>
      </c>
      <c r="E1018" s="43">
        <v>332010.80836060981</v>
      </c>
      <c r="F1018" s="43" t="s">
        <v>87</v>
      </c>
      <c r="G1018" s="43" t="s">
        <v>71</v>
      </c>
      <c r="H1018" s="43" t="s">
        <v>88</v>
      </c>
    </row>
    <row r="1019" spans="1:8" x14ac:dyDescent="0.25">
      <c r="A1019" s="72" t="s">
        <v>2890</v>
      </c>
      <c r="B1019" s="72" t="s">
        <v>323</v>
      </c>
      <c r="C1019" s="73">
        <v>110</v>
      </c>
      <c r="D1019" s="73">
        <v>2486992.2482649125</v>
      </c>
      <c r="E1019" s="72">
        <v>124349.61241324563</v>
      </c>
      <c r="F1019" s="72" t="s">
        <v>70</v>
      </c>
      <c r="G1019" s="72" t="s">
        <v>71</v>
      </c>
      <c r="H1019" s="72" t="s">
        <v>72</v>
      </c>
    </row>
    <row r="1020" spans="1:8" x14ac:dyDescent="0.25">
      <c r="A1020" s="43" t="s">
        <v>1440</v>
      </c>
      <c r="B1020" s="43" t="s">
        <v>85</v>
      </c>
      <c r="C1020" s="46">
        <v>110</v>
      </c>
      <c r="D1020" s="46">
        <v>3012258.7337728557</v>
      </c>
      <c r="E1020" s="43">
        <v>240980.69870182846</v>
      </c>
      <c r="F1020" s="43" t="s">
        <v>70</v>
      </c>
      <c r="G1020" s="43" t="s">
        <v>71</v>
      </c>
      <c r="H1020" s="43" t="s">
        <v>72</v>
      </c>
    </row>
    <row r="1021" spans="1:8" x14ac:dyDescent="0.25">
      <c r="A1021" s="43" t="s">
        <v>597</v>
      </c>
      <c r="B1021" s="43" t="s">
        <v>323</v>
      </c>
      <c r="C1021" s="46">
        <v>110</v>
      </c>
      <c r="D1021" s="46">
        <v>3321851.0086209914</v>
      </c>
      <c r="E1021" s="43">
        <v>365403.61094830913</v>
      </c>
      <c r="F1021" s="43" t="s">
        <v>70</v>
      </c>
      <c r="G1021" s="43" t="s">
        <v>71</v>
      </c>
      <c r="H1021" s="43" t="s">
        <v>72</v>
      </c>
    </row>
    <row r="1022" spans="1:8" x14ac:dyDescent="0.25">
      <c r="A1022" s="72" t="s">
        <v>823</v>
      </c>
      <c r="B1022" s="72" t="s">
        <v>73</v>
      </c>
      <c r="C1022" s="73">
        <v>110</v>
      </c>
      <c r="D1022" s="73">
        <v>3229545.7785615148</v>
      </c>
      <c r="E1022" s="72">
        <v>322954.5778561515</v>
      </c>
      <c r="F1022" s="72" t="s">
        <v>70</v>
      </c>
      <c r="G1022" s="72" t="s">
        <v>71</v>
      </c>
      <c r="H1022" s="72" t="s">
        <v>72</v>
      </c>
    </row>
    <row r="1023" spans="1:8" x14ac:dyDescent="0.25">
      <c r="A1023" s="72" t="s">
        <v>398</v>
      </c>
      <c r="B1023" s="72" t="s">
        <v>232</v>
      </c>
      <c r="C1023" s="73">
        <v>110</v>
      </c>
      <c r="D1023" s="73">
        <v>3498220.0725065502</v>
      </c>
      <c r="E1023" s="72">
        <v>454768.60942585155</v>
      </c>
      <c r="F1023" s="72" t="s">
        <v>84</v>
      </c>
      <c r="G1023" s="72" t="s">
        <v>71</v>
      </c>
      <c r="H1023" s="72" t="s">
        <v>72</v>
      </c>
    </row>
    <row r="1024" spans="1:8" x14ac:dyDescent="0.25">
      <c r="A1024" s="43" t="s">
        <v>1859</v>
      </c>
      <c r="B1024" s="43" t="s">
        <v>73</v>
      </c>
      <c r="C1024" s="46">
        <v>110</v>
      </c>
      <c r="D1024" s="46">
        <v>2878121.0358927287</v>
      </c>
      <c r="E1024" s="43">
        <v>201468.47251249099</v>
      </c>
      <c r="F1024" s="43" t="s">
        <v>70</v>
      </c>
      <c r="G1024" s="43" t="s">
        <v>71</v>
      </c>
      <c r="H1024" s="43" t="s">
        <v>72</v>
      </c>
    </row>
    <row r="1025" spans="1:8" x14ac:dyDescent="0.25">
      <c r="A1025" s="72" t="s">
        <v>1860</v>
      </c>
      <c r="B1025" s="72" t="s">
        <v>97</v>
      </c>
      <c r="C1025" s="73">
        <v>110</v>
      </c>
      <c r="D1025" s="73">
        <v>2878121.0358927287</v>
      </c>
      <c r="E1025" s="72">
        <v>201468.47251249099</v>
      </c>
      <c r="F1025" s="72" t="s">
        <v>70</v>
      </c>
      <c r="G1025" s="72" t="s">
        <v>71</v>
      </c>
      <c r="H1025" s="72" t="s">
        <v>72</v>
      </c>
    </row>
    <row r="1026" spans="1:8" x14ac:dyDescent="0.25">
      <c r="A1026" s="43" t="s">
        <v>2862</v>
      </c>
      <c r="B1026" s="43" t="s">
        <v>100</v>
      </c>
      <c r="C1026" s="46">
        <v>110</v>
      </c>
      <c r="D1026" s="46">
        <v>2530196.0736731924</v>
      </c>
      <c r="E1026" s="43">
        <v>126509.80368365963</v>
      </c>
      <c r="F1026" s="43" t="s">
        <v>78</v>
      </c>
      <c r="G1026" s="43" t="s">
        <v>71</v>
      </c>
      <c r="H1026" s="43" t="s">
        <v>72</v>
      </c>
    </row>
    <row r="1027" spans="1:8" x14ac:dyDescent="0.25">
      <c r="A1027" s="72" t="s">
        <v>3192</v>
      </c>
      <c r="B1027" s="72" t="s">
        <v>77</v>
      </c>
      <c r="C1027" s="73">
        <v>110</v>
      </c>
      <c r="D1027" s="73">
        <v>2620295.5025581252</v>
      </c>
      <c r="E1027" s="72">
        <v>104811.82010232501</v>
      </c>
      <c r="F1027" s="72" t="s">
        <v>87</v>
      </c>
      <c r="G1027" s="72" t="s">
        <v>71</v>
      </c>
      <c r="H1027" s="72" t="s">
        <v>88</v>
      </c>
    </row>
    <row r="1028" spans="1:8" x14ac:dyDescent="0.25">
      <c r="A1028" s="43" t="s">
        <v>2454</v>
      </c>
      <c r="B1028" s="43" t="s">
        <v>257</v>
      </c>
      <c r="C1028" s="46">
        <v>110</v>
      </c>
      <c r="D1028" s="46">
        <v>2535064.6570092961</v>
      </c>
      <c r="E1028" s="43">
        <v>152103.87942055779</v>
      </c>
      <c r="F1028" s="43" t="s">
        <v>106</v>
      </c>
      <c r="G1028" s="43" t="s">
        <v>71</v>
      </c>
      <c r="H1028" s="43" t="s">
        <v>72</v>
      </c>
    </row>
    <row r="1029" spans="1:8" x14ac:dyDescent="0.25">
      <c r="A1029" s="43" t="s">
        <v>1448</v>
      </c>
      <c r="B1029" s="43" t="s">
        <v>257</v>
      </c>
      <c r="C1029" s="46">
        <v>110</v>
      </c>
      <c r="D1029" s="46">
        <v>2673170.2060485231</v>
      </c>
      <c r="E1029" s="43">
        <v>240585.31854436707</v>
      </c>
      <c r="F1029" s="43" t="s">
        <v>106</v>
      </c>
      <c r="G1029" s="43" t="s">
        <v>71</v>
      </c>
      <c r="H1029" s="43" t="s">
        <v>72</v>
      </c>
    </row>
    <row r="1030" spans="1:8" x14ac:dyDescent="0.25">
      <c r="A1030" s="72" t="s">
        <v>598</v>
      </c>
      <c r="B1030" s="72" t="s">
        <v>97</v>
      </c>
      <c r="C1030" s="73">
        <v>110</v>
      </c>
      <c r="D1030" s="73">
        <v>3321851.0086209914</v>
      </c>
      <c r="E1030" s="72">
        <v>365403.61094830913</v>
      </c>
      <c r="F1030" s="72" t="s">
        <v>70</v>
      </c>
      <c r="G1030" s="72" t="s">
        <v>71</v>
      </c>
      <c r="H1030" s="72" t="s">
        <v>72</v>
      </c>
    </row>
    <row r="1031" spans="1:8" x14ac:dyDescent="0.25">
      <c r="A1031" s="43" t="s">
        <v>824</v>
      </c>
      <c r="B1031" s="43" t="s">
        <v>73</v>
      </c>
      <c r="C1031" s="46">
        <v>110</v>
      </c>
      <c r="D1031" s="46">
        <v>3229545.7785615148</v>
      </c>
      <c r="E1031" s="43">
        <v>322954.5778561515</v>
      </c>
      <c r="F1031" s="43" t="s">
        <v>70</v>
      </c>
      <c r="G1031" s="43" t="s">
        <v>71</v>
      </c>
      <c r="H1031" s="43" t="s">
        <v>72</v>
      </c>
    </row>
    <row r="1032" spans="1:8" x14ac:dyDescent="0.25">
      <c r="A1032" s="43" t="s">
        <v>1104</v>
      </c>
      <c r="B1032" s="43" t="s">
        <v>97</v>
      </c>
      <c r="C1032" s="46">
        <v>110</v>
      </c>
      <c r="D1032" s="46">
        <v>3127470.4657077747</v>
      </c>
      <c r="E1032" s="43">
        <v>281472.3419136997</v>
      </c>
      <c r="F1032" s="43" t="s">
        <v>70</v>
      </c>
      <c r="G1032" s="43" t="s">
        <v>71</v>
      </c>
      <c r="H1032" s="43" t="s">
        <v>72</v>
      </c>
    </row>
    <row r="1033" spans="1:8" x14ac:dyDescent="0.25">
      <c r="A1033" s="43" t="s">
        <v>759</v>
      </c>
      <c r="B1033" s="43" t="s">
        <v>73</v>
      </c>
      <c r="C1033" s="46">
        <v>110</v>
      </c>
      <c r="D1033" s="46">
        <v>2769609.3164378377</v>
      </c>
      <c r="E1033" s="43">
        <v>332353.11797254049</v>
      </c>
      <c r="F1033" s="43" t="s">
        <v>106</v>
      </c>
      <c r="G1033" s="43" t="s">
        <v>71</v>
      </c>
      <c r="H1033" s="43" t="s">
        <v>72</v>
      </c>
    </row>
    <row r="1034" spans="1:8" x14ac:dyDescent="0.25">
      <c r="A1034" s="72" t="s">
        <v>1441</v>
      </c>
      <c r="B1034" s="72" t="s">
        <v>73</v>
      </c>
      <c r="C1034" s="73">
        <v>110</v>
      </c>
      <c r="D1034" s="73">
        <v>3012258.7337728557</v>
      </c>
      <c r="E1034" s="72">
        <v>240980.69870182846</v>
      </c>
      <c r="F1034" s="72" t="s">
        <v>70</v>
      </c>
      <c r="G1034" s="72" t="s">
        <v>71</v>
      </c>
      <c r="H1034" s="72" t="s">
        <v>72</v>
      </c>
    </row>
    <row r="1035" spans="1:8" x14ac:dyDescent="0.25">
      <c r="A1035" s="43" t="s">
        <v>1442</v>
      </c>
      <c r="B1035" s="43" t="s">
        <v>73</v>
      </c>
      <c r="C1035" s="46">
        <v>110</v>
      </c>
      <c r="D1035" s="46">
        <v>3012258.7337728557</v>
      </c>
      <c r="E1035" s="43">
        <v>240980.69870182846</v>
      </c>
      <c r="F1035" s="43" t="s">
        <v>70</v>
      </c>
      <c r="G1035" s="43" t="s">
        <v>71</v>
      </c>
      <c r="H1035" s="43" t="s">
        <v>72</v>
      </c>
    </row>
    <row r="1036" spans="1:8" x14ac:dyDescent="0.25">
      <c r="A1036" s="43" t="s">
        <v>1861</v>
      </c>
      <c r="B1036" s="43" t="s">
        <v>105</v>
      </c>
      <c r="C1036" s="46">
        <v>110</v>
      </c>
      <c r="D1036" s="46">
        <v>2878121.0358927287</v>
      </c>
      <c r="E1036" s="43">
        <v>201468.47251249099</v>
      </c>
      <c r="F1036" s="43" t="s">
        <v>70</v>
      </c>
      <c r="G1036" s="43" t="s">
        <v>71</v>
      </c>
      <c r="H1036" s="43" t="s">
        <v>72</v>
      </c>
    </row>
    <row r="1037" spans="1:8" x14ac:dyDescent="0.25">
      <c r="A1037" s="72" t="s">
        <v>2120</v>
      </c>
      <c r="B1037" s="72" t="s">
        <v>77</v>
      </c>
      <c r="C1037" s="73">
        <v>110</v>
      </c>
      <c r="D1037" s="73">
        <v>2964900.3358776658</v>
      </c>
      <c r="E1037" s="72">
        <v>177894.02015265994</v>
      </c>
      <c r="F1037" s="72" t="s">
        <v>87</v>
      </c>
      <c r="G1037" s="72" t="s">
        <v>71</v>
      </c>
      <c r="H1037" s="72" t="s">
        <v>88</v>
      </c>
    </row>
    <row r="1038" spans="1:8" x14ac:dyDescent="0.25">
      <c r="A1038" s="43" t="s">
        <v>2891</v>
      </c>
      <c r="B1038" s="43" t="s">
        <v>112</v>
      </c>
      <c r="C1038" s="46">
        <v>110</v>
      </c>
      <c r="D1038" s="46">
        <v>2486992.2482649125</v>
      </c>
      <c r="E1038" s="43">
        <v>124349.61241324563</v>
      </c>
      <c r="F1038" s="43" t="s">
        <v>70</v>
      </c>
      <c r="G1038" s="43" t="s">
        <v>71</v>
      </c>
      <c r="H1038" s="43" t="s">
        <v>72</v>
      </c>
    </row>
    <row r="1039" spans="1:8" x14ac:dyDescent="0.25">
      <c r="A1039" s="43" t="s">
        <v>599</v>
      </c>
      <c r="B1039" s="43" t="s">
        <v>112</v>
      </c>
      <c r="C1039" s="46">
        <v>110</v>
      </c>
      <c r="D1039" s="46">
        <v>3321851.0086209914</v>
      </c>
      <c r="E1039" s="43">
        <v>365403.61094830913</v>
      </c>
      <c r="F1039" s="43" t="s">
        <v>70</v>
      </c>
      <c r="G1039" s="43" t="s">
        <v>71</v>
      </c>
      <c r="H1039" s="43" t="s">
        <v>72</v>
      </c>
    </row>
    <row r="1040" spans="1:8" x14ac:dyDescent="0.25">
      <c r="A1040" s="43" t="s">
        <v>2320</v>
      </c>
      <c r="B1040" s="43" t="s">
        <v>102</v>
      </c>
      <c r="C1040" s="46">
        <v>110</v>
      </c>
      <c r="D1040" s="46">
        <v>2713448.2491556001</v>
      </c>
      <c r="E1040" s="43">
        <v>162806.89494933604</v>
      </c>
      <c r="F1040" s="43" t="s">
        <v>70</v>
      </c>
      <c r="G1040" s="43" t="s">
        <v>71</v>
      </c>
      <c r="H1040" s="43" t="s">
        <v>72</v>
      </c>
    </row>
    <row r="1041" spans="1:8" x14ac:dyDescent="0.25">
      <c r="A1041" s="72" t="s">
        <v>1105</v>
      </c>
      <c r="B1041" s="72" t="s">
        <v>323</v>
      </c>
      <c r="C1041" s="73">
        <v>110</v>
      </c>
      <c r="D1041" s="73">
        <v>3127470.4657077747</v>
      </c>
      <c r="E1041" s="72">
        <v>281472.3419136997</v>
      </c>
      <c r="F1041" s="72" t="s">
        <v>70</v>
      </c>
      <c r="G1041" s="72" t="s">
        <v>71</v>
      </c>
      <c r="H1041" s="72" t="s">
        <v>72</v>
      </c>
    </row>
    <row r="1042" spans="1:8" x14ac:dyDescent="0.25">
      <c r="A1042" s="72" t="s">
        <v>762</v>
      </c>
      <c r="B1042" s="72" t="s">
        <v>141</v>
      </c>
      <c r="C1042" s="73">
        <v>110</v>
      </c>
      <c r="D1042" s="73">
        <v>3320108.0836060978</v>
      </c>
      <c r="E1042" s="72">
        <v>332010.80836060981</v>
      </c>
      <c r="F1042" s="72" t="s">
        <v>87</v>
      </c>
      <c r="G1042" s="72" t="s">
        <v>71</v>
      </c>
      <c r="H1042" s="72" t="s">
        <v>88</v>
      </c>
    </row>
    <row r="1043" spans="1:8" x14ac:dyDescent="0.25">
      <c r="A1043" s="43" t="s">
        <v>1106</v>
      </c>
      <c r="B1043" s="43" t="s">
        <v>75</v>
      </c>
      <c r="C1043" s="46">
        <v>110</v>
      </c>
      <c r="D1043" s="46">
        <v>3127470.4657077747</v>
      </c>
      <c r="E1043" s="43">
        <v>281472.3419136997</v>
      </c>
      <c r="F1043" s="43" t="s">
        <v>70</v>
      </c>
      <c r="G1043" s="43" t="s">
        <v>71</v>
      </c>
      <c r="H1043" s="43" t="s">
        <v>72</v>
      </c>
    </row>
    <row r="1044" spans="1:8" x14ac:dyDescent="0.25">
      <c r="A1044" s="72" t="s">
        <v>1180</v>
      </c>
      <c r="B1044" s="72" t="s">
        <v>75</v>
      </c>
      <c r="C1044" s="73">
        <v>110</v>
      </c>
      <c r="D1044" s="73">
        <v>2708471.7579763718</v>
      </c>
      <c r="E1044" s="72">
        <v>270847.1757976372</v>
      </c>
      <c r="F1044" s="72" t="s">
        <v>106</v>
      </c>
      <c r="G1044" s="72" t="s">
        <v>71</v>
      </c>
      <c r="H1044" s="72" t="s">
        <v>72</v>
      </c>
    </row>
    <row r="1045" spans="1:8" x14ac:dyDescent="0.25">
      <c r="A1045" s="72" t="s">
        <v>1469</v>
      </c>
      <c r="B1045" s="72" t="s">
        <v>75</v>
      </c>
      <c r="C1045" s="73">
        <v>109</v>
      </c>
      <c r="D1045" s="73">
        <v>2650421.9630320352</v>
      </c>
      <c r="E1045" s="72">
        <v>238537.97667288315</v>
      </c>
      <c r="F1045" s="72" t="s">
        <v>106</v>
      </c>
      <c r="G1045" s="72" t="s">
        <v>71</v>
      </c>
      <c r="H1045" s="72" t="s">
        <v>72</v>
      </c>
    </row>
    <row r="1046" spans="1:8" x14ac:dyDescent="0.25">
      <c r="A1046" s="72" t="s">
        <v>1882</v>
      </c>
      <c r="B1046" s="72" t="s">
        <v>323</v>
      </c>
      <c r="C1046" s="73">
        <v>109</v>
      </c>
      <c r="D1046" s="73">
        <v>2850327.2928756569</v>
      </c>
      <c r="E1046" s="72">
        <v>199522.91050129596</v>
      </c>
      <c r="F1046" s="72" t="s">
        <v>70</v>
      </c>
      <c r="G1046" s="72" t="s">
        <v>71</v>
      </c>
      <c r="H1046" s="72" t="s">
        <v>72</v>
      </c>
    </row>
    <row r="1047" spans="1:8" x14ac:dyDescent="0.25">
      <c r="A1047" s="43" t="s">
        <v>2294</v>
      </c>
      <c r="B1047" s="43" t="s">
        <v>176</v>
      </c>
      <c r="C1047" s="46">
        <v>109</v>
      </c>
      <c r="D1047" s="46">
        <v>2739269.137293587</v>
      </c>
      <c r="E1047" s="43">
        <v>164356.14823761524</v>
      </c>
      <c r="F1047" s="43" t="s">
        <v>78</v>
      </c>
      <c r="G1047" s="43" t="s">
        <v>71</v>
      </c>
      <c r="H1047" s="43" t="s">
        <v>72</v>
      </c>
    </row>
    <row r="1048" spans="1:8" x14ac:dyDescent="0.25">
      <c r="A1048" s="72" t="s">
        <v>799</v>
      </c>
      <c r="B1048" s="72" t="s">
        <v>176</v>
      </c>
      <c r="C1048" s="73">
        <v>109</v>
      </c>
      <c r="D1048" s="73">
        <v>3263943.6957903113</v>
      </c>
      <c r="E1048" s="72">
        <v>326394.36957903113</v>
      </c>
      <c r="F1048" s="72" t="s">
        <v>78</v>
      </c>
      <c r="G1048" s="72" t="s">
        <v>71</v>
      </c>
      <c r="H1048" s="72" t="s">
        <v>72</v>
      </c>
    </row>
    <row r="1049" spans="1:8" x14ac:dyDescent="0.25">
      <c r="A1049" s="43" t="s">
        <v>1883</v>
      </c>
      <c r="B1049" s="43" t="s">
        <v>323</v>
      </c>
      <c r="C1049" s="46">
        <v>109</v>
      </c>
      <c r="D1049" s="46">
        <v>2850327.2928756569</v>
      </c>
      <c r="E1049" s="43">
        <v>199522.91050129596</v>
      </c>
      <c r="F1049" s="43" t="s">
        <v>70</v>
      </c>
      <c r="G1049" s="43" t="s">
        <v>71</v>
      </c>
      <c r="H1049" s="43" t="s">
        <v>72</v>
      </c>
    </row>
    <row r="1050" spans="1:8" x14ac:dyDescent="0.25">
      <c r="A1050" s="72" t="s">
        <v>2336</v>
      </c>
      <c r="B1050" s="72" t="s">
        <v>97</v>
      </c>
      <c r="C1050" s="73">
        <v>109</v>
      </c>
      <c r="D1050" s="73">
        <v>2687151.5314725018</v>
      </c>
      <c r="E1050" s="72">
        <v>161229.09188835014</v>
      </c>
      <c r="F1050" s="72" t="s">
        <v>70</v>
      </c>
      <c r="G1050" s="72" t="s">
        <v>71</v>
      </c>
      <c r="H1050" s="72" t="s">
        <v>72</v>
      </c>
    </row>
    <row r="1051" spans="1:8" x14ac:dyDescent="0.25">
      <c r="A1051" s="72" t="s">
        <v>845</v>
      </c>
      <c r="B1051" s="72" t="s">
        <v>323</v>
      </c>
      <c r="C1051" s="73">
        <v>109</v>
      </c>
      <c r="D1051" s="73">
        <v>3198557.2651565447</v>
      </c>
      <c r="E1051" s="72">
        <v>319855.72651565447</v>
      </c>
      <c r="F1051" s="72" t="s">
        <v>70</v>
      </c>
      <c r="G1051" s="72" t="s">
        <v>71</v>
      </c>
      <c r="H1051" s="72" t="s">
        <v>72</v>
      </c>
    </row>
    <row r="1052" spans="1:8" x14ac:dyDescent="0.25">
      <c r="A1052" s="72" t="s">
        <v>1127</v>
      </c>
      <c r="B1052" s="72" t="s">
        <v>391</v>
      </c>
      <c r="C1052" s="73">
        <v>109</v>
      </c>
      <c r="D1052" s="73">
        <v>3097409.9096923838</v>
      </c>
      <c r="E1052" s="72">
        <v>278766.89187231456</v>
      </c>
      <c r="F1052" s="72" t="s">
        <v>70</v>
      </c>
      <c r="G1052" s="72" t="s">
        <v>71</v>
      </c>
      <c r="H1052" s="72" t="s">
        <v>72</v>
      </c>
    </row>
    <row r="1053" spans="1:8" x14ac:dyDescent="0.25">
      <c r="A1053" s="72" t="s">
        <v>1351</v>
      </c>
      <c r="B1053" s="72" t="s">
        <v>77</v>
      </c>
      <c r="C1053" s="73">
        <v>109</v>
      </c>
      <c r="D1053" s="73">
        <v>3140722.7674162602</v>
      </c>
      <c r="E1053" s="72">
        <v>251257.82139330081</v>
      </c>
      <c r="F1053" s="72" t="s">
        <v>87</v>
      </c>
      <c r="G1053" s="72" t="s">
        <v>71</v>
      </c>
      <c r="H1053" s="72" t="s">
        <v>88</v>
      </c>
    </row>
    <row r="1054" spans="1:8" x14ac:dyDescent="0.25">
      <c r="A1054" s="43" t="s">
        <v>1128</v>
      </c>
      <c r="B1054" s="43" t="s">
        <v>160</v>
      </c>
      <c r="C1054" s="46">
        <v>109</v>
      </c>
      <c r="D1054" s="46">
        <v>3097409.9096923838</v>
      </c>
      <c r="E1054" s="43">
        <v>278766.89187231456</v>
      </c>
      <c r="F1054" s="43" t="s">
        <v>70</v>
      </c>
      <c r="G1054" s="43" t="s">
        <v>71</v>
      </c>
      <c r="H1054" s="43" t="s">
        <v>72</v>
      </c>
    </row>
    <row r="1055" spans="1:8" x14ac:dyDescent="0.25">
      <c r="A1055" s="72" t="s">
        <v>624</v>
      </c>
      <c r="B1055" s="72" t="s">
        <v>145</v>
      </c>
      <c r="C1055" s="73">
        <v>109</v>
      </c>
      <c r="D1055" s="73">
        <v>3290023.3567609345</v>
      </c>
      <c r="E1055" s="72">
        <v>361902.56924370286</v>
      </c>
      <c r="F1055" s="72" t="s">
        <v>70</v>
      </c>
      <c r="G1055" s="72" t="s">
        <v>71</v>
      </c>
      <c r="H1055" s="72" t="s">
        <v>72</v>
      </c>
    </row>
    <row r="1056" spans="1:8" x14ac:dyDescent="0.25">
      <c r="A1056" s="72" t="s">
        <v>279</v>
      </c>
      <c r="B1056" s="72" t="s">
        <v>73</v>
      </c>
      <c r="C1056" s="73">
        <v>109</v>
      </c>
      <c r="D1056" s="73">
        <v>2850327.2928756569</v>
      </c>
      <c r="E1056" s="72">
        <v>199522.91050129596</v>
      </c>
      <c r="F1056" s="72" t="s">
        <v>70</v>
      </c>
      <c r="G1056" s="72" t="s">
        <v>71</v>
      </c>
      <c r="H1056" s="72" t="s">
        <v>72</v>
      </c>
    </row>
    <row r="1057" spans="1:8" x14ac:dyDescent="0.25">
      <c r="A1057" s="72" t="s">
        <v>1129</v>
      </c>
      <c r="B1057" s="72" t="s">
        <v>323</v>
      </c>
      <c r="C1057" s="73">
        <v>109</v>
      </c>
      <c r="D1057" s="73">
        <v>3097409.9096923838</v>
      </c>
      <c r="E1057" s="72">
        <v>278766.89187231456</v>
      </c>
      <c r="F1057" s="72" t="s">
        <v>70</v>
      </c>
      <c r="G1057" s="72" t="s">
        <v>71</v>
      </c>
      <c r="H1057" s="72" t="s">
        <v>72</v>
      </c>
    </row>
    <row r="1058" spans="1:8" x14ac:dyDescent="0.25">
      <c r="A1058" s="72" t="s">
        <v>2906</v>
      </c>
      <c r="B1058" s="72" t="s">
        <v>323</v>
      </c>
      <c r="C1058" s="73">
        <v>109</v>
      </c>
      <c r="D1058" s="73">
        <v>2462754.2214990021</v>
      </c>
      <c r="E1058" s="72">
        <v>123137.71107495012</v>
      </c>
      <c r="F1058" s="72" t="s">
        <v>70</v>
      </c>
      <c r="G1058" s="72" t="s">
        <v>71</v>
      </c>
      <c r="H1058" s="72" t="s">
        <v>72</v>
      </c>
    </row>
    <row r="1059" spans="1:8" x14ac:dyDescent="0.25">
      <c r="A1059" s="43" t="s">
        <v>1468</v>
      </c>
      <c r="B1059" s="43" t="s">
        <v>323</v>
      </c>
      <c r="C1059" s="46">
        <v>109</v>
      </c>
      <c r="D1059" s="46">
        <v>2983245.5571386917</v>
      </c>
      <c r="E1059" s="43">
        <v>238659.64457109533</v>
      </c>
      <c r="F1059" s="43" t="s">
        <v>70</v>
      </c>
      <c r="G1059" s="43" t="s">
        <v>71</v>
      </c>
      <c r="H1059" s="43" t="s">
        <v>72</v>
      </c>
    </row>
    <row r="1060" spans="1:8" x14ac:dyDescent="0.25">
      <c r="A1060" s="43" t="s">
        <v>625</v>
      </c>
      <c r="B1060" s="43" t="s">
        <v>323</v>
      </c>
      <c r="C1060" s="46">
        <v>109</v>
      </c>
      <c r="D1060" s="46">
        <v>3290023.3567609345</v>
      </c>
      <c r="E1060" s="43">
        <v>361902.56924370286</v>
      </c>
      <c r="F1060" s="43" t="s">
        <v>70</v>
      </c>
      <c r="G1060" s="43" t="s">
        <v>71</v>
      </c>
      <c r="H1060" s="43" t="s">
        <v>72</v>
      </c>
    </row>
    <row r="1061" spans="1:8" x14ac:dyDescent="0.25">
      <c r="A1061" s="43" t="s">
        <v>1470</v>
      </c>
      <c r="B1061" s="43" t="s">
        <v>111</v>
      </c>
      <c r="C1061" s="46">
        <v>109</v>
      </c>
      <c r="D1061" s="46">
        <v>2650421.9630320352</v>
      </c>
      <c r="E1061" s="43">
        <v>238537.97667288315</v>
      </c>
      <c r="F1061" s="43" t="s">
        <v>106</v>
      </c>
      <c r="G1061" s="43" t="s">
        <v>71</v>
      </c>
      <c r="H1061" s="43" t="s">
        <v>72</v>
      </c>
    </row>
    <row r="1062" spans="1:8" x14ac:dyDescent="0.25">
      <c r="A1062" s="72" t="s">
        <v>1771</v>
      </c>
      <c r="B1062" s="72" t="s">
        <v>127</v>
      </c>
      <c r="C1062" s="73">
        <v>109</v>
      </c>
      <c r="D1062" s="73">
        <v>2611184.5743211801</v>
      </c>
      <c r="E1062" s="72">
        <v>208894.76594569441</v>
      </c>
      <c r="F1062" s="72" t="s">
        <v>106</v>
      </c>
      <c r="G1062" s="72" t="s">
        <v>71</v>
      </c>
      <c r="H1062" s="72" t="s">
        <v>72</v>
      </c>
    </row>
    <row r="1063" spans="1:8" x14ac:dyDescent="0.25">
      <c r="A1063" s="72" t="s">
        <v>440</v>
      </c>
      <c r="B1063" s="72" t="s">
        <v>83</v>
      </c>
      <c r="C1063" s="73">
        <v>109</v>
      </c>
      <c r="D1063" s="73">
        <v>3443880.9431605889</v>
      </c>
      <c r="E1063" s="72">
        <v>413265.71317927074</v>
      </c>
      <c r="F1063" s="72" t="s">
        <v>78</v>
      </c>
      <c r="G1063" s="72" t="s">
        <v>71</v>
      </c>
      <c r="H1063" s="72" t="s">
        <v>72</v>
      </c>
    </row>
    <row r="1064" spans="1:8" x14ac:dyDescent="0.25">
      <c r="A1064" s="43" t="s">
        <v>2360</v>
      </c>
      <c r="B1064" s="43" t="s">
        <v>119</v>
      </c>
      <c r="C1064" s="46">
        <v>108</v>
      </c>
      <c r="D1064" s="46">
        <v>2660886.1959954505</v>
      </c>
      <c r="E1064" s="43">
        <v>159653.17175972706</v>
      </c>
      <c r="F1064" s="43" t="s">
        <v>70</v>
      </c>
      <c r="G1064" s="43" t="s">
        <v>71</v>
      </c>
      <c r="H1064" s="43" t="s">
        <v>72</v>
      </c>
    </row>
    <row r="1065" spans="1:8" x14ac:dyDescent="0.25">
      <c r="A1065" s="43" t="s">
        <v>860</v>
      </c>
      <c r="B1065" s="43" t="s">
        <v>119</v>
      </c>
      <c r="C1065" s="46">
        <v>108</v>
      </c>
      <c r="D1065" s="46">
        <v>3167600.1339576221</v>
      </c>
      <c r="E1065" s="43">
        <v>316760.01339576225</v>
      </c>
      <c r="F1065" s="43" t="s">
        <v>70</v>
      </c>
      <c r="G1065" s="43" t="s">
        <v>71</v>
      </c>
      <c r="H1065" s="43" t="s">
        <v>72</v>
      </c>
    </row>
    <row r="1066" spans="1:8" x14ac:dyDescent="0.25">
      <c r="A1066" s="72" t="s">
        <v>1378</v>
      </c>
      <c r="B1066" s="72" t="s">
        <v>77</v>
      </c>
      <c r="C1066" s="73">
        <v>108</v>
      </c>
      <c r="D1066" s="73">
        <v>3113259.3161211358</v>
      </c>
      <c r="E1066" s="72">
        <v>249060.74528969088</v>
      </c>
      <c r="F1066" s="72" t="s">
        <v>87</v>
      </c>
      <c r="G1066" s="72" t="s">
        <v>71</v>
      </c>
      <c r="H1066" s="72" t="s">
        <v>88</v>
      </c>
    </row>
    <row r="1067" spans="1:8" x14ac:dyDescent="0.25">
      <c r="A1067" s="72" t="s">
        <v>637</v>
      </c>
      <c r="B1067" s="72" t="s">
        <v>79</v>
      </c>
      <c r="C1067" s="73">
        <v>108</v>
      </c>
      <c r="D1067" s="73">
        <v>3258227.0871069254</v>
      </c>
      <c r="E1067" s="72">
        <v>358404.97958176187</v>
      </c>
      <c r="F1067" s="72" t="s">
        <v>70</v>
      </c>
      <c r="G1067" s="72" t="s">
        <v>71</v>
      </c>
      <c r="H1067" s="72" t="s">
        <v>72</v>
      </c>
    </row>
    <row r="1068" spans="1:8" x14ac:dyDescent="0.25">
      <c r="A1068" s="72" t="s">
        <v>366</v>
      </c>
      <c r="B1068" s="72" t="s">
        <v>323</v>
      </c>
      <c r="C1068" s="73">
        <v>108</v>
      </c>
      <c r="D1068" s="73">
        <v>2660886.1959954505</v>
      </c>
      <c r="E1068" s="72">
        <v>159653.17175972706</v>
      </c>
      <c r="F1068" s="72" t="s">
        <v>70</v>
      </c>
      <c r="G1068" s="72" t="s">
        <v>71</v>
      </c>
      <c r="H1068" s="72" t="s">
        <v>72</v>
      </c>
    </row>
    <row r="1069" spans="1:8" x14ac:dyDescent="0.25">
      <c r="A1069" s="43" t="s">
        <v>372</v>
      </c>
      <c r="B1069" s="43" t="s">
        <v>92</v>
      </c>
      <c r="C1069" s="46">
        <v>108</v>
      </c>
      <c r="D1069" s="46">
        <v>3567257.3401419218</v>
      </c>
      <c r="E1069" s="43">
        <v>499416.02761986898</v>
      </c>
      <c r="F1069" s="43" t="s">
        <v>78</v>
      </c>
      <c r="G1069" s="43" t="s">
        <v>71</v>
      </c>
      <c r="H1069" s="43" t="s">
        <v>72</v>
      </c>
    </row>
    <row r="1070" spans="1:8" x14ac:dyDescent="0.25">
      <c r="A1070" s="43" t="s">
        <v>638</v>
      </c>
      <c r="B1070" s="43" t="s">
        <v>367</v>
      </c>
      <c r="C1070" s="46">
        <v>108</v>
      </c>
      <c r="D1070" s="46">
        <v>3258227.0871069254</v>
      </c>
      <c r="E1070" s="43">
        <v>358404.97958176187</v>
      </c>
      <c r="F1070" s="43" t="s">
        <v>70</v>
      </c>
      <c r="G1070" s="43" t="s">
        <v>71</v>
      </c>
      <c r="H1070" s="43" t="s">
        <v>72</v>
      </c>
    </row>
    <row r="1071" spans="1:8" x14ac:dyDescent="0.25">
      <c r="A1071" s="43" t="s">
        <v>2361</v>
      </c>
      <c r="B1071" s="43" t="s">
        <v>170</v>
      </c>
      <c r="C1071" s="46">
        <v>108</v>
      </c>
      <c r="D1071" s="46">
        <v>2660886.1959954505</v>
      </c>
      <c r="E1071" s="43">
        <v>159653.17175972706</v>
      </c>
      <c r="F1071" s="43" t="s">
        <v>70</v>
      </c>
      <c r="G1071" s="43" t="s">
        <v>71</v>
      </c>
      <c r="H1071" s="43" t="s">
        <v>72</v>
      </c>
    </row>
    <row r="1072" spans="1:8" x14ac:dyDescent="0.25">
      <c r="A1072" s="43" t="s">
        <v>375</v>
      </c>
      <c r="B1072" s="43" t="s">
        <v>92</v>
      </c>
      <c r="C1072" s="46">
        <v>108</v>
      </c>
      <c r="D1072" s="46">
        <v>3530425.2368054204</v>
      </c>
      <c r="E1072" s="43">
        <v>494259.53315275878</v>
      </c>
      <c r="F1072" s="43" t="s">
        <v>84</v>
      </c>
      <c r="G1072" s="43" t="s">
        <v>71</v>
      </c>
      <c r="H1072" s="43" t="s">
        <v>72</v>
      </c>
    </row>
    <row r="1073" spans="1:8" x14ac:dyDescent="0.25">
      <c r="A1073" s="43" t="s">
        <v>1146</v>
      </c>
      <c r="B1073" s="43" t="s">
        <v>112</v>
      </c>
      <c r="C1073" s="46">
        <v>108</v>
      </c>
      <c r="D1073" s="46">
        <v>3067380.7358830399</v>
      </c>
      <c r="E1073" s="43">
        <v>276064.26622947358</v>
      </c>
      <c r="F1073" s="43" t="s">
        <v>70</v>
      </c>
      <c r="G1073" s="43" t="s">
        <v>71</v>
      </c>
      <c r="H1073" s="43" t="s">
        <v>72</v>
      </c>
    </row>
    <row r="1074" spans="1:8" x14ac:dyDescent="0.25">
      <c r="A1074" s="43" t="s">
        <v>589</v>
      </c>
      <c r="B1074" s="43" t="s">
        <v>75</v>
      </c>
      <c r="C1074" s="46">
        <v>108</v>
      </c>
      <c r="D1074" s="46">
        <v>3328817.8574682102</v>
      </c>
      <c r="E1074" s="43">
        <v>366169.96432150318</v>
      </c>
      <c r="F1074" s="43" t="s">
        <v>78</v>
      </c>
      <c r="G1074" s="43" t="s">
        <v>71</v>
      </c>
      <c r="H1074" s="43" t="s">
        <v>72</v>
      </c>
    </row>
    <row r="1075" spans="1:8" x14ac:dyDescent="0.25">
      <c r="A1075" s="72" t="s">
        <v>2924</v>
      </c>
      <c r="B1075" s="72" t="s">
        <v>102</v>
      </c>
      <c r="C1075" s="73">
        <v>108</v>
      </c>
      <c r="D1075" s="73">
        <v>2438547.5769391395</v>
      </c>
      <c r="E1075" s="72">
        <v>121927.37884695698</v>
      </c>
      <c r="F1075" s="72" t="s">
        <v>70</v>
      </c>
      <c r="G1075" s="72" t="s">
        <v>71</v>
      </c>
      <c r="H1075" s="72" t="s">
        <v>72</v>
      </c>
    </row>
    <row r="1076" spans="1:8" x14ac:dyDescent="0.25">
      <c r="A1076" s="43" t="s">
        <v>2314</v>
      </c>
      <c r="B1076" s="43" t="s">
        <v>75</v>
      </c>
      <c r="C1076" s="46">
        <v>108</v>
      </c>
      <c r="D1076" s="46">
        <v>2715978.486156852</v>
      </c>
      <c r="E1076" s="43">
        <v>162958.70916941116</v>
      </c>
      <c r="F1076" s="43" t="s">
        <v>78</v>
      </c>
      <c r="G1076" s="43" t="s">
        <v>71</v>
      </c>
      <c r="H1076" s="43" t="s">
        <v>72</v>
      </c>
    </row>
    <row r="1077" spans="1:8" x14ac:dyDescent="0.25">
      <c r="A1077" s="72" t="s">
        <v>1147</v>
      </c>
      <c r="B1077" s="72" t="s">
        <v>323</v>
      </c>
      <c r="C1077" s="73">
        <v>108</v>
      </c>
      <c r="D1077" s="73">
        <v>3067380.7358830399</v>
      </c>
      <c r="E1077" s="72">
        <v>276064.26622947358</v>
      </c>
      <c r="F1077" s="72" t="s">
        <v>70</v>
      </c>
      <c r="G1077" s="72" t="s">
        <v>71</v>
      </c>
      <c r="H1077" s="72" t="s">
        <v>72</v>
      </c>
    </row>
    <row r="1078" spans="1:8" x14ac:dyDescent="0.25">
      <c r="A1078" s="43" t="s">
        <v>2925</v>
      </c>
      <c r="B1078" s="43" t="s">
        <v>97</v>
      </c>
      <c r="C1078" s="46">
        <v>108</v>
      </c>
      <c r="D1078" s="46">
        <v>2438547.5769391395</v>
      </c>
      <c r="E1078" s="43">
        <v>121927.37884695698</v>
      </c>
      <c r="F1078" s="43" t="s">
        <v>70</v>
      </c>
      <c r="G1078" s="43" t="s">
        <v>71</v>
      </c>
      <c r="H1078" s="43" t="s">
        <v>72</v>
      </c>
    </row>
    <row r="1079" spans="1:8" x14ac:dyDescent="0.25">
      <c r="A1079" s="72" t="s">
        <v>2362</v>
      </c>
      <c r="B1079" s="72" t="s">
        <v>323</v>
      </c>
      <c r="C1079" s="73">
        <v>108</v>
      </c>
      <c r="D1079" s="73">
        <v>2660886.1959954505</v>
      </c>
      <c r="E1079" s="72">
        <v>159653.17175972706</v>
      </c>
      <c r="F1079" s="72" t="s">
        <v>70</v>
      </c>
      <c r="G1079" s="72" t="s">
        <v>71</v>
      </c>
      <c r="H1079" s="72" t="s">
        <v>72</v>
      </c>
    </row>
    <row r="1080" spans="1:8" x14ac:dyDescent="0.25">
      <c r="A1080" s="72" t="s">
        <v>590</v>
      </c>
      <c r="B1080" s="72" t="s">
        <v>75</v>
      </c>
      <c r="C1080" s="73">
        <v>108</v>
      </c>
      <c r="D1080" s="73">
        <v>3328817.8574682102</v>
      </c>
      <c r="E1080" s="72">
        <v>366169.96432150318</v>
      </c>
      <c r="F1080" s="72" t="s">
        <v>78</v>
      </c>
      <c r="G1080" s="72" t="s">
        <v>71</v>
      </c>
      <c r="H1080" s="72" t="s">
        <v>72</v>
      </c>
    </row>
    <row r="1081" spans="1:8" x14ac:dyDescent="0.25">
      <c r="A1081" s="43" t="s">
        <v>1148</v>
      </c>
      <c r="B1081" s="43" t="s">
        <v>323</v>
      </c>
      <c r="C1081" s="46">
        <v>108</v>
      </c>
      <c r="D1081" s="46">
        <v>3067380.7358830399</v>
      </c>
      <c r="E1081" s="43">
        <v>276064.26622947358</v>
      </c>
      <c r="F1081" s="43" t="s">
        <v>70</v>
      </c>
      <c r="G1081" s="43" t="s">
        <v>71</v>
      </c>
      <c r="H1081" s="43" t="s">
        <v>72</v>
      </c>
    </row>
    <row r="1082" spans="1:8" x14ac:dyDescent="0.25">
      <c r="A1082" s="72" t="s">
        <v>1901</v>
      </c>
      <c r="B1082" s="72" t="s">
        <v>323</v>
      </c>
      <c r="C1082" s="73">
        <v>108</v>
      </c>
      <c r="D1082" s="73">
        <v>2822564.932064632</v>
      </c>
      <c r="E1082" s="72">
        <v>197579.54524452423</v>
      </c>
      <c r="F1082" s="72" t="s">
        <v>70</v>
      </c>
      <c r="G1082" s="72" t="s">
        <v>71</v>
      </c>
      <c r="H1082" s="72" t="s">
        <v>72</v>
      </c>
    </row>
    <row r="1083" spans="1:8" x14ac:dyDescent="0.25">
      <c r="A1083" s="72" t="s">
        <v>2118</v>
      </c>
      <c r="B1083" s="72" t="s">
        <v>127</v>
      </c>
      <c r="C1083" s="73">
        <v>108</v>
      </c>
      <c r="D1083" s="73">
        <v>2544308.0813063397</v>
      </c>
      <c r="E1083" s="72">
        <v>178101.56569144377</v>
      </c>
      <c r="F1083" s="72" t="s">
        <v>106</v>
      </c>
      <c r="G1083" s="72" t="s">
        <v>71</v>
      </c>
      <c r="H1083" s="72" t="s">
        <v>72</v>
      </c>
    </row>
    <row r="1084" spans="1:8" x14ac:dyDescent="0.25">
      <c r="A1084" s="43" t="s">
        <v>1902</v>
      </c>
      <c r="B1084" s="43" t="s">
        <v>73</v>
      </c>
      <c r="C1084" s="46">
        <v>108</v>
      </c>
      <c r="D1084" s="46">
        <v>2822564.932064632</v>
      </c>
      <c r="E1084" s="43">
        <v>197579.54524452423</v>
      </c>
      <c r="F1084" s="43" t="s">
        <v>70</v>
      </c>
      <c r="G1084" s="43" t="s">
        <v>71</v>
      </c>
      <c r="H1084" s="43" t="s">
        <v>72</v>
      </c>
    </row>
    <row r="1085" spans="1:8" x14ac:dyDescent="0.25">
      <c r="A1085" s="72" t="s">
        <v>2926</v>
      </c>
      <c r="B1085" s="72" t="s">
        <v>73</v>
      </c>
      <c r="C1085" s="73">
        <v>108</v>
      </c>
      <c r="D1085" s="73">
        <v>2438547.5769391395</v>
      </c>
      <c r="E1085" s="72">
        <v>121927.37884695698</v>
      </c>
      <c r="F1085" s="72" t="s">
        <v>70</v>
      </c>
      <c r="G1085" s="72" t="s">
        <v>71</v>
      </c>
      <c r="H1085" s="72" t="s">
        <v>72</v>
      </c>
    </row>
    <row r="1086" spans="1:8" x14ac:dyDescent="0.25">
      <c r="A1086" s="72" t="s">
        <v>1514</v>
      </c>
      <c r="B1086" s="72" t="s">
        <v>119</v>
      </c>
      <c r="C1086" s="73">
        <v>107</v>
      </c>
      <c r="D1086" s="73">
        <v>2925313.3076722804</v>
      </c>
      <c r="E1086" s="72">
        <v>234025.06461378242</v>
      </c>
      <c r="F1086" s="72" t="s">
        <v>70</v>
      </c>
      <c r="G1086" s="72" t="s">
        <v>71</v>
      </c>
      <c r="H1086" s="72" t="s">
        <v>72</v>
      </c>
    </row>
    <row r="1087" spans="1:8" x14ac:dyDescent="0.25">
      <c r="A1087" s="72" t="s">
        <v>2960</v>
      </c>
      <c r="B1087" s="72" t="s">
        <v>119</v>
      </c>
      <c r="C1087" s="73">
        <v>107</v>
      </c>
      <c r="D1087" s="73">
        <v>2414372.2717690989</v>
      </c>
      <c r="E1087" s="72">
        <v>120718.61358845496</v>
      </c>
      <c r="F1087" s="72" t="s">
        <v>70</v>
      </c>
      <c r="G1087" s="72" t="s">
        <v>71</v>
      </c>
      <c r="H1087" s="72" t="s">
        <v>72</v>
      </c>
    </row>
    <row r="1088" spans="1:8" x14ac:dyDescent="0.25">
      <c r="A1088" s="43" t="s">
        <v>1916</v>
      </c>
      <c r="B1088" s="43" t="s">
        <v>323</v>
      </c>
      <c r="C1088" s="46">
        <v>107</v>
      </c>
      <c r="D1088" s="46">
        <v>2794833.9106434295</v>
      </c>
      <c r="E1088" s="43">
        <v>195638.37374504004</v>
      </c>
      <c r="F1088" s="43" t="s">
        <v>70</v>
      </c>
      <c r="G1088" s="43" t="s">
        <v>71</v>
      </c>
      <c r="H1088" s="43" t="s">
        <v>72</v>
      </c>
    </row>
    <row r="1089" spans="1:8" x14ac:dyDescent="0.25">
      <c r="A1089" s="72" t="s">
        <v>881</v>
      </c>
      <c r="B1089" s="72" t="s">
        <v>73</v>
      </c>
      <c r="C1089" s="73">
        <v>107</v>
      </c>
      <c r="D1089" s="73">
        <v>3136674.3421485214</v>
      </c>
      <c r="E1089" s="72">
        <v>313667.43421485217</v>
      </c>
      <c r="F1089" s="72" t="s">
        <v>70</v>
      </c>
      <c r="G1089" s="72" t="s">
        <v>71</v>
      </c>
      <c r="H1089" s="72" t="s">
        <v>72</v>
      </c>
    </row>
    <row r="1090" spans="1:8" x14ac:dyDescent="0.25">
      <c r="A1090" s="72" t="s">
        <v>835</v>
      </c>
      <c r="B1090" s="72" t="s">
        <v>73</v>
      </c>
      <c r="C1090" s="73">
        <v>107</v>
      </c>
      <c r="D1090" s="73">
        <v>3207703.1518849325</v>
      </c>
      <c r="E1090" s="72">
        <v>320770.31518849329</v>
      </c>
      <c r="F1090" s="72" t="s">
        <v>78</v>
      </c>
      <c r="G1090" s="72" t="s">
        <v>71</v>
      </c>
      <c r="H1090" s="72" t="s">
        <v>72</v>
      </c>
    </row>
    <row r="1091" spans="1:8" x14ac:dyDescent="0.25">
      <c r="A1091" s="43" t="s">
        <v>656</v>
      </c>
      <c r="B1091" s="43" t="s">
        <v>75</v>
      </c>
      <c r="C1091" s="46">
        <v>107</v>
      </c>
      <c r="D1091" s="46">
        <v>3226462.1568427393</v>
      </c>
      <c r="E1091" s="43">
        <v>354910.8372527014</v>
      </c>
      <c r="F1091" s="43" t="s">
        <v>70</v>
      </c>
      <c r="G1091" s="43" t="s">
        <v>71</v>
      </c>
      <c r="H1091" s="43" t="s">
        <v>72</v>
      </c>
    </row>
    <row r="1092" spans="1:8" x14ac:dyDescent="0.25">
      <c r="A1092" s="72" t="s">
        <v>657</v>
      </c>
      <c r="B1092" s="72" t="s">
        <v>323</v>
      </c>
      <c r="C1092" s="73">
        <v>107</v>
      </c>
      <c r="D1092" s="73">
        <v>3226462.1568427393</v>
      </c>
      <c r="E1092" s="72">
        <v>354910.8372527014</v>
      </c>
      <c r="F1092" s="72" t="s">
        <v>70</v>
      </c>
      <c r="G1092" s="72" t="s">
        <v>71</v>
      </c>
      <c r="H1092" s="72" t="s">
        <v>72</v>
      </c>
    </row>
    <row r="1093" spans="1:8" x14ac:dyDescent="0.25">
      <c r="A1093" s="43" t="s">
        <v>1515</v>
      </c>
      <c r="B1093" s="43" t="s">
        <v>112</v>
      </c>
      <c r="C1093" s="46">
        <v>107</v>
      </c>
      <c r="D1093" s="46">
        <v>2925313.3076722804</v>
      </c>
      <c r="E1093" s="43">
        <v>234025.06461378242</v>
      </c>
      <c r="F1093" s="43" t="s">
        <v>70</v>
      </c>
      <c r="G1093" s="43" t="s">
        <v>71</v>
      </c>
      <c r="H1093" s="43" t="s">
        <v>72</v>
      </c>
    </row>
    <row r="1094" spans="1:8" x14ac:dyDescent="0.25">
      <c r="A1094" s="72" t="s">
        <v>819</v>
      </c>
      <c r="B1094" s="72" t="s">
        <v>112</v>
      </c>
      <c r="C1094" s="73">
        <v>107</v>
      </c>
      <c r="D1094" s="73">
        <v>2698654.1670992449</v>
      </c>
      <c r="E1094" s="72">
        <v>323838.50005190936</v>
      </c>
      <c r="F1094" s="72" t="s">
        <v>106</v>
      </c>
      <c r="G1094" s="72" t="s">
        <v>71</v>
      </c>
      <c r="H1094" s="72" t="s">
        <v>72</v>
      </c>
    </row>
    <row r="1095" spans="1:8" x14ac:dyDescent="0.25">
      <c r="A1095" s="72" t="s">
        <v>1516</v>
      </c>
      <c r="B1095" s="72" t="s">
        <v>323</v>
      </c>
      <c r="C1095" s="73">
        <v>107</v>
      </c>
      <c r="D1095" s="73">
        <v>2925313.3076722804</v>
      </c>
      <c r="E1095" s="72">
        <v>234025.06461378242</v>
      </c>
      <c r="F1095" s="72" t="s">
        <v>70</v>
      </c>
      <c r="G1095" s="72" t="s">
        <v>71</v>
      </c>
      <c r="H1095" s="72" t="s">
        <v>72</v>
      </c>
    </row>
    <row r="1096" spans="1:8" x14ac:dyDescent="0.25">
      <c r="A1096" s="72" t="s">
        <v>1081</v>
      </c>
      <c r="B1096" s="72" t="s">
        <v>93</v>
      </c>
      <c r="C1096" s="73">
        <v>107</v>
      </c>
      <c r="D1096" s="73">
        <v>3164006.0502365436</v>
      </c>
      <c r="E1096" s="72">
        <v>284760.54452128889</v>
      </c>
      <c r="F1096" s="72" t="s">
        <v>87</v>
      </c>
      <c r="G1096" s="72" t="s">
        <v>71</v>
      </c>
      <c r="H1096" s="72" t="s">
        <v>88</v>
      </c>
    </row>
    <row r="1097" spans="1:8" x14ac:dyDescent="0.25">
      <c r="A1097" s="43" t="s">
        <v>1183</v>
      </c>
      <c r="B1097" s="43" t="s">
        <v>119</v>
      </c>
      <c r="C1097" s="46">
        <v>106</v>
      </c>
      <c r="D1097" s="46">
        <v>3007416.3636699431</v>
      </c>
      <c r="E1097" s="43">
        <v>270667.47273029486</v>
      </c>
      <c r="F1097" s="43" t="s">
        <v>70</v>
      </c>
      <c r="G1097" s="43" t="s">
        <v>71</v>
      </c>
      <c r="H1097" s="43" t="s">
        <v>72</v>
      </c>
    </row>
    <row r="1098" spans="1:8" x14ac:dyDescent="0.25">
      <c r="A1098" s="72" t="s">
        <v>667</v>
      </c>
      <c r="B1098" s="72" t="s">
        <v>211</v>
      </c>
      <c r="C1098" s="73">
        <v>106</v>
      </c>
      <c r="D1098" s="73">
        <v>3194728.5232044971</v>
      </c>
      <c r="E1098" s="72">
        <v>351420.13755249471</v>
      </c>
      <c r="F1098" s="72" t="s">
        <v>70</v>
      </c>
      <c r="G1098" s="72" t="s">
        <v>71</v>
      </c>
      <c r="H1098" s="72" t="s">
        <v>72</v>
      </c>
    </row>
    <row r="1099" spans="1:8" x14ac:dyDescent="0.25">
      <c r="A1099" s="72" t="s">
        <v>2968</v>
      </c>
      <c r="B1099" s="72" t="s">
        <v>77</v>
      </c>
      <c r="C1099" s="73">
        <v>106</v>
      </c>
      <c r="D1099" s="73">
        <v>2386100.8202263559</v>
      </c>
      <c r="E1099" s="72">
        <v>119305.04101131781</v>
      </c>
      <c r="F1099" s="72" t="s">
        <v>106</v>
      </c>
      <c r="G1099" s="72" t="s">
        <v>71</v>
      </c>
      <c r="H1099" s="72" t="s">
        <v>72</v>
      </c>
    </row>
    <row r="1100" spans="1:8" x14ac:dyDescent="0.25">
      <c r="A1100" s="72" t="s">
        <v>945</v>
      </c>
      <c r="B1100" s="72" t="s">
        <v>176</v>
      </c>
      <c r="C1100" s="73">
        <v>106</v>
      </c>
      <c r="D1100" s="73">
        <v>3025343.6558534685</v>
      </c>
      <c r="E1100" s="72">
        <v>302534.36558534688</v>
      </c>
      <c r="F1100" s="72" t="s">
        <v>84</v>
      </c>
      <c r="G1100" s="72" t="s">
        <v>71</v>
      </c>
      <c r="H1100" s="72" t="s">
        <v>72</v>
      </c>
    </row>
    <row r="1101" spans="1:8" x14ac:dyDescent="0.25">
      <c r="A1101" s="72" t="s">
        <v>1184</v>
      </c>
      <c r="B1101" s="72" t="s">
        <v>73</v>
      </c>
      <c r="C1101" s="73">
        <v>106</v>
      </c>
      <c r="D1101" s="73">
        <v>3007416.3636699431</v>
      </c>
      <c r="E1101" s="72">
        <v>270667.47273029486</v>
      </c>
      <c r="F1101" s="72" t="s">
        <v>70</v>
      </c>
      <c r="G1101" s="72" t="s">
        <v>71</v>
      </c>
      <c r="H1101" s="72" t="s">
        <v>72</v>
      </c>
    </row>
    <row r="1102" spans="1:8" x14ac:dyDescent="0.25">
      <c r="A1102" s="72" t="s">
        <v>403</v>
      </c>
      <c r="B1102" s="72" t="s">
        <v>404</v>
      </c>
      <c r="C1102" s="73">
        <v>106</v>
      </c>
      <c r="D1102" s="73">
        <v>3432177.9346108143</v>
      </c>
      <c r="E1102" s="72">
        <v>446183.13149940589</v>
      </c>
      <c r="F1102" s="72" t="s">
        <v>78</v>
      </c>
      <c r="G1102" s="72" t="s">
        <v>71</v>
      </c>
      <c r="H1102" s="72" t="s">
        <v>72</v>
      </c>
    </row>
    <row r="1103" spans="1:8" x14ac:dyDescent="0.25">
      <c r="A1103" s="43" t="s">
        <v>1794</v>
      </c>
      <c r="B1103" s="43" t="s">
        <v>73</v>
      </c>
      <c r="C1103" s="46">
        <v>106</v>
      </c>
      <c r="D1103" s="46">
        <v>2968996.197264987</v>
      </c>
      <c r="E1103" s="43">
        <v>207829.73380854906</v>
      </c>
      <c r="F1103" s="43" t="s">
        <v>87</v>
      </c>
      <c r="G1103" s="43" t="s">
        <v>71</v>
      </c>
      <c r="H1103" s="43" t="s">
        <v>88</v>
      </c>
    </row>
    <row r="1104" spans="1:8" x14ac:dyDescent="0.25">
      <c r="A1104" s="72" t="s">
        <v>459</v>
      </c>
      <c r="B1104" s="72" t="s">
        <v>73</v>
      </c>
      <c r="C1104" s="73">
        <v>106</v>
      </c>
      <c r="D1104" s="73">
        <v>3324101.6582199447</v>
      </c>
      <c r="E1104" s="72">
        <v>398892.19898639334</v>
      </c>
      <c r="F1104" s="72" t="s">
        <v>87</v>
      </c>
      <c r="G1104" s="72" t="s">
        <v>71</v>
      </c>
      <c r="H1104" s="72" t="s">
        <v>88</v>
      </c>
    </row>
    <row r="1105" spans="1:8" x14ac:dyDescent="0.25">
      <c r="A1105" s="72" t="s">
        <v>2964</v>
      </c>
      <c r="B1105" s="72" t="s">
        <v>73</v>
      </c>
      <c r="C1105" s="73">
        <v>106</v>
      </c>
      <c r="D1105" s="73">
        <v>2390228.2632250027</v>
      </c>
      <c r="E1105" s="72">
        <v>119511.41316125014</v>
      </c>
      <c r="F1105" s="72" t="s">
        <v>70</v>
      </c>
      <c r="G1105" s="72" t="s">
        <v>71</v>
      </c>
      <c r="H1105" s="72" t="s">
        <v>72</v>
      </c>
    </row>
    <row r="1106" spans="1:8" x14ac:dyDescent="0.25">
      <c r="A1106" s="43" t="s">
        <v>3263</v>
      </c>
      <c r="B1106" s="43" t="s">
        <v>73</v>
      </c>
      <c r="C1106" s="46">
        <v>106</v>
      </c>
      <c r="D1106" s="46">
        <v>2530316.166127325</v>
      </c>
      <c r="E1106" s="43">
        <v>101212.646645093</v>
      </c>
      <c r="F1106" s="43" t="s">
        <v>87</v>
      </c>
      <c r="G1106" s="43" t="s">
        <v>71</v>
      </c>
      <c r="H1106" s="43" t="s">
        <v>88</v>
      </c>
    </row>
    <row r="1107" spans="1:8" x14ac:dyDescent="0.25">
      <c r="A1107" s="72" t="s">
        <v>1536</v>
      </c>
      <c r="B1107" s="72" t="s">
        <v>105</v>
      </c>
      <c r="C1107" s="73">
        <v>106</v>
      </c>
      <c r="D1107" s="73">
        <v>2896394.1492599305</v>
      </c>
      <c r="E1107" s="72">
        <v>231711.53194079443</v>
      </c>
      <c r="F1107" s="72" t="s">
        <v>70</v>
      </c>
      <c r="G1107" s="72" t="s">
        <v>71</v>
      </c>
      <c r="H1107" s="72" t="s">
        <v>72</v>
      </c>
    </row>
    <row r="1108" spans="1:8" x14ac:dyDescent="0.25">
      <c r="A1108" s="43" t="s">
        <v>2965</v>
      </c>
      <c r="B1108" s="43" t="s">
        <v>2226</v>
      </c>
      <c r="C1108" s="46">
        <v>106</v>
      </c>
      <c r="D1108" s="46">
        <v>2390228.2632250027</v>
      </c>
      <c r="E1108" s="43">
        <v>119511.41316125014</v>
      </c>
      <c r="F1108" s="43" t="s">
        <v>70</v>
      </c>
      <c r="G1108" s="43" t="s">
        <v>71</v>
      </c>
      <c r="H1108" s="43" t="s">
        <v>72</v>
      </c>
    </row>
    <row r="1109" spans="1:8" x14ac:dyDescent="0.25">
      <c r="A1109" s="72" t="s">
        <v>2966</v>
      </c>
      <c r="B1109" s="72" t="s">
        <v>112</v>
      </c>
      <c r="C1109" s="73">
        <v>106</v>
      </c>
      <c r="D1109" s="73">
        <v>2390228.2632250027</v>
      </c>
      <c r="E1109" s="72">
        <v>119511.41316125014</v>
      </c>
      <c r="F1109" s="72" t="s">
        <v>70</v>
      </c>
      <c r="G1109" s="72" t="s">
        <v>71</v>
      </c>
      <c r="H1109" s="72" t="s">
        <v>72</v>
      </c>
    </row>
    <row r="1110" spans="1:8" x14ac:dyDescent="0.25">
      <c r="A1110" s="72" t="s">
        <v>899</v>
      </c>
      <c r="B1110" s="72" t="s">
        <v>112</v>
      </c>
      <c r="C1110" s="73">
        <v>106</v>
      </c>
      <c r="D1110" s="73">
        <v>3105779.846965366</v>
      </c>
      <c r="E1110" s="72">
        <v>310577.98469653662</v>
      </c>
      <c r="F1110" s="72" t="s">
        <v>70</v>
      </c>
      <c r="G1110" s="72" t="s">
        <v>71</v>
      </c>
      <c r="H1110" s="72" t="s">
        <v>72</v>
      </c>
    </row>
    <row r="1111" spans="1:8" x14ac:dyDescent="0.25">
      <c r="A1111" s="72" t="s">
        <v>1832</v>
      </c>
      <c r="B1111" s="72" t="s">
        <v>105</v>
      </c>
      <c r="C1111" s="73">
        <v>106</v>
      </c>
      <c r="D1111" s="73">
        <v>2543859.1539503946</v>
      </c>
      <c r="E1111" s="72">
        <v>203508.73231603159</v>
      </c>
      <c r="F1111" s="72" t="s">
        <v>106</v>
      </c>
      <c r="G1111" s="72" t="s">
        <v>71</v>
      </c>
      <c r="H1111" s="72" t="s">
        <v>72</v>
      </c>
    </row>
    <row r="1112" spans="1:8" x14ac:dyDescent="0.25">
      <c r="A1112" s="72" t="s">
        <v>1256</v>
      </c>
      <c r="B1112" s="72" t="s">
        <v>105</v>
      </c>
      <c r="C1112" s="73">
        <v>106</v>
      </c>
      <c r="D1112" s="73">
        <v>2616034.4736620653</v>
      </c>
      <c r="E1112" s="72">
        <v>261603.44736620656</v>
      </c>
      <c r="F1112" s="72" t="s">
        <v>106</v>
      </c>
      <c r="G1112" s="72" t="s">
        <v>71</v>
      </c>
      <c r="H1112" s="72" t="s">
        <v>72</v>
      </c>
    </row>
    <row r="1113" spans="1:8" x14ac:dyDescent="0.25">
      <c r="A1113" s="43" t="s">
        <v>359</v>
      </c>
      <c r="B1113" s="43" t="s">
        <v>115</v>
      </c>
      <c r="C1113" s="46">
        <v>106</v>
      </c>
      <c r="D1113" s="46">
        <v>3553787.0408956683</v>
      </c>
      <c r="E1113" s="43">
        <v>533068.05613435025</v>
      </c>
      <c r="F1113" s="43" t="s">
        <v>84</v>
      </c>
      <c r="G1113" s="43" t="s">
        <v>71</v>
      </c>
      <c r="H1113" s="43" t="s">
        <v>72</v>
      </c>
    </row>
    <row r="1114" spans="1:8" x14ac:dyDescent="0.25">
      <c r="A1114" s="43" t="s">
        <v>632</v>
      </c>
      <c r="B1114" s="43" t="s">
        <v>73</v>
      </c>
      <c r="C1114" s="46">
        <v>106</v>
      </c>
      <c r="D1114" s="46">
        <v>3267011.2368185301</v>
      </c>
      <c r="E1114" s="43">
        <v>359371.23605003837</v>
      </c>
      <c r="F1114" s="43" t="s">
        <v>87</v>
      </c>
      <c r="G1114" s="43" t="s">
        <v>71</v>
      </c>
      <c r="H1114" s="43" t="s">
        <v>88</v>
      </c>
    </row>
    <row r="1115" spans="1:8" x14ac:dyDescent="0.25">
      <c r="A1115" s="43" t="s">
        <v>900</v>
      </c>
      <c r="B1115" s="43" t="s">
        <v>102</v>
      </c>
      <c r="C1115" s="46">
        <v>106</v>
      </c>
      <c r="D1115" s="46">
        <v>3105779.846965366</v>
      </c>
      <c r="E1115" s="43">
        <v>310577.98469653662</v>
      </c>
      <c r="F1115" s="43" t="s">
        <v>70</v>
      </c>
      <c r="G1115" s="43" t="s">
        <v>71</v>
      </c>
      <c r="H1115" s="43" t="s">
        <v>72</v>
      </c>
    </row>
    <row r="1116" spans="1:8" x14ac:dyDescent="0.25">
      <c r="A1116" s="72" t="s">
        <v>2538</v>
      </c>
      <c r="B1116" s="72" t="s">
        <v>75</v>
      </c>
      <c r="C1116" s="73">
        <v>106</v>
      </c>
      <c r="D1116" s="73">
        <v>2448933.0854574284</v>
      </c>
      <c r="E1116" s="72">
        <v>146935.98512744572</v>
      </c>
      <c r="F1116" s="72" t="s">
        <v>106</v>
      </c>
      <c r="G1116" s="72" t="s">
        <v>71</v>
      </c>
      <c r="H1116" s="72" t="s">
        <v>72</v>
      </c>
    </row>
    <row r="1117" spans="1:8" x14ac:dyDescent="0.25">
      <c r="A1117" s="43" t="s">
        <v>2987</v>
      </c>
      <c r="B1117" s="43" t="s">
        <v>323</v>
      </c>
      <c r="C1117" s="46">
        <v>105</v>
      </c>
      <c r="D1117" s="46">
        <v>2366115.5085952557</v>
      </c>
      <c r="E1117" s="43">
        <v>118305.77542976278</v>
      </c>
      <c r="F1117" s="43" t="s">
        <v>70</v>
      </c>
      <c r="G1117" s="43" t="s">
        <v>71</v>
      </c>
      <c r="H1117" s="43" t="s">
        <v>72</v>
      </c>
    </row>
    <row r="1118" spans="1:8" x14ac:dyDescent="0.25">
      <c r="A1118" s="43" t="s">
        <v>922</v>
      </c>
      <c r="B1118" s="43" t="s">
        <v>85</v>
      </c>
      <c r="C1118" s="46">
        <v>105</v>
      </c>
      <c r="D1118" s="46">
        <v>3074916.6056965585</v>
      </c>
      <c r="E1118" s="43">
        <v>307491.66056965588</v>
      </c>
      <c r="F1118" s="43" t="s">
        <v>70</v>
      </c>
      <c r="G1118" s="43" t="s">
        <v>71</v>
      </c>
      <c r="H1118" s="43" t="s">
        <v>72</v>
      </c>
    </row>
    <row r="1119" spans="1:8" x14ac:dyDescent="0.25">
      <c r="A1119" s="72" t="s">
        <v>1959</v>
      </c>
      <c r="B1119" s="72" t="s">
        <v>85</v>
      </c>
      <c r="C1119" s="73">
        <v>105</v>
      </c>
      <c r="D1119" s="73">
        <v>2739465.7149672625</v>
      </c>
      <c r="E1119" s="72">
        <v>191762.60004770834</v>
      </c>
      <c r="F1119" s="72" t="s">
        <v>70</v>
      </c>
      <c r="G1119" s="72" t="s">
        <v>71</v>
      </c>
      <c r="H1119" s="72" t="s">
        <v>72</v>
      </c>
    </row>
    <row r="1120" spans="1:8" x14ac:dyDescent="0.25">
      <c r="A1120" s="43" t="s">
        <v>482</v>
      </c>
      <c r="B1120" s="43" t="s">
        <v>211</v>
      </c>
      <c r="C1120" s="46">
        <v>105</v>
      </c>
      <c r="D1120" s="46">
        <v>3243867.0976601737</v>
      </c>
      <c r="E1120" s="43">
        <v>389264.05171922094</v>
      </c>
      <c r="F1120" s="43" t="s">
        <v>70</v>
      </c>
      <c r="G1120" s="43" t="s">
        <v>71</v>
      </c>
      <c r="H1120" s="43" t="s">
        <v>72</v>
      </c>
    </row>
    <row r="1121" spans="1:8" x14ac:dyDescent="0.25">
      <c r="A1121" s="43" t="s">
        <v>1960</v>
      </c>
      <c r="B1121" s="43" t="s">
        <v>85</v>
      </c>
      <c r="C1121" s="46">
        <v>105</v>
      </c>
      <c r="D1121" s="46">
        <v>2739465.7149672625</v>
      </c>
      <c r="E1121" s="43">
        <v>191762.60004770834</v>
      </c>
      <c r="F1121" s="43" t="s">
        <v>70</v>
      </c>
      <c r="G1121" s="43" t="s">
        <v>71</v>
      </c>
      <c r="H1121" s="43" t="s">
        <v>72</v>
      </c>
    </row>
    <row r="1122" spans="1:8" x14ac:dyDescent="0.25">
      <c r="A1122" s="43" t="s">
        <v>2169</v>
      </c>
      <c r="B1122" s="43" t="s">
        <v>75</v>
      </c>
      <c r="C1122" s="46">
        <v>105</v>
      </c>
      <c r="D1122" s="46">
        <v>2478137.2044495493</v>
      </c>
      <c r="E1122" s="43">
        <v>173469.60431146843</v>
      </c>
      <c r="F1122" s="43" t="s">
        <v>106</v>
      </c>
      <c r="G1122" s="43" t="s">
        <v>71</v>
      </c>
      <c r="H1122" s="43" t="s">
        <v>72</v>
      </c>
    </row>
    <row r="1123" spans="1:8" x14ac:dyDescent="0.25">
      <c r="A1123" s="72" t="s">
        <v>454</v>
      </c>
      <c r="B1123" s="72" t="s">
        <v>179</v>
      </c>
      <c r="C1123" s="73">
        <v>105</v>
      </c>
      <c r="D1123" s="73">
        <v>2872045.1036509709</v>
      </c>
      <c r="E1123" s="72">
        <v>402086.31451113586</v>
      </c>
      <c r="F1123" s="72" t="s">
        <v>95</v>
      </c>
      <c r="G1123" s="72" t="s">
        <v>96</v>
      </c>
      <c r="H1123" s="72" t="s">
        <v>88</v>
      </c>
    </row>
    <row r="1124" spans="1:8" x14ac:dyDescent="0.25">
      <c r="A1124" s="72" t="s">
        <v>1544</v>
      </c>
      <c r="B1124" s="72" t="s">
        <v>554</v>
      </c>
      <c r="C1124" s="73">
        <v>105</v>
      </c>
      <c r="D1124" s="73">
        <v>2559161.1351187769</v>
      </c>
      <c r="E1124" s="72">
        <v>230324.50216068991</v>
      </c>
      <c r="F1124" s="72" t="s">
        <v>106</v>
      </c>
      <c r="G1124" s="72" t="s">
        <v>71</v>
      </c>
      <c r="H1124" s="72" t="s">
        <v>72</v>
      </c>
    </row>
    <row r="1125" spans="1:8" x14ac:dyDescent="0.25">
      <c r="A1125" s="43" t="s">
        <v>2216</v>
      </c>
      <c r="B1125" s="43" t="s">
        <v>204</v>
      </c>
      <c r="C1125" s="46">
        <v>105</v>
      </c>
      <c r="D1125" s="46">
        <v>2836702.3590606186</v>
      </c>
      <c r="E1125" s="43">
        <v>170202.14154363712</v>
      </c>
      <c r="F1125" s="43" t="s">
        <v>87</v>
      </c>
      <c r="G1125" s="43" t="s">
        <v>71</v>
      </c>
      <c r="H1125" s="43" t="s">
        <v>88</v>
      </c>
    </row>
    <row r="1126" spans="1:8" x14ac:dyDescent="0.25">
      <c r="A1126" s="72" t="s">
        <v>923</v>
      </c>
      <c r="B1126" s="72" t="s">
        <v>97</v>
      </c>
      <c r="C1126" s="73">
        <v>105</v>
      </c>
      <c r="D1126" s="73">
        <v>3074916.6056965585</v>
      </c>
      <c r="E1126" s="72">
        <v>307491.66056965588</v>
      </c>
      <c r="F1126" s="72" t="s">
        <v>70</v>
      </c>
      <c r="G1126" s="72" t="s">
        <v>71</v>
      </c>
      <c r="H1126" s="72" t="s">
        <v>72</v>
      </c>
    </row>
    <row r="1127" spans="1:8" x14ac:dyDescent="0.25">
      <c r="A1127" s="72" t="s">
        <v>1961</v>
      </c>
      <c r="B1127" s="72" t="s">
        <v>97</v>
      </c>
      <c r="C1127" s="73">
        <v>105</v>
      </c>
      <c r="D1127" s="73">
        <v>2739465.7149672625</v>
      </c>
      <c r="E1127" s="72">
        <v>191762.60004770834</v>
      </c>
      <c r="F1127" s="72" t="s">
        <v>70</v>
      </c>
      <c r="G1127" s="72" t="s">
        <v>71</v>
      </c>
      <c r="H1127" s="72" t="s">
        <v>72</v>
      </c>
    </row>
    <row r="1128" spans="1:8" x14ac:dyDescent="0.25">
      <c r="A1128" s="72" t="s">
        <v>1548</v>
      </c>
      <c r="B1128" s="72" t="s">
        <v>160</v>
      </c>
      <c r="C1128" s="73">
        <v>105</v>
      </c>
      <c r="D1128" s="73">
        <v>2867506.2447619289</v>
      </c>
      <c r="E1128" s="72">
        <v>229400.49958095432</v>
      </c>
      <c r="F1128" s="72" t="s">
        <v>70</v>
      </c>
      <c r="G1128" s="72" t="s">
        <v>71</v>
      </c>
      <c r="H1128" s="72" t="s">
        <v>72</v>
      </c>
    </row>
    <row r="1129" spans="1:8" x14ac:dyDescent="0.25">
      <c r="A1129" s="43" t="s">
        <v>1910</v>
      </c>
      <c r="B1129" s="43" t="s">
        <v>92</v>
      </c>
      <c r="C1129" s="46">
        <v>105</v>
      </c>
      <c r="D1129" s="46">
        <v>2807179.2328436398</v>
      </c>
      <c r="E1129" s="43">
        <v>196502.54629905475</v>
      </c>
      <c r="F1129" s="43" t="s">
        <v>78</v>
      </c>
      <c r="G1129" s="43" t="s">
        <v>71</v>
      </c>
      <c r="H1129" s="43" t="s">
        <v>72</v>
      </c>
    </row>
    <row r="1130" spans="1:8" x14ac:dyDescent="0.25">
      <c r="A1130" s="43" t="s">
        <v>2413</v>
      </c>
      <c r="B1130" s="43" t="s">
        <v>323</v>
      </c>
      <c r="C1130" s="46">
        <v>105</v>
      </c>
      <c r="D1130" s="46">
        <v>2582278.0549000031</v>
      </c>
      <c r="E1130" s="43">
        <v>154936.68329400022</v>
      </c>
      <c r="F1130" s="43" t="s">
        <v>70</v>
      </c>
      <c r="G1130" s="43" t="s">
        <v>71</v>
      </c>
      <c r="H1130" s="43" t="s">
        <v>72</v>
      </c>
    </row>
    <row r="1131" spans="1:8" x14ac:dyDescent="0.25">
      <c r="A1131" s="72" t="s">
        <v>2988</v>
      </c>
      <c r="B1131" s="72" t="s">
        <v>323</v>
      </c>
      <c r="C1131" s="73">
        <v>105</v>
      </c>
      <c r="D1131" s="73">
        <v>2366115.5085952557</v>
      </c>
      <c r="E1131" s="72">
        <v>118305.77542976278</v>
      </c>
      <c r="F1131" s="72" t="s">
        <v>70</v>
      </c>
      <c r="G1131" s="72" t="s">
        <v>71</v>
      </c>
      <c r="H1131" s="72" t="s">
        <v>72</v>
      </c>
    </row>
    <row r="1132" spans="1:8" x14ac:dyDescent="0.25">
      <c r="A1132" s="43" t="s">
        <v>2991</v>
      </c>
      <c r="B1132" s="43" t="s">
        <v>112</v>
      </c>
      <c r="C1132" s="46">
        <v>105</v>
      </c>
      <c r="D1132" s="46">
        <v>2365093.6030239658</v>
      </c>
      <c r="E1132" s="43">
        <v>118254.68015119829</v>
      </c>
      <c r="F1132" s="43" t="s">
        <v>106</v>
      </c>
      <c r="G1132" s="43" t="s">
        <v>71</v>
      </c>
      <c r="H1132" s="43" t="s">
        <v>72</v>
      </c>
    </row>
    <row r="1133" spans="1:8" x14ac:dyDescent="0.25">
      <c r="A1133" s="43" t="s">
        <v>1549</v>
      </c>
      <c r="B1133" s="43" t="s">
        <v>112</v>
      </c>
      <c r="C1133" s="46">
        <v>105</v>
      </c>
      <c r="D1133" s="46">
        <v>2867506.2447619289</v>
      </c>
      <c r="E1133" s="43">
        <v>229400.49958095432</v>
      </c>
      <c r="F1133" s="43" t="s">
        <v>70</v>
      </c>
      <c r="G1133" s="43" t="s">
        <v>71</v>
      </c>
      <c r="H1133" s="43" t="s">
        <v>72</v>
      </c>
    </row>
    <row r="1134" spans="1:8" x14ac:dyDescent="0.25">
      <c r="A1134" s="72" t="s">
        <v>385</v>
      </c>
      <c r="B1134" s="72" t="s">
        <v>77</v>
      </c>
      <c r="C1134" s="73">
        <v>105</v>
      </c>
      <c r="D1134" s="73">
        <v>3426645.690024286</v>
      </c>
      <c r="E1134" s="72">
        <v>479730.3966034</v>
      </c>
      <c r="F1134" s="72" t="s">
        <v>84</v>
      </c>
      <c r="G1134" s="72" t="s">
        <v>71</v>
      </c>
      <c r="H1134" s="72" t="s">
        <v>72</v>
      </c>
    </row>
    <row r="1135" spans="1:8" x14ac:dyDescent="0.25">
      <c r="A1135" s="72" t="s">
        <v>2414</v>
      </c>
      <c r="B1135" s="72" t="s">
        <v>73</v>
      </c>
      <c r="C1135" s="73">
        <v>105</v>
      </c>
      <c r="D1135" s="73">
        <v>2582278.0549000031</v>
      </c>
      <c r="E1135" s="72">
        <v>154936.68329400022</v>
      </c>
      <c r="F1135" s="72" t="s">
        <v>70</v>
      </c>
      <c r="G1135" s="72" t="s">
        <v>71</v>
      </c>
      <c r="H1135" s="72" t="s">
        <v>72</v>
      </c>
    </row>
    <row r="1136" spans="1:8" x14ac:dyDescent="0.25">
      <c r="A1136" s="43" t="s">
        <v>2989</v>
      </c>
      <c r="B1136" s="43" t="s">
        <v>74</v>
      </c>
      <c r="C1136" s="46">
        <v>105</v>
      </c>
      <c r="D1136" s="46">
        <v>2366115.5085952557</v>
      </c>
      <c r="E1136" s="43">
        <v>118305.77542976278</v>
      </c>
      <c r="F1136" s="43" t="s">
        <v>70</v>
      </c>
      <c r="G1136" s="43" t="s">
        <v>71</v>
      </c>
      <c r="H1136" s="43" t="s">
        <v>72</v>
      </c>
    </row>
    <row r="1137" spans="1:8" x14ac:dyDescent="0.25">
      <c r="A1137" s="43" t="s">
        <v>2415</v>
      </c>
      <c r="B1137" s="43" t="s">
        <v>85</v>
      </c>
      <c r="C1137" s="46">
        <v>105</v>
      </c>
      <c r="D1137" s="46">
        <v>2582278.0549000031</v>
      </c>
      <c r="E1137" s="43">
        <v>154936.68329400022</v>
      </c>
      <c r="F1137" s="43" t="s">
        <v>70</v>
      </c>
      <c r="G1137" s="43" t="s">
        <v>71</v>
      </c>
      <c r="H1137" s="43" t="s">
        <v>72</v>
      </c>
    </row>
    <row r="1138" spans="1:8" x14ac:dyDescent="0.25">
      <c r="A1138" s="72" t="s">
        <v>3430</v>
      </c>
      <c r="B1138" s="72" t="s">
        <v>127</v>
      </c>
      <c r="C1138" s="73">
        <v>105</v>
      </c>
      <c r="D1138" s="73">
        <v>2283235.2638560985</v>
      </c>
      <c r="E1138" s="72">
        <v>91329.410554243936</v>
      </c>
      <c r="F1138" s="72" t="s">
        <v>106</v>
      </c>
      <c r="G1138" s="72" t="s">
        <v>71</v>
      </c>
      <c r="H1138" s="72" t="s">
        <v>72</v>
      </c>
    </row>
    <row r="1139" spans="1:8" x14ac:dyDescent="0.25">
      <c r="A1139" s="72" t="s">
        <v>483</v>
      </c>
      <c r="B1139" s="72" t="s">
        <v>102</v>
      </c>
      <c r="C1139" s="73">
        <v>105</v>
      </c>
      <c r="D1139" s="73">
        <v>3243867.0976601737</v>
      </c>
      <c r="E1139" s="72">
        <v>389264.05171922094</v>
      </c>
      <c r="F1139" s="72" t="s">
        <v>70</v>
      </c>
      <c r="G1139" s="72" t="s">
        <v>71</v>
      </c>
      <c r="H1139" s="72" t="s">
        <v>72</v>
      </c>
    </row>
    <row r="1140" spans="1:8" x14ac:dyDescent="0.25">
      <c r="A1140" s="43" t="s">
        <v>3445</v>
      </c>
      <c r="B1140" s="43" t="s">
        <v>176</v>
      </c>
      <c r="C1140" s="46">
        <v>104</v>
      </c>
      <c r="D1140" s="46">
        <v>2262980.7230315311</v>
      </c>
      <c r="E1140" s="43">
        <v>90519.228921261252</v>
      </c>
      <c r="F1140" s="43" t="s">
        <v>106</v>
      </c>
      <c r="G1140" s="43" t="s">
        <v>71</v>
      </c>
      <c r="H1140" s="43" t="s">
        <v>72</v>
      </c>
    </row>
    <row r="1141" spans="1:8" x14ac:dyDescent="0.25">
      <c r="A1141" s="72" t="s">
        <v>381</v>
      </c>
      <c r="B1141" s="72" t="s">
        <v>77</v>
      </c>
      <c r="C1141" s="73">
        <v>104</v>
      </c>
      <c r="D1141" s="73">
        <v>3442243.5222997111</v>
      </c>
      <c r="E1141" s="72">
        <v>481914.09312195954</v>
      </c>
      <c r="F1141" s="72" t="s">
        <v>78</v>
      </c>
      <c r="G1141" s="72" t="s">
        <v>71</v>
      </c>
      <c r="H1141" s="72" t="s">
        <v>72</v>
      </c>
    </row>
    <row r="1142" spans="1:8" x14ac:dyDescent="0.25">
      <c r="A1142" s="43" t="s">
        <v>1926</v>
      </c>
      <c r="B1142" s="43" t="s">
        <v>77</v>
      </c>
      <c r="C1142" s="46">
        <v>104</v>
      </c>
      <c r="D1142" s="46">
        <v>2782223.6657138392</v>
      </c>
      <c r="E1142" s="43">
        <v>194755.65659996873</v>
      </c>
      <c r="F1142" s="43" t="s">
        <v>78</v>
      </c>
      <c r="G1142" s="43" t="s">
        <v>71</v>
      </c>
      <c r="H1142" s="43" t="s">
        <v>72</v>
      </c>
    </row>
    <row r="1143" spans="1:8" x14ac:dyDescent="0.25">
      <c r="A1143" s="43" t="s">
        <v>1712</v>
      </c>
      <c r="B1143" s="43" t="s">
        <v>92</v>
      </c>
      <c r="C1143" s="46">
        <v>104</v>
      </c>
      <c r="D1143" s="46">
        <v>2682357.8158545005</v>
      </c>
      <c r="E1143" s="43">
        <v>214588.62526836005</v>
      </c>
      <c r="F1143" s="43" t="s">
        <v>84</v>
      </c>
      <c r="G1143" s="43" t="s">
        <v>71</v>
      </c>
      <c r="H1143" s="43" t="s">
        <v>72</v>
      </c>
    </row>
    <row r="1144" spans="1:8" x14ac:dyDescent="0.25">
      <c r="A1144" s="72" t="s">
        <v>1713</v>
      </c>
      <c r="B1144" s="72" t="s">
        <v>232</v>
      </c>
      <c r="C1144" s="73">
        <v>104</v>
      </c>
      <c r="D1144" s="73">
        <v>2682357.8158545005</v>
      </c>
      <c r="E1144" s="72">
        <v>214588.62526836005</v>
      </c>
      <c r="F1144" s="72" t="s">
        <v>84</v>
      </c>
      <c r="G1144" s="72" t="s">
        <v>71</v>
      </c>
      <c r="H1144" s="72" t="s">
        <v>72</v>
      </c>
    </row>
    <row r="1145" spans="1:8" x14ac:dyDescent="0.25">
      <c r="A1145" s="72" t="s">
        <v>2962</v>
      </c>
      <c r="B1145" s="72" t="s">
        <v>93</v>
      </c>
      <c r="C1145" s="73">
        <v>104</v>
      </c>
      <c r="D1145" s="73">
        <v>2402834.5661020889</v>
      </c>
      <c r="E1145" s="72">
        <v>120141.72830510445</v>
      </c>
      <c r="F1145" s="72" t="s">
        <v>78</v>
      </c>
      <c r="G1145" s="72" t="s">
        <v>71</v>
      </c>
      <c r="H1145" s="72" t="s">
        <v>72</v>
      </c>
    </row>
    <row r="1146" spans="1:8" x14ac:dyDescent="0.25">
      <c r="A1146" s="43" t="s">
        <v>1221</v>
      </c>
      <c r="B1146" s="43" t="s">
        <v>112</v>
      </c>
      <c r="C1146" s="46">
        <v>104</v>
      </c>
      <c r="D1146" s="46">
        <v>2947577.0071664667</v>
      </c>
      <c r="E1146" s="43">
        <v>265281.93064498197</v>
      </c>
      <c r="F1146" s="43" t="s">
        <v>70</v>
      </c>
      <c r="G1146" s="43" t="s">
        <v>71</v>
      </c>
      <c r="H1146" s="43" t="s">
        <v>72</v>
      </c>
    </row>
    <row r="1147" spans="1:8" x14ac:dyDescent="0.25">
      <c r="A1147" s="43" t="s">
        <v>698</v>
      </c>
      <c r="B1147" s="43" t="s">
        <v>101</v>
      </c>
      <c r="C1147" s="46">
        <v>104</v>
      </c>
      <c r="D1147" s="46">
        <v>3131354.9750116896</v>
      </c>
      <c r="E1147" s="43">
        <v>344449.04725128593</v>
      </c>
      <c r="F1147" s="43" t="s">
        <v>70</v>
      </c>
      <c r="G1147" s="43" t="s">
        <v>71</v>
      </c>
      <c r="H1147" s="43" t="s">
        <v>72</v>
      </c>
    </row>
    <row r="1148" spans="1:8" x14ac:dyDescent="0.25">
      <c r="A1148" s="72" t="s">
        <v>1578</v>
      </c>
      <c r="B1148" s="72" t="s">
        <v>103</v>
      </c>
      <c r="C1148" s="73">
        <v>104</v>
      </c>
      <c r="D1148" s="73">
        <v>2838649.5515189068</v>
      </c>
      <c r="E1148" s="72">
        <v>227091.96412151254</v>
      </c>
      <c r="F1148" s="72" t="s">
        <v>70</v>
      </c>
      <c r="G1148" s="72" t="s">
        <v>71</v>
      </c>
      <c r="H1148" s="72" t="s">
        <v>72</v>
      </c>
    </row>
    <row r="1149" spans="1:8" x14ac:dyDescent="0.25">
      <c r="A1149" s="72" t="s">
        <v>699</v>
      </c>
      <c r="B1149" s="72" t="s">
        <v>93</v>
      </c>
      <c r="C1149" s="73">
        <v>104</v>
      </c>
      <c r="D1149" s="73">
        <v>3131354.9750116896</v>
      </c>
      <c r="E1149" s="72">
        <v>344449.04725128593</v>
      </c>
      <c r="F1149" s="72" t="s">
        <v>70</v>
      </c>
      <c r="G1149" s="72" t="s">
        <v>71</v>
      </c>
      <c r="H1149" s="72" t="s">
        <v>72</v>
      </c>
    </row>
    <row r="1150" spans="1:8" x14ac:dyDescent="0.25">
      <c r="A1150" s="43" t="s">
        <v>1985</v>
      </c>
      <c r="B1150" s="43" t="s">
        <v>105</v>
      </c>
      <c r="C1150" s="46">
        <v>104</v>
      </c>
      <c r="D1150" s="46">
        <v>2711828.4553413321</v>
      </c>
      <c r="E1150" s="43">
        <v>189827.99187389322</v>
      </c>
      <c r="F1150" s="43" t="s">
        <v>70</v>
      </c>
      <c r="G1150" s="43" t="s">
        <v>71</v>
      </c>
      <c r="H1150" s="43" t="s">
        <v>72</v>
      </c>
    </row>
    <row r="1151" spans="1:8" x14ac:dyDescent="0.25">
      <c r="A1151" s="43" t="s">
        <v>3301</v>
      </c>
      <c r="B1151" s="43" t="s">
        <v>77</v>
      </c>
      <c r="C1151" s="46">
        <v>104</v>
      </c>
      <c r="D1151" s="46">
        <v>2485182.5596207678</v>
      </c>
      <c r="E1151" s="43">
        <v>99407.30238483072</v>
      </c>
      <c r="F1151" s="43" t="s">
        <v>87</v>
      </c>
      <c r="G1151" s="43" t="s">
        <v>71</v>
      </c>
      <c r="H1151" s="43" t="s">
        <v>88</v>
      </c>
    </row>
    <row r="1152" spans="1:8" x14ac:dyDescent="0.25">
      <c r="A1152" s="72" t="s">
        <v>2436</v>
      </c>
      <c r="B1152" s="72" t="s">
        <v>97</v>
      </c>
      <c r="C1152" s="73">
        <v>104</v>
      </c>
      <c r="D1152" s="73">
        <v>2556137.8206080473</v>
      </c>
      <c r="E1152" s="72">
        <v>153368.26923648285</v>
      </c>
      <c r="F1152" s="72" t="s">
        <v>70</v>
      </c>
      <c r="G1152" s="72" t="s">
        <v>71</v>
      </c>
      <c r="H1152" s="72" t="s">
        <v>72</v>
      </c>
    </row>
    <row r="1153" spans="1:8" x14ac:dyDescent="0.25">
      <c r="A1153" s="72" t="s">
        <v>1878</v>
      </c>
      <c r="B1153" s="72" t="s">
        <v>112</v>
      </c>
      <c r="C1153" s="73">
        <v>104</v>
      </c>
      <c r="D1153" s="73">
        <v>2498841.2203588514</v>
      </c>
      <c r="E1153" s="72">
        <v>199907.29762870813</v>
      </c>
      <c r="F1153" s="72" t="s">
        <v>106</v>
      </c>
      <c r="G1153" s="72" t="s">
        <v>71</v>
      </c>
      <c r="H1153" s="72" t="s">
        <v>72</v>
      </c>
    </row>
    <row r="1154" spans="1:8" x14ac:dyDescent="0.25">
      <c r="A1154" s="43" t="s">
        <v>878</v>
      </c>
      <c r="B1154" s="43" t="s">
        <v>112</v>
      </c>
      <c r="C1154" s="46">
        <v>104</v>
      </c>
      <c r="D1154" s="46">
        <v>2627457.5241307826</v>
      </c>
      <c r="E1154" s="43">
        <v>315294.9028956939</v>
      </c>
      <c r="F1154" s="43" t="s">
        <v>106</v>
      </c>
      <c r="G1154" s="43" t="s">
        <v>71</v>
      </c>
      <c r="H1154" s="43" t="s">
        <v>72</v>
      </c>
    </row>
    <row r="1155" spans="1:8" x14ac:dyDescent="0.25">
      <c r="A1155" s="43" t="s">
        <v>1071</v>
      </c>
      <c r="B1155" s="43" t="s">
        <v>168</v>
      </c>
      <c r="C1155" s="46">
        <v>104</v>
      </c>
      <c r="D1155" s="46">
        <v>2599843.5102613573</v>
      </c>
      <c r="E1155" s="43">
        <v>285982.78612874931</v>
      </c>
      <c r="F1155" s="43" t="s">
        <v>106</v>
      </c>
      <c r="G1155" s="43" t="s">
        <v>71</v>
      </c>
      <c r="H1155" s="43" t="s">
        <v>72</v>
      </c>
    </row>
    <row r="1156" spans="1:8" x14ac:dyDescent="0.25">
      <c r="A1156" s="72" t="s">
        <v>1222</v>
      </c>
      <c r="B1156" s="72" t="s">
        <v>85</v>
      </c>
      <c r="C1156" s="73">
        <v>104</v>
      </c>
      <c r="D1156" s="73">
        <v>2947577.0071664667</v>
      </c>
      <c r="E1156" s="72">
        <v>265281.93064498197</v>
      </c>
      <c r="F1156" s="72" t="s">
        <v>70</v>
      </c>
      <c r="G1156" s="72" t="s">
        <v>71</v>
      </c>
      <c r="H1156" s="72" t="s">
        <v>72</v>
      </c>
    </row>
    <row r="1157" spans="1:8" x14ac:dyDescent="0.25">
      <c r="A1157" s="72" t="s">
        <v>420</v>
      </c>
      <c r="B1157" s="72" t="s">
        <v>232</v>
      </c>
      <c r="C1157" s="73">
        <v>104</v>
      </c>
      <c r="D1157" s="73">
        <v>3296086.2841152851</v>
      </c>
      <c r="E1157" s="72">
        <v>428491.21693498711</v>
      </c>
      <c r="F1157" s="72" t="s">
        <v>84</v>
      </c>
      <c r="G1157" s="72" t="s">
        <v>71</v>
      </c>
      <c r="H1157" s="72" t="s">
        <v>72</v>
      </c>
    </row>
    <row r="1158" spans="1:8" x14ac:dyDescent="0.25">
      <c r="A1158" s="43" t="s">
        <v>1579</v>
      </c>
      <c r="B1158" s="43" t="s">
        <v>97</v>
      </c>
      <c r="C1158" s="46">
        <v>104</v>
      </c>
      <c r="D1158" s="46">
        <v>2838649.5515189068</v>
      </c>
      <c r="E1158" s="43">
        <v>227091.96412151254</v>
      </c>
      <c r="F1158" s="43" t="s">
        <v>70</v>
      </c>
      <c r="G1158" s="43" t="s">
        <v>71</v>
      </c>
      <c r="H1158" s="43" t="s">
        <v>72</v>
      </c>
    </row>
    <row r="1159" spans="1:8" x14ac:dyDescent="0.25">
      <c r="A1159" s="43" t="s">
        <v>1223</v>
      </c>
      <c r="B1159" s="43" t="s">
        <v>102</v>
      </c>
      <c r="C1159" s="46">
        <v>104</v>
      </c>
      <c r="D1159" s="46">
        <v>2947577.0071664667</v>
      </c>
      <c r="E1159" s="43">
        <v>265281.93064498197</v>
      </c>
      <c r="F1159" s="43" t="s">
        <v>70</v>
      </c>
      <c r="G1159" s="43" t="s">
        <v>71</v>
      </c>
      <c r="H1159" s="43" t="s">
        <v>72</v>
      </c>
    </row>
    <row r="1160" spans="1:8" x14ac:dyDescent="0.25">
      <c r="A1160" s="72" t="s">
        <v>1224</v>
      </c>
      <c r="B1160" s="72" t="s">
        <v>1225</v>
      </c>
      <c r="C1160" s="73">
        <v>104</v>
      </c>
      <c r="D1160" s="73">
        <v>2947577.0071664667</v>
      </c>
      <c r="E1160" s="72">
        <v>265281.93064498197</v>
      </c>
      <c r="F1160" s="72" t="s">
        <v>70</v>
      </c>
      <c r="G1160" s="72" t="s">
        <v>71</v>
      </c>
      <c r="H1160" s="72" t="s">
        <v>72</v>
      </c>
    </row>
    <row r="1161" spans="1:8" x14ac:dyDescent="0.25">
      <c r="A1161" s="43" t="s">
        <v>2456</v>
      </c>
      <c r="B1161" s="43" t="s">
        <v>119</v>
      </c>
      <c r="C1161" s="46">
        <v>103</v>
      </c>
      <c r="D1161" s="46">
        <v>2530028.7549638622</v>
      </c>
      <c r="E1161" s="43">
        <v>151801.72529783176</v>
      </c>
      <c r="F1161" s="43" t="s">
        <v>70</v>
      </c>
      <c r="G1161" s="43" t="s">
        <v>71</v>
      </c>
      <c r="H1161" s="43" t="s">
        <v>72</v>
      </c>
    </row>
    <row r="1162" spans="1:8" x14ac:dyDescent="0.25">
      <c r="A1162" s="43" t="s">
        <v>1599</v>
      </c>
      <c r="B1162" s="43" t="s">
        <v>97</v>
      </c>
      <c r="C1162" s="46">
        <v>103</v>
      </c>
      <c r="D1162" s="46">
        <v>2809824.0269236565</v>
      </c>
      <c r="E1162" s="43">
        <v>224785.92215389252</v>
      </c>
      <c r="F1162" s="43" t="s">
        <v>70</v>
      </c>
      <c r="G1162" s="43" t="s">
        <v>71</v>
      </c>
      <c r="H1162" s="43" t="s">
        <v>72</v>
      </c>
    </row>
    <row r="1163" spans="1:8" x14ac:dyDescent="0.25">
      <c r="A1163" s="72" t="s">
        <v>2005</v>
      </c>
      <c r="B1163" s="72" t="s">
        <v>97</v>
      </c>
      <c r="C1163" s="73">
        <v>103</v>
      </c>
      <c r="D1163" s="73">
        <v>2684222.364363174</v>
      </c>
      <c r="E1163" s="72">
        <v>187895.56550542216</v>
      </c>
      <c r="F1163" s="72" t="s">
        <v>70</v>
      </c>
      <c r="G1163" s="72" t="s">
        <v>71</v>
      </c>
      <c r="H1163" s="72" t="s">
        <v>72</v>
      </c>
    </row>
    <row r="1164" spans="1:8" x14ac:dyDescent="0.25">
      <c r="A1164" s="72" t="s">
        <v>1600</v>
      </c>
      <c r="B1164" s="72" t="s">
        <v>323</v>
      </c>
      <c r="C1164" s="73">
        <v>103</v>
      </c>
      <c r="D1164" s="73">
        <v>2809824.0269236565</v>
      </c>
      <c r="E1164" s="72">
        <v>224785.92215389252</v>
      </c>
      <c r="F1164" s="72" t="s">
        <v>70</v>
      </c>
      <c r="G1164" s="72" t="s">
        <v>71</v>
      </c>
      <c r="H1164" s="72" t="s">
        <v>72</v>
      </c>
    </row>
    <row r="1165" spans="1:8" x14ac:dyDescent="0.25">
      <c r="A1165" s="72" t="s">
        <v>955</v>
      </c>
      <c r="B1165" s="72" t="s">
        <v>265</v>
      </c>
      <c r="C1165" s="73">
        <v>103</v>
      </c>
      <c r="D1165" s="73">
        <v>3013283.7143166736</v>
      </c>
      <c r="E1165" s="72">
        <v>301328.37143166736</v>
      </c>
      <c r="F1165" s="72" t="s">
        <v>70</v>
      </c>
      <c r="G1165" s="72" t="s">
        <v>71</v>
      </c>
      <c r="H1165" s="72" t="s">
        <v>72</v>
      </c>
    </row>
    <row r="1166" spans="1:8" x14ac:dyDescent="0.25">
      <c r="A1166" s="43" t="s">
        <v>2719</v>
      </c>
      <c r="B1166" s="43" t="s">
        <v>232</v>
      </c>
      <c r="C1166" s="46">
        <v>103</v>
      </c>
      <c r="D1166" s="46">
        <v>2248857.8330854741</v>
      </c>
      <c r="E1166" s="43">
        <v>134931.46998512844</v>
      </c>
      <c r="F1166" s="43" t="s">
        <v>84</v>
      </c>
      <c r="G1166" s="43" t="s">
        <v>71</v>
      </c>
      <c r="H1166" s="43" t="s">
        <v>72</v>
      </c>
    </row>
    <row r="1167" spans="1:8" x14ac:dyDescent="0.25">
      <c r="A1167" s="72" t="s">
        <v>3460</v>
      </c>
      <c r="B1167" s="72" t="s">
        <v>257</v>
      </c>
      <c r="C1167" s="73">
        <v>103</v>
      </c>
      <c r="D1167" s="73">
        <v>2242699.2081078799</v>
      </c>
      <c r="E1167" s="72">
        <v>89707.968324315196</v>
      </c>
      <c r="F1167" s="72" t="s">
        <v>106</v>
      </c>
      <c r="G1167" s="72" t="s">
        <v>71</v>
      </c>
      <c r="H1167" s="72" t="s">
        <v>72</v>
      </c>
    </row>
    <row r="1168" spans="1:8" x14ac:dyDescent="0.25">
      <c r="A1168" s="43" t="s">
        <v>956</v>
      </c>
      <c r="B1168" s="43" t="s">
        <v>957</v>
      </c>
      <c r="C1168" s="46">
        <v>103</v>
      </c>
      <c r="D1168" s="46">
        <v>3013283.7143166736</v>
      </c>
      <c r="E1168" s="43">
        <v>301328.37143166736</v>
      </c>
      <c r="F1168" s="43" t="s">
        <v>70</v>
      </c>
      <c r="G1168" s="43" t="s">
        <v>71</v>
      </c>
      <c r="H1168" s="43" t="s">
        <v>72</v>
      </c>
    </row>
    <row r="1169" spans="1:8" x14ac:dyDescent="0.25">
      <c r="A1169" s="43" t="s">
        <v>906</v>
      </c>
      <c r="B1169" s="43" t="s">
        <v>383</v>
      </c>
      <c r="C1169" s="46">
        <v>103</v>
      </c>
      <c r="D1169" s="46">
        <v>3094834.8141151755</v>
      </c>
      <c r="E1169" s="43">
        <v>309483.48141151754</v>
      </c>
      <c r="F1169" s="43" t="s">
        <v>78</v>
      </c>
      <c r="G1169" s="43" t="s">
        <v>71</v>
      </c>
      <c r="H1169" s="43" t="s">
        <v>72</v>
      </c>
    </row>
    <row r="1170" spans="1:8" x14ac:dyDescent="0.25">
      <c r="A1170" s="43" t="s">
        <v>1238</v>
      </c>
      <c r="B1170" s="43" t="s">
        <v>1054</v>
      </c>
      <c r="C1170" s="46">
        <v>103</v>
      </c>
      <c r="D1170" s="46">
        <v>2917704.1031899895</v>
      </c>
      <c r="E1170" s="43">
        <v>262593.36928709905</v>
      </c>
      <c r="F1170" s="43" t="s">
        <v>70</v>
      </c>
      <c r="G1170" s="43" t="s">
        <v>71</v>
      </c>
      <c r="H1170" s="43" t="s">
        <v>72</v>
      </c>
    </row>
    <row r="1171" spans="1:8" x14ac:dyDescent="0.25">
      <c r="A1171" s="72" t="s">
        <v>2457</v>
      </c>
      <c r="B1171" s="72" t="s">
        <v>97</v>
      </c>
      <c r="C1171" s="73">
        <v>103</v>
      </c>
      <c r="D1171" s="73">
        <v>2530028.7549638622</v>
      </c>
      <c r="E1171" s="72">
        <v>151801.72529783176</v>
      </c>
      <c r="F1171" s="72" t="s">
        <v>70</v>
      </c>
      <c r="G1171" s="72" t="s">
        <v>71</v>
      </c>
      <c r="H1171" s="72" t="s">
        <v>72</v>
      </c>
    </row>
    <row r="1172" spans="1:8" x14ac:dyDescent="0.25">
      <c r="A1172" s="72" t="s">
        <v>677</v>
      </c>
      <c r="B1172" s="72" t="s">
        <v>77</v>
      </c>
      <c r="C1172" s="73">
        <v>103</v>
      </c>
      <c r="D1172" s="73">
        <v>3178424.8808493977</v>
      </c>
      <c r="E1172" s="72">
        <v>349626.73689343379</v>
      </c>
      <c r="F1172" s="72" t="s">
        <v>87</v>
      </c>
      <c r="G1172" s="72" t="s">
        <v>71</v>
      </c>
      <c r="H1172" s="72" t="s">
        <v>88</v>
      </c>
    </row>
    <row r="1173" spans="1:8" x14ac:dyDescent="0.25">
      <c r="A1173" s="43" t="s">
        <v>2006</v>
      </c>
      <c r="B1173" s="43" t="s">
        <v>85</v>
      </c>
      <c r="C1173" s="46">
        <v>103</v>
      </c>
      <c r="D1173" s="46">
        <v>2684222.364363174</v>
      </c>
      <c r="E1173" s="43">
        <v>187895.56550542216</v>
      </c>
      <c r="F1173" s="43" t="s">
        <v>70</v>
      </c>
      <c r="G1173" s="43" t="s">
        <v>71</v>
      </c>
      <c r="H1173" s="43" t="s">
        <v>72</v>
      </c>
    </row>
    <row r="1174" spans="1:8" x14ac:dyDescent="0.25">
      <c r="A1174" s="72" t="s">
        <v>1089</v>
      </c>
      <c r="B1174" s="72" t="s">
        <v>127</v>
      </c>
      <c r="C1174" s="73">
        <v>103</v>
      </c>
      <c r="D1174" s="73">
        <v>2576322.9300758815</v>
      </c>
      <c r="E1174" s="72">
        <v>283395.52230834699</v>
      </c>
      <c r="F1174" s="72" t="s">
        <v>106</v>
      </c>
      <c r="G1174" s="72" t="s">
        <v>71</v>
      </c>
      <c r="H1174" s="72" t="s">
        <v>72</v>
      </c>
    </row>
    <row r="1175" spans="1:8" x14ac:dyDescent="0.25">
      <c r="A1175" s="43" t="s">
        <v>1201</v>
      </c>
      <c r="B1175" s="43" t="s">
        <v>83</v>
      </c>
      <c r="C1175" s="46">
        <v>103</v>
      </c>
      <c r="D1175" s="46">
        <v>2996775.3146490147</v>
      </c>
      <c r="E1175" s="43">
        <v>269709.77831841132</v>
      </c>
      <c r="F1175" s="43" t="s">
        <v>78</v>
      </c>
      <c r="G1175" s="43" t="s">
        <v>71</v>
      </c>
      <c r="H1175" s="43" t="s">
        <v>72</v>
      </c>
    </row>
    <row r="1176" spans="1:8" x14ac:dyDescent="0.25">
      <c r="A1176" s="43" t="s">
        <v>1271</v>
      </c>
      <c r="B1176" s="43" t="s">
        <v>119</v>
      </c>
      <c r="C1176" s="46">
        <v>102</v>
      </c>
      <c r="D1176" s="46">
        <v>2887862.3253061823</v>
      </c>
      <c r="E1176" s="43">
        <v>259907.60927755639</v>
      </c>
      <c r="F1176" s="43" t="s">
        <v>70</v>
      </c>
      <c r="G1176" s="43" t="s">
        <v>71</v>
      </c>
      <c r="H1176" s="43" t="s">
        <v>72</v>
      </c>
    </row>
    <row r="1177" spans="1:8" x14ac:dyDescent="0.25">
      <c r="A1177" s="72" t="s">
        <v>976</v>
      </c>
      <c r="B1177" s="72" t="s">
        <v>211</v>
      </c>
      <c r="C1177" s="73">
        <v>102</v>
      </c>
      <c r="D1177" s="73">
        <v>2982513.9790432868</v>
      </c>
      <c r="E1177" s="72">
        <v>298251.39790432871</v>
      </c>
      <c r="F1177" s="72" t="s">
        <v>70</v>
      </c>
      <c r="G1177" s="72" t="s">
        <v>71</v>
      </c>
      <c r="H1177" s="72" t="s">
        <v>72</v>
      </c>
    </row>
    <row r="1178" spans="1:8" x14ac:dyDescent="0.25">
      <c r="A1178" s="72" t="s">
        <v>2473</v>
      </c>
      <c r="B1178" s="72" t="s">
        <v>85</v>
      </c>
      <c r="C1178" s="73">
        <v>102</v>
      </c>
      <c r="D1178" s="73">
        <v>2503950.8154123477</v>
      </c>
      <c r="E1178" s="72">
        <v>150237.0489247409</v>
      </c>
      <c r="F1178" s="72" t="s">
        <v>70</v>
      </c>
      <c r="G1178" s="72" t="s">
        <v>71</v>
      </c>
      <c r="H1178" s="72" t="s">
        <v>72</v>
      </c>
    </row>
    <row r="1179" spans="1:8" x14ac:dyDescent="0.25">
      <c r="A1179" s="72" t="s">
        <v>2422</v>
      </c>
      <c r="B1179" s="72" t="s">
        <v>383</v>
      </c>
      <c r="C1179" s="73">
        <v>102</v>
      </c>
      <c r="D1179" s="73">
        <v>2575556.891281601</v>
      </c>
      <c r="E1179" s="72">
        <v>154533.41347689609</v>
      </c>
      <c r="F1179" s="72" t="s">
        <v>78</v>
      </c>
      <c r="G1179" s="72" t="s">
        <v>71</v>
      </c>
      <c r="H1179" s="72" t="s">
        <v>72</v>
      </c>
    </row>
    <row r="1180" spans="1:8" x14ac:dyDescent="0.25">
      <c r="A1180" s="43" t="s">
        <v>3033</v>
      </c>
      <c r="B1180" s="43" t="s">
        <v>75</v>
      </c>
      <c r="C1180" s="46">
        <v>102</v>
      </c>
      <c r="D1180" s="46">
        <v>2301910.2012428711</v>
      </c>
      <c r="E1180" s="43">
        <v>115095.51006214356</v>
      </c>
      <c r="F1180" s="43" t="s">
        <v>106</v>
      </c>
      <c r="G1180" s="43" t="s">
        <v>71</v>
      </c>
      <c r="H1180" s="43" t="s">
        <v>72</v>
      </c>
    </row>
    <row r="1181" spans="1:8" x14ac:dyDescent="0.25">
      <c r="A1181" s="72" t="s">
        <v>2779</v>
      </c>
      <c r="B1181" s="72" t="s">
        <v>176</v>
      </c>
      <c r="C1181" s="73">
        <v>102</v>
      </c>
      <c r="D1181" s="73">
        <v>2629149.792647955</v>
      </c>
      <c r="E1181" s="72">
        <v>131457.48963239774</v>
      </c>
      <c r="F1181" s="72" t="s">
        <v>87</v>
      </c>
      <c r="G1181" s="72" t="s">
        <v>71</v>
      </c>
      <c r="H1181" s="72" t="s">
        <v>88</v>
      </c>
    </row>
    <row r="1182" spans="1:8" x14ac:dyDescent="0.25">
      <c r="A1182" s="43" t="s">
        <v>904</v>
      </c>
      <c r="B1182" s="43" t="s">
        <v>85</v>
      </c>
      <c r="C1182" s="46">
        <v>102</v>
      </c>
      <c r="D1182" s="46">
        <v>2579858.3036128571</v>
      </c>
      <c r="E1182" s="43">
        <v>309582.99643354287</v>
      </c>
      <c r="F1182" s="43" t="s">
        <v>106</v>
      </c>
      <c r="G1182" s="43" t="s">
        <v>71</v>
      </c>
      <c r="H1182" s="43" t="s">
        <v>72</v>
      </c>
    </row>
    <row r="1183" spans="1:8" x14ac:dyDescent="0.25">
      <c r="A1183" s="43" t="s">
        <v>1627</v>
      </c>
      <c r="B1183" s="43" t="s">
        <v>211</v>
      </c>
      <c r="C1183" s="46">
        <v>102</v>
      </c>
      <c r="D1183" s="46">
        <v>2781029.6284210756</v>
      </c>
      <c r="E1183" s="43">
        <v>222482.37027368604</v>
      </c>
      <c r="F1183" s="43" t="s">
        <v>70</v>
      </c>
      <c r="G1183" s="43" t="s">
        <v>71</v>
      </c>
      <c r="H1183" s="43" t="s">
        <v>72</v>
      </c>
    </row>
    <row r="1184" spans="1:8" x14ac:dyDescent="0.25">
      <c r="A1184" s="43" t="s">
        <v>533</v>
      </c>
      <c r="B1184" s="43" t="s">
        <v>97</v>
      </c>
      <c r="C1184" s="46">
        <v>102</v>
      </c>
      <c r="D1184" s="46">
        <v>3146637.3140936564</v>
      </c>
      <c r="E1184" s="43">
        <v>377596.47769123886</v>
      </c>
      <c r="F1184" s="43" t="s">
        <v>70</v>
      </c>
      <c r="G1184" s="43" t="s">
        <v>71</v>
      </c>
      <c r="H1184" s="43" t="s">
        <v>72</v>
      </c>
    </row>
    <row r="1185" spans="1:8" x14ac:dyDescent="0.25">
      <c r="A1185" s="43" t="s">
        <v>502</v>
      </c>
      <c r="B1185" s="43" t="s">
        <v>243</v>
      </c>
      <c r="C1185" s="46">
        <v>102</v>
      </c>
      <c r="D1185" s="46">
        <v>3203784.0084990608</v>
      </c>
      <c r="E1185" s="43">
        <v>384454.08101988729</v>
      </c>
      <c r="F1185" s="43" t="s">
        <v>87</v>
      </c>
      <c r="G1185" s="43" t="s">
        <v>71</v>
      </c>
      <c r="H1185" s="43" t="s">
        <v>88</v>
      </c>
    </row>
    <row r="1186" spans="1:8" x14ac:dyDescent="0.25">
      <c r="A1186" s="43" t="s">
        <v>688</v>
      </c>
      <c r="B1186" s="43" t="s">
        <v>100</v>
      </c>
      <c r="C1186" s="46">
        <v>102</v>
      </c>
      <c r="D1186" s="46">
        <v>3154349.6308534397</v>
      </c>
      <c r="E1186" s="43">
        <v>346978.45939387841</v>
      </c>
      <c r="F1186" s="43" t="s">
        <v>78</v>
      </c>
      <c r="G1186" s="43" t="s">
        <v>71</v>
      </c>
      <c r="H1186" s="43" t="s">
        <v>72</v>
      </c>
    </row>
    <row r="1187" spans="1:8" x14ac:dyDescent="0.25">
      <c r="A1187" s="43" t="s">
        <v>2022</v>
      </c>
      <c r="B1187" s="43" t="s">
        <v>102</v>
      </c>
      <c r="C1187" s="46">
        <v>102</v>
      </c>
      <c r="D1187" s="46">
        <v>2656647.3994776849</v>
      </c>
      <c r="E1187" s="43">
        <v>185965.31796343793</v>
      </c>
      <c r="F1187" s="43" t="s">
        <v>70</v>
      </c>
      <c r="G1187" s="43" t="s">
        <v>71</v>
      </c>
      <c r="H1187" s="43" t="s">
        <v>72</v>
      </c>
    </row>
    <row r="1188" spans="1:8" x14ac:dyDescent="0.25">
      <c r="A1188" s="43" t="s">
        <v>977</v>
      </c>
      <c r="B1188" s="43" t="s">
        <v>77</v>
      </c>
      <c r="C1188" s="46">
        <v>102</v>
      </c>
      <c r="D1188" s="46">
        <v>2982513.9790432868</v>
      </c>
      <c r="E1188" s="43">
        <v>298251.39790432871</v>
      </c>
      <c r="F1188" s="43" t="s">
        <v>70</v>
      </c>
      <c r="G1188" s="43" t="s">
        <v>71</v>
      </c>
      <c r="H1188" s="43" t="s">
        <v>72</v>
      </c>
    </row>
    <row r="1189" spans="1:8" x14ac:dyDescent="0.25">
      <c r="A1189" s="72" t="s">
        <v>1272</v>
      </c>
      <c r="B1189" s="72" t="s">
        <v>81</v>
      </c>
      <c r="C1189" s="73">
        <v>102</v>
      </c>
      <c r="D1189" s="73">
        <v>2887862.3253061823</v>
      </c>
      <c r="E1189" s="72">
        <v>259907.60927755639</v>
      </c>
      <c r="F1189" s="72" t="s">
        <v>70</v>
      </c>
      <c r="G1189" s="72" t="s">
        <v>71</v>
      </c>
      <c r="H1189" s="72" t="s">
        <v>72</v>
      </c>
    </row>
    <row r="1190" spans="1:8" x14ac:dyDescent="0.25">
      <c r="A1190" s="43" t="s">
        <v>1273</v>
      </c>
      <c r="B1190" s="43" t="s">
        <v>139</v>
      </c>
      <c r="C1190" s="46">
        <v>102</v>
      </c>
      <c r="D1190" s="46">
        <v>2887862.3253061823</v>
      </c>
      <c r="E1190" s="43">
        <v>259907.60927755639</v>
      </c>
      <c r="F1190" s="43" t="s">
        <v>70</v>
      </c>
      <c r="G1190" s="43" t="s">
        <v>71</v>
      </c>
      <c r="H1190" s="43" t="s">
        <v>72</v>
      </c>
    </row>
    <row r="1191" spans="1:8" x14ac:dyDescent="0.25">
      <c r="A1191" s="72" t="s">
        <v>978</v>
      </c>
      <c r="B1191" s="72" t="s">
        <v>73</v>
      </c>
      <c r="C1191" s="73">
        <v>102</v>
      </c>
      <c r="D1191" s="73">
        <v>2982513.9790432868</v>
      </c>
      <c r="E1191" s="72">
        <v>298251.39790432871</v>
      </c>
      <c r="F1191" s="72" t="s">
        <v>70</v>
      </c>
      <c r="G1191" s="72" t="s">
        <v>71</v>
      </c>
      <c r="H1191" s="72" t="s">
        <v>72</v>
      </c>
    </row>
    <row r="1192" spans="1:8" x14ac:dyDescent="0.25">
      <c r="A1192" s="43" t="s">
        <v>692</v>
      </c>
      <c r="B1192" s="43" t="s">
        <v>73</v>
      </c>
      <c r="C1192" s="46">
        <v>102</v>
      </c>
      <c r="D1192" s="46">
        <v>3148847.9426222271</v>
      </c>
      <c r="E1192" s="43">
        <v>346373.27368844504</v>
      </c>
      <c r="F1192" s="43" t="s">
        <v>87</v>
      </c>
      <c r="G1192" s="43" t="s">
        <v>71</v>
      </c>
      <c r="H1192" s="43" t="s">
        <v>88</v>
      </c>
    </row>
    <row r="1193" spans="1:8" x14ac:dyDescent="0.25">
      <c r="A1193" s="72" t="s">
        <v>729</v>
      </c>
      <c r="B1193" s="72" t="s">
        <v>323</v>
      </c>
      <c r="C1193" s="73">
        <v>102</v>
      </c>
      <c r="D1193" s="73">
        <v>3068106.1014620736</v>
      </c>
      <c r="E1193" s="72">
        <v>337491.67116082815</v>
      </c>
      <c r="F1193" s="72" t="s">
        <v>70</v>
      </c>
      <c r="G1193" s="72" t="s">
        <v>71</v>
      </c>
      <c r="H1193" s="72" t="s">
        <v>72</v>
      </c>
    </row>
    <row r="1194" spans="1:8" x14ac:dyDescent="0.25">
      <c r="A1194" s="43" t="s">
        <v>2474</v>
      </c>
      <c r="B1194" s="43" t="s">
        <v>323</v>
      </c>
      <c r="C1194" s="46">
        <v>102</v>
      </c>
      <c r="D1194" s="46">
        <v>2503950.8154123477</v>
      </c>
      <c r="E1194" s="43">
        <v>150237.0489247409</v>
      </c>
      <c r="F1194" s="43" t="s">
        <v>70</v>
      </c>
      <c r="G1194" s="43" t="s">
        <v>71</v>
      </c>
      <c r="H1194" s="43" t="s">
        <v>72</v>
      </c>
    </row>
    <row r="1195" spans="1:8" x14ac:dyDescent="0.25">
      <c r="A1195" s="72" t="s">
        <v>689</v>
      </c>
      <c r="B1195" s="72" t="s">
        <v>115</v>
      </c>
      <c r="C1195" s="73">
        <v>102</v>
      </c>
      <c r="D1195" s="73">
        <v>3154349.6308534397</v>
      </c>
      <c r="E1195" s="72">
        <v>346978.45939387841</v>
      </c>
      <c r="F1195" s="72" t="s">
        <v>78</v>
      </c>
      <c r="G1195" s="72" t="s">
        <v>71</v>
      </c>
      <c r="H1195" s="72" t="s">
        <v>72</v>
      </c>
    </row>
    <row r="1196" spans="1:8" x14ac:dyDescent="0.25">
      <c r="A1196" s="72" t="s">
        <v>1628</v>
      </c>
      <c r="B1196" s="72" t="s">
        <v>74</v>
      </c>
      <c r="C1196" s="73">
        <v>102</v>
      </c>
      <c r="D1196" s="73">
        <v>2781029.6284210756</v>
      </c>
      <c r="E1196" s="72">
        <v>222482.37027368604</v>
      </c>
      <c r="F1196" s="72" t="s">
        <v>70</v>
      </c>
      <c r="G1196" s="72" t="s">
        <v>71</v>
      </c>
      <c r="H1196" s="72" t="s">
        <v>72</v>
      </c>
    </row>
    <row r="1197" spans="1:8" x14ac:dyDescent="0.25">
      <c r="A1197" s="72" t="s">
        <v>1967</v>
      </c>
      <c r="B1197" s="72" t="s">
        <v>77</v>
      </c>
      <c r="C1197" s="73">
        <v>102</v>
      </c>
      <c r="D1197" s="73">
        <v>2732215.3085646895</v>
      </c>
      <c r="E1197" s="72">
        <v>191255.07159952825</v>
      </c>
      <c r="F1197" s="72" t="s">
        <v>78</v>
      </c>
      <c r="G1197" s="72" t="s">
        <v>71</v>
      </c>
      <c r="H1197" s="72" t="s">
        <v>72</v>
      </c>
    </row>
    <row r="1198" spans="1:8" x14ac:dyDescent="0.25">
      <c r="A1198" s="43" t="s">
        <v>364</v>
      </c>
      <c r="B1198" s="43" t="s">
        <v>73</v>
      </c>
      <c r="C1198" s="46">
        <v>102</v>
      </c>
      <c r="D1198" s="46">
        <v>3412303.5175507399</v>
      </c>
      <c r="E1198" s="43">
        <v>511845.52763261099</v>
      </c>
      <c r="F1198" s="43" t="s">
        <v>84</v>
      </c>
      <c r="G1198" s="43" t="s">
        <v>71</v>
      </c>
      <c r="H1198" s="43" t="s">
        <v>72</v>
      </c>
    </row>
    <row r="1199" spans="1:8" x14ac:dyDescent="0.25">
      <c r="A1199" s="72" t="s">
        <v>1274</v>
      </c>
      <c r="B1199" s="72" t="s">
        <v>269</v>
      </c>
      <c r="C1199" s="73">
        <v>102</v>
      </c>
      <c r="D1199" s="73">
        <v>2887862.3253061823</v>
      </c>
      <c r="E1199" s="72">
        <v>259907.60927755639</v>
      </c>
      <c r="F1199" s="72" t="s">
        <v>70</v>
      </c>
      <c r="G1199" s="72" t="s">
        <v>71</v>
      </c>
      <c r="H1199" s="72" t="s">
        <v>72</v>
      </c>
    </row>
    <row r="1200" spans="1:8" x14ac:dyDescent="0.25">
      <c r="A1200" s="43" t="s">
        <v>1175</v>
      </c>
      <c r="B1200" s="43" t="s">
        <v>202</v>
      </c>
      <c r="C1200" s="46">
        <v>102</v>
      </c>
      <c r="D1200" s="46">
        <v>3022552.9577934719</v>
      </c>
      <c r="E1200" s="43">
        <v>272029.76620141248</v>
      </c>
      <c r="F1200" s="43" t="s">
        <v>87</v>
      </c>
      <c r="G1200" s="43" t="s">
        <v>71</v>
      </c>
      <c r="H1200" s="43" t="s">
        <v>88</v>
      </c>
    </row>
    <row r="1201" spans="1:8" x14ac:dyDescent="0.25">
      <c r="A1201" s="72" t="s">
        <v>2606</v>
      </c>
      <c r="B1201" s="72" t="s">
        <v>77</v>
      </c>
      <c r="C1201" s="73">
        <v>102</v>
      </c>
      <c r="D1201" s="73">
        <v>2362371.4375972999</v>
      </c>
      <c r="E1201" s="72">
        <v>141742.28625583803</v>
      </c>
      <c r="F1201" s="72" t="s">
        <v>106</v>
      </c>
      <c r="G1201" s="72" t="s">
        <v>71</v>
      </c>
      <c r="H1201" s="72" t="s">
        <v>72</v>
      </c>
    </row>
    <row r="1202" spans="1:8" x14ac:dyDescent="0.25">
      <c r="A1202" s="72" t="s">
        <v>905</v>
      </c>
      <c r="B1202" s="72" t="s">
        <v>127</v>
      </c>
      <c r="C1202" s="73">
        <v>102</v>
      </c>
      <c r="D1202" s="73">
        <v>2579858.3036128571</v>
      </c>
      <c r="E1202" s="72">
        <v>309582.99643354287</v>
      </c>
      <c r="F1202" s="72" t="s">
        <v>106</v>
      </c>
      <c r="G1202" s="72" t="s">
        <v>71</v>
      </c>
      <c r="H1202" s="72" t="s">
        <v>72</v>
      </c>
    </row>
    <row r="1203" spans="1:8" x14ac:dyDescent="0.25">
      <c r="A1203" s="72" t="s">
        <v>3330</v>
      </c>
      <c r="B1203" s="72" t="s">
        <v>93</v>
      </c>
      <c r="C1203" s="73">
        <v>102</v>
      </c>
      <c r="D1203" s="73">
        <v>2439952.6859193696</v>
      </c>
      <c r="E1203" s="72">
        <v>97598.107436774779</v>
      </c>
      <c r="F1203" s="72" t="s">
        <v>87</v>
      </c>
      <c r="G1203" s="72" t="s">
        <v>71</v>
      </c>
      <c r="H1203" s="72" t="s">
        <v>88</v>
      </c>
    </row>
    <row r="1204" spans="1:8" x14ac:dyDescent="0.25">
      <c r="A1204" s="43" t="s">
        <v>979</v>
      </c>
      <c r="B1204" s="43" t="s">
        <v>85</v>
      </c>
      <c r="C1204" s="46">
        <v>102</v>
      </c>
      <c r="D1204" s="46">
        <v>2982513.9790432868</v>
      </c>
      <c r="E1204" s="43">
        <v>298251.39790432871</v>
      </c>
      <c r="F1204" s="43" t="s">
        <v>70</v>
      </c>
      <c r="G1204" s="43" t="s">
        <v>71</v>
      </c>
      <c r="H1204" s="43" t="s">
        <v>72</v>
      </c>
    </row>
    <row r="1205" spans="1:8" x14ac:dyDescent="0.25">
      <c r="A1205" s="43" t="s">
        <v>2607</v>
      </c>
      <c r="B1205" s="43" t="s">
        <v>202</v>
      </c>
      <c r="C1205" s="46">
        <v>102</v>
      </c>
      <c r="D1205" s="46">
        <v>2362371.4375972999</v>
      </c>
      <c r="E1205" s="43">
        <v>141742.28625583803</v>
      </c>
      <c r="F1205" s="43" t="s">
        <v>106</v>
      </c>
      <c r="G1205" s="43" t="s">
        <v>71</v>
      </c>
      <c r="H1205" s="43" t="s">
        <v>72</v>
      </c>
    </row>
    <row r="1206" spans="1:8" x14ac:dyDescent="0.25">
      <c r="A1206" s="43" t="s">
        <v>1651</v>
      </c>
      <c r="B1206" s="43" t="s">
        <v>73</v>
      </c>
      <c r="C1206" s="46">
        <v>101</v>
      </c>
      <c r="D1206" s="46">
        <v>2752266.3135081064</v>
      </c>
      <c r="E1206" s="43">
        <v>220181.30508064851</v>
      </c>
      <c r="F1206" s="43" t="s">
        <v>70</v>
      </c>
      <c r="G1206" s="43" t="s">
        <v>71</v>
      </c>
      <c r="H1206" s="43" t="s">
        <v>72</v>
      </c>
    </row>
    <row r="1207" spans="1:8" x14ac:dyDescent="0.25">
      <c r="A1207" s="72" t="s">
        <v>1652</v>
      </c>
      <c r="B1207" s="72" t="s">
        <v>79</v>
      </c>
      <c r="C1207" s="73">
        <v>101</v>
      </c>
      <c r="D1207" s="73">
        <v>2752266.3135081064</v>
      </c>
      <c r="E1207" s="72">
        <v>220181.30508064851</v>
      </c>
      <c r="F1207" s="72" t="s">
        <v>70</v>
      </c>
      <c r="G1207" s="72" t="s">
        <v>71</v>
      </c>
      <c r="H1207" s="72" t="s">
        <v>72</v>
      </c>
    </row>
    <row r="1208" spans="1:8" x14ac:dyDescent="0.25">
      <c r="A1208" s="72" t="s">
        <v>3048</v>
      </c>
      <c r="B1208" s="72" t="s">
        <v>176</v>
      </c>
      <c r="C1208" s="73">
        <v>101</v>
      </c>
      <c r="D1208" s="73">
        <v>2280794.9928589864</v>
      </c>
      <c r="E1208" s="72">
        <v>114039.74964294932</v>
      </c>
      <c r="F1208" s="72" t="s">
        <v>106</v>
      </c>
      <c r="G1208" s="72" t="s">
        <v>71</v>
      </c>
      <c r="H1208" s="72" t="s">
        <v>72</v>
      </c>
    </row>
    <row r="1209" spans="1:8" x14ac:dyDescent="0.25">
      <c r="A1209" s="43" t="s">
        <v>3053</v>
      </c>
      <c r="B1209" s="43" t="s">
        <v>211</v>
      </c>
      <c r="C1209" s="46">
        <v>101</v>
      </c>
      <c r="D1209" s="46">
        <v>2269976.176814449</v>
      </c>
      <c r="E1209" s="43">
        <v>113498.80884072246</v>
      </c>
      <c r="F1209" s="43" t="s">
        <v>70</v>
      </c>
      <c r="G1209" s="43" t="s">
        <v>71</v>
      </c>
      <c r="H1209" s="43" t="s">
        <v>72</v>
      </c>
    </row>
    <row r="1210" spans="1:8" x14ac:dyDescent="0.25">
      <c r="A1210" s="72" t="s">
        <v>1789</v>
      </c>
      <c r="B1210" s="72" t="s">
        <v>232</v>
      </c>
      <c r="C1210" s="73">
        <v>101</v>
      </c>
      <c r="D1210" s="73">
        <v>2599511.6179975569</v>
      </c>
      <c r="E1210" s="72">
        <v>207960.92943980455</v>
      </c>
      <c r="F1210" s="72" t="s">
        <v>84</v>
      </c>
      <c r="G1210" s="72" t="s">
        <v>71</v>
      </c>
      <c r="H1210" s="72" t="s">
        <v>72</v>
      </c>
    </row>
    <row r="1211" spans="1:8" x14ac:dyDescent="0.25">
      <c r="A1211" s="72" t="s">
        <v>514</v>
      </c>
      <c r="B1211" s="72" t="s">
        <v>73</v>
      </c>
      <c r="C1211" s="73">
        <v>101</v>
      </c>
      <c r="D1211" s="73">
        <v>3173644.3566334639</v>
      </c>
      <c r="E1211" s="72">
        <v>380837.32279601565</v>
      </c>
      <c r="F1211" s="72" t="s">
        <v>87</v>
      </c>
      <c r="G1211" s="72" t="s">
        <v>71</v>
      </c>
      <c r="H1211" s="72" t="s">
        <v>88</v>
      </c>
    </row>
    <row r="1212" spans="1:8" x14ac:dyDescent="0.25">
      <c r="A1212" s="43" t="s">
        <v>1005</v>
      </c>
      <c r="B1212" s="43" t="s">
        <v>211</v>
      </c>
      <c r="C1212" s="46">
        <v>101</v>
      </c>
      <c r="D1212" s="46">
        <v>2951775.327359512</v>
      </c>
      <c r="E1212" s="43">
        <v>295177.53273595119</v>
      </c>
      <c r="F1212" s="43" t="s">
        <v>70</v>
      </c>
      <c r="G1212" s="43" t="s">
        <v>71</v>
      </c>
      <c r="H1212" s="43" t="s">
        <v>72</v>
      </c>
    </row>
    <row r="1213" spans="1:8" x14ac:dyDescent="0.25">
      <c r="A1213" s="72" t="s">
        <v>3054</v>
      </c>
      <c r="B1213" s="72" t="s">
        <v>85</v>
      </c>
      <c r="C1213" s="73">
        <v>101</v>
      </c>
      <c r="D1213" s="73">
        <v>2269976.176814449</v>
      </c>
      <c r="E1213" s="72">
        <v>113498.80884072246</v>
      </c>
      <c r="F1213" s="72" t="s">
        <v>70</v>
      </c>
      <c r="G1213" s="72" t="s">
        <v>71</v>
      </c>
      <c r="H1213" s="72" t="s">
        <v>72</v>
      </c>
    </row>
    <row r="1214" spans="1:8" x14ac:dyDescent="0.25">
      <c r="A1214" s="72" t="s">
        <v>1582</v>
      </c>
      <c r="B1214" s="72" t="s">
        <v>92</v>
      </c>
      <c r="C1214" s="73">
        <v>101</v>
      </c>
      <c r="D1214" s="73">
        <v>2833520.7667458733</v>
      </c>
      <c r="E1214" s="72">
        <v>226681.66133966987</v>
      </c>
      <c r="F1214" s="72" t="s">
        <v>78</v>
      </c>
      <c r="G1214" s="72" t="s">
        <v>71</v>
      </c>
      <c r="H1214" s="72" t="s">
        <v>72</v>
      </c>
    </row>
    <row r="1215" spans="1:8" x14ac:dyDescent="0.25">
      <c r="A1215" s="72" t="s">
        <v>1990</v>
      </c>
      <c r="B1215" s="72" t="s">
        <v>383</v>
      </c>
      <c r="C1215" s="73">
        <v>101</v>
      </c>
      <c r="D1215" s="73">
        <v>2707162.4156270097</v>
      </c>
      <c r="E1215" s="72">
        <v>189501.36909389065</v>
      </c>
      <c r="F1215" s="72" t="s">
        <v>78</v>
      </c>
      <c r="G1215" s="72" t="s">
        <v>71</v>
      </c>
      <c r="H1215" s="72" t="s">
        <v>72</v>
      </c>
    </row>
    <row r="1216" spans="1:8" x14ac:dyDescent="0.25">
      <c r="A1216" s="43" t="s">
        <v>1934</v>
      </c>
      <c r="B1216" s="43" t="s">
        <v>73</v>
      </c>
      <c r="C1216" s="46">
        <v>101</v>
      </c>
      <c r="D1216" s="46">
        <v>2431111.8957469855</v>
      </c>
      <c r="E1216" s="43">
        <v>194488.95165975884</v>
      </c>
      <c r="F1216" s="43" t="s">
        <v>106</v>
      </c>
      <c r="G1216" s="43" t="s">
        <v>71</v>
      </c>
      <c r="H1216" s="43" t="s">
        <v>72</v>
      </c>
    </row>
    <row r="1217" spans="1:8" x14ac:dyDescent="0.25">
      <c r="A1217" s="43" t="s">
        <v>1790</v>
      </c>
      <c r="B1217" s="43" t="s">
        <v>83</v>
      </c>
      <c r="C1217" s="46">
        <v>101</v>
      </c>
      <c r="D1217" s="46">
        <v>2599511.6179975569</v>
      </c>
      <c r="E1217" s="43">
        <v>207960.92943980455</v>
      </c>
      <c r="F1217" s="43" t="s">
        <v>84</v>
      </c>
      <c r="G1217" s="43" t="s">
        <v>71</v>
      </c>
      <c r="H1217" s="43" t="s">
        <v>72</v>
      </c>
    </row>
    <row r="1218" spans="1:8" x14ac:dyDescent="0.25">
      <c r="A1218" s="43" t="s">
        <v>1653</v>
      </c>
      <c r="B1218" s="43" t="s">
        <v>89</v>
      </c>
      <c r="C1218" s="46">
        <v>101</v>
      </c>
      <c r="D1218" s="46">
        <v>2752266.3135081064</v>
      </c>
      <c r="E1218" s="43">
        <v>220181.30508064851</v>
      </c>
      <c r="F1218" s="43" t="s">
        <v>70</v>
      </c>
      <c r="G1218" s="43" t="s">
        <v>71</v>
      </c>
      <c r="H1218" s="43" t="s">
        <v>72</v>
      </c>
    </row>
    <row r="1219" spans="1:8" x14ac:dyDescent="0.25">
      <c r="A1219" s="72" t="s">
        <v>1654</v>
      </c>
      <c r="B1219" s="72" t="s">
        <v>323</v>
      </c>
      <c r="C1219" s="73">
        <v>101</v>
      </c>
      <c r="D1219" s="73">
        <v>2752266.3135081064</v>
      </c>
      <c r="E1219" s="72">
        <v>220181.30508064851</v>
      </c>
      <c r="F1219" s="72" t="s">
        <v>70</v>
      </c>
      <c r="G1219" s="72" t="s">
        <v>71</v>
      </c>
      <c r="H1219" s="72" t="s">
        <v>72</v>
      </c>
    </row>
    <row r="1220" spans="1:8" x14ac:dyDescent="0.25">
      <c r="A1220" s="72" t="s">
        <v>752</v>
      </c>
      <c r="B1220" s="72" t="s">
        <v>112</v>
      </c>
      <c r="C1220" s="73">
        <v>101</v>
      </c>
      <c r="D1220" s="73">
        <v>3036528.3113232129</v>
      </c>
      <c r="E1220" s="72">
        <v>334018.11424555344</v>
      </c>
      <c r="F1220" s="72" t="s">
        <v>70</v>
      </c>
      <c r="G1220" s="72" t="s">
        <v>71</v>
      </c>
      <c r="H1220" s="72" t="s">
        <v>72</v>
      </c>
    </row>
    <row r="1221" spans="1:8" x14ac:dyDescent="0.25">
      <c r="A1221" s="72" t="s">
        <v>705</v>
      </c>
      <c r="B1221" s="72" t="s">
        <v>133</v>
      </c>
      <c r="C1221" s="73">
        <v>101</v>
      </c>
      <c r="D1221" s="73">
        <v>3119246.8796377759</v>
      </c>
      <c r="E1221" s="72">
        <v>343117.1567601554</v>
      </c>
      <c r="F1221" s="72" t="s">
        <v>87</v>
      </c>
      <c r="G1221" s="72" t="s">
        <v>71</v>
      </c>
      <c r="H1221" s="72" t="s">
        <v>88</v>
      </c>
    </row>
    <row r="1222" spans="1:8" x14ac:dyDescent="0.25">
      <c r="A1222" s="72" t="s">
        <v>1520</v>
      </c>
      <c r="B1222" s="72" t="s">
        <v>133</v>
      </c>
      <c r="C1222" s="73">
        <v>101</v>
      </c>
      <c r="D1222" s="73">
        <v>2920342.9052300812</v>
      </c>
      <c r="E1222" s="72">
        <v>233627.4324184065</v>
      </c>
      <c r="F1222" s="72" t="s">
        <v>87</v>
      </c>
      <c r="G1222" s="72" t="s">
        <v>71</v>
      </c>
      <c r="H1222" s="72" t="s">
        <v>88</v>
      </c>
    </row>
    <row r="1223" spans="1:8" x14ac:dyDescent="0.25">
      <c r="A1223" s="43" t="s">
        <v>500</v>
      </c>
      <c r="B1223" s="43" t="s">
        <v>115</v>
      </c>
      <c r="C1223" s="46">
        <v>101</v>
      </c>
      <c r="D1223" s="46">
        <v>3204937.0430934899</v>
      </c>
      <c r="E1223" s="43">
        <v>384592.44517121889</v>
      </c>
      <c r="F1223" s="43" t="s">
        <v>78</v>
      </c>
      <c r="G1223" s="43" t="s">
        <v>71</v>
      </c>
      <c r="H1223" s="43" t="s">
        <v>72</v>
      </c>
    </row>
    <row r="1224" spans="1:8" x14ac:dyDescent="0.25">
      <c r="A1224" s="72" t="s">
        <v>2500</v>
      </c>
      <c r="B1224" s="72" t="s">
        <v>74</v>
      </c>
      <c r="C1224" s="73">
        <v>101</v>
      </c>
      <c r="D1224" s="73">
        <v>2477903.9594504447</v>
      </c>
      <c r="E1224" s="72">
        <v>148674.23756702672</v>
      </c>
      <c r="F1224" s="72" t="s">
        <v>70</v>
      </c>
      <c r="G1224" s="72" t="s">
        <v>71</v>
      </c>
      <c r="H1224" s="72" t="s">
        <v>72</v>
      </c>
    </row>
    <row r="1225" spans="1:8" x14ac:dyDescent="0.25">
      <c r="A1225" s="43" t="s">
        <v>2298</v>
      </c>
      <c r="B1225" s="43" t="s">
        <v>378</v>
      </c>
      <c r="C1225" s="46">
        <v>101</v>
      </c>
      <c r="D1225" s="46">
        <v>2733711.4688435839</v>
      </c>
      <c r="E1225" s="43">
        <v>164022.68813061502</v>
      </c>
      <c r="F1225" s="43" t="s">
        <v>87</v>
      </c>
      <c r="G1225" s="43" t="s">
        <v>71</v>
      </c>
      <c r="H1225" s="43" t="s">
        <v>88</v>
      </c>
    </row>
    <row r="1226" spans="1:8" x14ac:dyDescent="0.25">
      <c r="A1226" s="43" t="s">
        <v>3055</v>
      </c>
      <c r="B1226" s="43" t="s">
        <v>77</v>
      </c>
      <c r="C1226" s="46">
        <v>101</v>
      </c>
      <c r="D1226" s="46">
        <v>2269976.176814449</v>
      </c>
      <c r="E1226" s="43">
        <v>113498.80884072246</v>
      </c>
      <c r="F1226" s="43" t="s">
        <v>70</v>
      </c>
      <c r="G1226" s="43" t="s">
        <v>71</v>
      </c>
      <c r="H1226" s="43" t="s">
        <v>72</v>
      </c>
    </row>
    <row r="1227" spans="1:8" x14ac:dyDescent="0.25">
      <c r="A1227" s="72" t="s">
        <v>3056</v>
      </c>
      <c r="B1227" s="72" t="s">
        <v>93</v>
      </c>
      <c r="C1227" s="73">
        <v>101</v>
      </c>
      <c r="D1227" s="73">
        <v>2269976.176814449</v>
      </c>
      <c r="E1227" s="72">
        <v>113498.80884072246</v>
      </c>
      <c r="F1227" s="72" t="s">
        <v>70</v>
      </c>
      <c r="G1227" s="72" t="s">
        <v>71</v>
      </c>
      <c r="H1227" s="72" t="s">
        <v>72</v>
      </c>
    </row>
    <row r="1228" spans="1:8" x14ac:dyDescent="0.25">
      <c r="A1228" s="43" t="s">
        <v>2501</v>
      </c>
      <c r="B1228" s="43" t="s">
        <v>74</v>
      </c>
      <c r="C1228" s="46">
        <v>101</v>
      </c>
      <c r="D1228" s="46">
        <v>2477903.9594504447</v>
      </c>
      <c r="E1228" s="43">
        <v>148674.23756702672</v>
      </c>
      <c r="F1228" s="43" t="s">
        <v>70</v>
      </c>
      <c r="G1228" s="43" t="s">
        <v>71</v>
      </c>
      <c r="H1228" s="43" t="s">
        <v>72</v>
      </c>
    </row>
    <row r="1229" spans="1:8" x14ac:dyDescent="0.25">
      <c r="A1229" s="72" t="s">
        <v>1675</v>
      </c>
      <c r="B1229" s="72" t="s">
        <v>211</v>
      </c>
      <c r="C1229" s="73">
        <v>100</v>
      </c>
      <c r="D1229" s="73">
        <v>2723534.0397336744</v>
      </c>
      <c r="E1229" s="72">
        <v>217882.72317869397</v>
      </c>
      <c r="F1229" s="72" t="s">
        <v>70</v>
      </c>
      <c r="G1229" s="72" t="s">
        <v>71</v>
      </c>
      <c r="H1229" s="72" t="s">
        <v>72</v>
      </c>
    </row>
    <row r="1230" spans="1:8" x14ac:dyDescent="0.25">
      <c r="A1230" s="72" t="s">
        <v>3354</v>
      </c>
      <c r="B1230" s="72" t="s">
        <v>77</v>
      </c>
      <c r="C1230" s="73">
        <v>100</v>
      </c>
      <c r="D1230" s="73">
        <v>2394626.3131580492</v>
      </c>
      <c r="E1230" s="72">
        <v>95785.052526321975</v>
      </c>
      <c r="F1230" s="72" t="s">
        <v>87</v>
      </c>
      <c r="G1230" s="72" t="s">
        <v>71</v>
      </c>
      <c r="H1230" s="72" t="s">
        <v>88</v>
      </c>
    </row>
    <row r="1231" spans="1:8" x14ac:dyDescent="0.25">
      <c r="A1231" s="72" t="s">
        <v>1909</v>
      </c>
      <c r="B1231" s="72" t="s">
        <v>77</v>
      </c>
      <c r="C1231" s="73">
        <v>100</v>
      </c>
      <c r="D1231" s="73">
        <v>2808475.3991369754</v>
      </c>
      <c r="E1231" s="72">
        <v>196593.27793958827</v>
      </c>
      <c r="F1231" s="72" t="s">
        <v>87</v>
      </c>
      <c r="G1231" s="72" t="s">
        <v>71</v>
      </c>
      <c r="H1231" s="72" t="s">
        <v>88</v>
      </c>
    </row>
    <row r="1232" spans="1:8" x14ac:dyDescent="0.25">
      <c r="A1232" s="72" t="s">
        <v>2074</v>
      </c>
      <c r="B1232" s="72" t="s">
        <v>97</v>
      </c>
      <c r="C1232" s="73">
        <v>100</v>
      </c>
      <c r="D1232" s="73">
        <v>2601590.678024468</v>
      </c>
      <c r="E1232" s="72">
        <v>182111.34746171275</v>
      </c>
      <c r="F1232" s="72" t="s">
        <v>70</v>
      </c>
      <c r="G1232" s="72" t="s">
        <v>71</v>
      </c>
      <c r="H1232" s="72" t="s">
        <v>72</v>
      </c>
    </row>
    <row r="1233" spans="1:8" x14ac:dyDescent="0.25">
      <c r="A1233" s="43" t="s">
        <v>570</v>
      </c>
      <c r="B1233" s="43" t="s">
        <v>77</v>
      </c>
      <c r="C1233" s="46">
        <v>100</v>
      </c>
      <c r="D1233" s="46">
        <v>3081972.9472558121</v>
      </c>
      <c r="E1233" s="43">
        <v>369836.75367069751</v>
      </c>
      <c r="F1233" s="43" t="s">
        <v>70</v>
      </c>
      <c r="G1233" s="43" t="s">
        <v>71</v>
      </c>
      <c r="H1233" s="43" t="s">
        <v>72</v>
      </c>
    </row>
    <row r="1234" spans="1:8" x14ac:dyDescent="0.25">
      <c r="A1234" s="72" t="s">
        <v>1604</v>
      </c>
      <c r="B1234" s="72" t="s">
        <v>176</v>
      </c>
      <c r="C1234" s="73">
        <v>100</v>
      </c>
      <c r="D1234" s="73">
        <v>2807184.2560506649</v>
      </c>
      <c r="E1234" s="72">
        <v>224574.74048405321</v>
      </c>
      <c r="F1234" s="72" t="s">
        <v>78</v>
      </c>
      <c r="G1234" s="72" t="s">
        <v>71</v>
      </c>
      <c r="H1234" s="72" t="s">
        <v>72</v>
      </c>
    </row>
    <row r="1235" spans="1:8" x14ac:dyDescent="0.25">
      <c r="A1235" s="43" t="s">
        <v>2075</v>
      </c>
      <c r="B1235" s="43" t="s">
        <v>170</v>
      </c>
      <c r="C1235" s="46">
        <v>100</v>
      </c>
      <c r="D1235" s="46">
        <v>2601590.678024468</v>
      </c>
      <c r="E1235" s="43">
        <v>182111.34746171275</v>
      </c>
      <c r="F1235" s="43" t="s">
        <v>70</v>
      </c>
      <c r="G1235" s="43" t="s">
        <v>71</v>
      </c>
      <c r="H1235" s="43" t="s">
        <v>72</v>
      </c>
    </row>
    <row r="1236" spans="1:8" x14ac:dyDescent="0.25">
      <c r="A1236" s="72" t="s">
        <v>371</v>
      </c>
      <c r="B1236" s="72" t="s">
        <v>92</v>
      </c>
      <c r="C1236" s="73">
        <v>100</v>
      </c>
      <c r="D1236" s="73">
        <v>3341790.6633612039</v>
      </c>
      <c r="E1236" s="72">
        <v>501268.59950418054</v>
      </c>
      <c r="F1236" s="72" t="s">
        <v>84</v>
      </c>
      <c r="G1236" s="72" t="s">
        <v>71</v>
      </c>
      <c r="H1236" s="72" t="s">
        <v>72</v>
      </c>
    </row>
    <row r="1237" spans="1:8" x14ac:dyDescent="0.25">
      <c r="A1237" s="72" t="s">
        <v>1031</v>
      </c>
      <c r="B1237" s="72" t="s">
        <v>97</v>
      </c>
      <c r="C1237" s="73">
        <v>100</v>
      </c>
      <c r="D1237" s="73">
        <v>2921067.716814274</v>
      </c>
      <c r="E1237" s="72">
        <v>292106.77168142743</v>
      </c>
      <c r="F1237" s="72" t="s">
        <v>70</v>
      </c>
      <c r="G1237" s="72" t="s">
        <v>71</v>
      </c>
      <c r="H1237" s="72" t="s">
        <v>72</v>
      </c>
    </row>
    <row r="1238" spans="1:8" x14ac:dyDescent="0.25">
      <c r="A1238" s="43" t="s">
        <v>1676</v>
      </c>
      <c r="B1238" s="43" t="s">
        <v>97</v>
      </c>
      <c r="C1238" s="46">
        <v>100</v>
      </c>
      <c r="D1238" s="46">
        <v>2723534.0397336744</v>
      </c>
      <c r="E1238" s="43">
        <v>217882.72317869397</v>
      </c>
      <c r="F1238" s="43" t="s">
        <v>70</v>
      </c>
      <c r="G1238" s="43" t="s">
        <v>71</v>
      </c>
      <c r="H1238" s="43" t="s">
        <v>72</v>
      </c>
    </row>
    <row r="1239" spans="1:8" x14ac:dyDescent="0.25">
      <c r="A1239" s="72" t="s">
        <v>1677</v>
      </c>
      <c r="B1239" s="72" t="s">
        <v>97</v>
      </c>
      <c r="C1239" s="73">
        <v>100</v>
      </c>
      <c r="D1239" s="73">
        <v>2723534.0397336744</v>
      </c>
      <c r="E1239" s="72">
        <v>217882.72317869397</v>
      </c>
      <c r="F1239" s="72" t="s">
        <v>70</v>
      </c>
      <c r="G1239" s="72" t="s">
        <v>71</v>
      </c>
      <c r="H1239" s="72" t="s">
        <v>72</v>
      </c>
    </row>
    <row r="1240" spans="1:8" x14ac:dyDescent="0.25">
      <c r="A1240" s="43" t="s">
        <v>425</v>
      </c>
      <c r="B1240" s="43" t="s">
        <v>100</v>
      </c>
      <c r="C1240" s="46">
        <v>100</v>
      </c>
      <c r="D1240" s="46">
        <v>3248185.9152384531</v>
      </c>
      <c r="E1240" s="43">
        <v>422264.16898099892</v>
      </c>
      <c r="F1240" s="43" t="s">
        <v>78</v>
      </c>
      <c r="G1240" s="43" t="s">
        <v>71</v>
      </c>
      <c r="H1240" s="43" t="s">
        <v>72</v>
      </c>
    </row>
    <row r="1241" spans="1:8" x14ac:dyDescent="0.25">
      <c r="A1241" s="43" t="s">
        <v>714</v>
      </c>
      <c r="B1241" s="43" t="s">
        <v>93</v>
      </c>
      <c r="C1241" s="46">
        <v>100</v>
      </c>
      <c r="D1241" s="46">
        <v>3089621.6628667326</v>
      </c>
      <c r="E1241" s="43">
        <v>339858.38291534066</v>
      </c>
      <c r="F1241" s="43" t="s">
        <v>87</v>
      </c>
      <c r="G1241" s="43" t="s">
        <v>71</v>
      </c>
      <c r="H1241" s="43" t="s">
        <v>88</v>
      </c>
    </row>
    <row r="1242" spans="1:8" x14ac:dyDescent="0.25">
      <c r="A1242" s="43" t="s">
        <v>2533</v>
      </c>
      <c r="B1242" s="43" t="s">
        <v>97</v>
      </c>
      <c r="C1242" s="46">
        <v>100</v>
      </c>
      <c r="D1242" s="46">
        <v>2451888.1446270784</v>
      </c>
      <c r="E1242" s="43">
        <v>147113.28867762475</v>
      </c>
      <c r="F1242" s="43" t="s">
        <v>70</v>
      </c>
      <c r="G1242" s="43" t="s">
        <v>71</v>
      </c>
      <c r="H1242" s="43" t="s">
        <v>72</v>
      </c>
    </row>
    <row r="1243" spans="1:8" x14ac:dyDescent="0.25">
      <c r="A1243" s="43" t="s">
        <v>1657</v>
      </c>
      <c r="B1243" s="43" t="s">
        <v>554</v>
      </c>
      <c r="C1243" s="46">
        <v>100</v>
      </c>
      <c r="D1243" s="46">
        <v>2444478.8892406882</v>
      </c>
      <c r="E1243" s="43">
        <v>220003.10003166192</v>
      </c>
      <c r="F1243" s="43" t="s">
        <v>106</v>
      </c>
      <c r="G1243" s="43" t="s">
        <v>71</v>
      </c>
      <c r="H1243" s="43" t="s">
        <v>72</v>
      </c>
    </row>
    <row r="1244" spans="1:8" x14ac:dyDescent="0.25">
      <c r="A1244" s="43" t="s">
        <v>1678</v>
      </c>
      <c r="B1244" s="43" t="s">
        <v>85</v>
      </c>
      <c r="C1244" s="46">
        <v>100</v>
      </c>
      <c r="D1244" s="46">
        <v>2723534.0397336744</v>
      </c>
      <c r="E1244" s="43">
        <v>217882.72317869397</v>
      </c>
      <c r="F1244" s="43" t="s">
        <v>70</v>
      </c>
      <c r="G1244" s="43" t="s">
        <v>71</v>
      </c>
      <c r="H1244" s="43" t="s">
        <v>72</v>
      </c>
    </row>
    <row r="1245" spans="1:8" x14ac:dyDescent="0.25">
      <c r="A1245" s="72" t="s">
        <v>3078</v>
      </c>
      <c r="B1245" s="72" t="s">
        <v>160</v>
      </c>
      <c r="C1245" s="73">
        <v>100</v>
      </c>
      <c r="D1245" s="73">
        <v>2246019.0529082716</v>
      </c>
      <c r="E1245" s="72">
        <v>112300.95264541358</v>
      </c>
      <c r="F1245" s="72" t="s">
        <v>70</v>
      </c>
      <c r="G1245" s="72" t="s">
        <v>71</v>
      </c>
      <c r="H1245" s="72" t="s">
        <v>72</v>
      </c>
    </row>
    <row r="1246" spans="1:8" x14ac:dyDescent="0.25">
      <c r="A1246" s="72" t="s">
        <v>571</v>
      </c>
      <c r="B1246" s="72" t="s">
        <v>77</v>
      </c>
      <c r="C1246" s="73">
        <v>100</v>
      </c>
      <c r="D1246" s="73">
        <v>3081972.9472558121</v>
      </c>
      <c r="E1246" s="72">
        <v>369836.75367069751</v>
      </c>
      <c r="F1246" s="72" t="s">
        <v>70</v>
      </c>
      <c r="G1246" s="72" t="s">
        <v>71</v>
      </c>
      <c r="H1246" s="72" t="s">
        <v>72</v>
      </c>
    </row>
    <row r="1247" spans="1:8" x14ac:dyDescent="0.25">
      <c r="A1247" s="43" t="s">
        <v>1318</v>
      </c>
      <c r="B1247" s="43" t="s">
        <v>73</v>
      </c>
      <c r="C1247" s="46">
        <v>100</v>
      </c>
      <c r="D1247" s="46">
        <v>2828271.9778563282</v>
      </c>
      <c r="E1247" s="43">
        <v>254544.47800706953</v>
      </c>
      <c r="F1247" s="43" t="s">
        <v>70</v>
      </c>
      <c r="G1247" s="43" t="s">
        <v>71</v>
      </c>
      <c r="H1247" s="43" t="s">
        <v>72</v>
      </c>
    </row>
    <row r="1248" spans="1:8" x14ac:dyDescent="0.25">
      <c r="A1248" s="43" t="s">
        <v>535</v>
      </c>
      <c r="B1248" s="43" t="s">
        <v>73</v>
      </c>
      <c r="C1248" s="46">
        <v>100</v>
      </c>
      <c r="D1248" s="46">
        <v>3143480.5509812757</v>
      </c>
      <c r="E1248" s="43">
        <v>377217.66611775308</v>
      </c>
      <c r="F1248" s="43" t="s">
        <v>87</v>
      </c>
      <c r="G1248" s="43" t="s">
        <v>71</v>
      </c>
      <c r="H1248" s="43" t="s">
        <v>88</v>
      </c>
    </row>
    <row r="1249" spans="1:8" x14ac:dyDescent="0.25">
      <c r="A1249" s="43" t="s">
        <v>3079</v>
      </c>
      <c r="B1249" s="43" t="s">
        <v>73</v>
      </c>
      <c r="C1249" s="46">
        <v>100</v>
      </c>
      <c r="D1249" s="46">
        <v>2246019.0529082716</v>
      </c>
      <c r="E1249" s="43">
        <v>112300.95264541358</v>
      </c>
      <c r="F1249" s="43" t="s">
        <v>70</v>
      </c>
      <c r="G1249" s="43" t="s">
        <v>71</v>
      </c>
      <c r="H1249" s="43" t="s">
        <v>72</v>
      </c>
    </row>
    <row r="1250" spans="1:8" x14ac:dyDescent="0.25">
      <c r="A1250" s="72" t="s">
        <v>1319</v>
      </c>
      <c r="B1250" s="72" t="s">
        <v>97</v>
      </c>
      <c r="C1250" s="73">
        <v>100</v>
      </c>
      <c r="D1250" s="73">
        <v>2828271.9778563282</v>
      </c>
      <c r="E1250" s="72">
        <v>254544.47800706953</v>
      </c>
      <c r="F1250" s="72" t="s">
        <v>70</v>
      </c>
      <c r="G1250" s="72" t="s">
        <v>71</v>
      </c>
      <c r="H1250" s="72" t="s">
        <v>72</v>
      </c>
    </row>
    <row r="1251" spans="1:8" x14ac:dyDescent="0.25">
      <c r="A1251" s="43" t="s">
        <v>1320</v>
      </c>
      <c r="B1251" s="43" t="s">
        <v>102</v>
      </c>
      <c r="C1251" s="46">
        <v>100</v>
      </c>
      <c r="D1251" s="46">
        <v>2828271.9778563282</v>
      </c>
      <c r="E1251" s="43">
        <v>254544.47800706953</v>
      </c>
      <c r="F1251" s="43" t="s">
        <v>70</v>
      </c>
      <c r="G1251" s="43" t="s">
        <v>71</v>
      </c>
      <c r="H1251" s="43" t="s">
        <v>72</v>
      </c>
    </row>
    <row r="1252" spans="1:8" x14ac:dyDescent="0.25">
      <c r="A1252" s="72" t="s">
        <v>2076</v>
      </c>
      <c r="B1252" s="72" t="s">
        <v>73</v>
      </c>
      <c r="C1252" s="73">
        <v>100</v>
      </c>
      <c r="D1252" s="73">
        <v>2601590.678024468</v>
      </c>
      <c r="E1252" s="72">
        <v>182111.34746171275</v>
      </c>
      <c r="F1252" s="72" t="s">
        <v>70</v>
      </c>
      <c r="G1252" s="72" t="s">
        <v>71</v>
      </c>
      <c r="H1252" s="72" t="s">
        <v>72</v>
      </c>
    </row>
    <row r="1253" spans="1:8" x14ac:dyDescent="0.25">
      <c r="A1253" s="43" t="s">
        <v>2077</v>
      </c>
      <c r="B1253" s="43" t="s">
        <v>102</v>
      </c>
      <c r="C1253" s="46">
        <v>100</v>
      </c>
      <c r="D1253" s="46">
        <v>2601590.678024468</v>
      </c>
      <c r="E1253" s="43">
        <v>182111.34746171275</v>
      </c>
      <c r="F1253" s="43" t="s">
        <v>70</v>
      </c>
      <c r="G1253" s="43" t="s">
        <v>71</v>
      </c>
      <c r="H1253" s="43" t="s">
        <v>72</v>
      </c>
    </row>
    <row r="1254" spans="1:8" x14ac:dyDescent="0.25">
      <c r="A1254" s="43" t="s">
        <v>1809</v>
      </c>
      <c r="B1254" s="43" t="s">
        <v>73</v>
      </c>
      <c r="C1254" s="46">
        <v>100</v>
      </c>
      <c r="D1254" s="46">
        <v>2571972.3977790889</v>
      </c>
      <c r="E1254" s="43">
        <v>205757.79182232713</v>
      </c>
      <c r="F1254" s="43" t="s">
        <v>84</v>
      </c>
      <c r="G1254" s="43" t="s">
        <v>71</v>
      </c>
      <c r="H1254" s="43" t="s">
        <v>72</v>
      </c>
    </row>
    <row r="1255" spans="1:8" x14ac:dyDescent="0.25">
      <c r="A1255" s="72" t="s">
        <v>1679</v>
      </c>
      <c r="B1255" s="72" t="s">
        <v>110</v>
      </c>
      <c r="C1255" s="73">
        <v>100</v>
      </c>
      <c r="D1255" s="73">
        <v>2723534.0397336744</v>
      </c>
      <c r="E1255" s="72">
        <v>217882.72317869397</v>
      </c>
      <c r="F1255" s="72" t="s">
        <v>70</v>
      </c>
      <c r="G1255" s="72" t="s">
        <v>71</v>
      </c>
      <c r="H1255" s="72" t="s">
        <v>72</v>
      </c>
    </row>
    <row r="1256" spans="1:8" x14ac:dyDescent="0.25">
      <c r="A1256" s="43" t="s">
        <v>1680</v>
      </c>
      <c r="B1256" s="43" t="s">
        <v>105</v>
      </c>
      <c r="C1256" s="46">
        <v>100</v>
      </c>
      <c r="D1256" s="46">
        <v>2723534.0397336744</v>
      </c>
      <c r="E1256" s="43">
        <v>217882.72317869397</v>
      </c>
      <c r="F1256" s="43" t="s">
        <v>70</v>
      </c>
      <c r="G1256" s="43" t="s">
        <v>71</v>
      </c>
      <c r="H1256" s="43" t="s">
        <v>72</v>
      </c>
    </row>
    <row r="1257" spans="1:8" x14ac:dyDescent="0.25">
      <c r="A1257" s="72" t="s">
        <v>1321</v>
      </c>
      <c r="B1257" s="72" t="s">
        <v>112</v>
      </c>
      <c r="C1257" s="73">
        <v>100</v>
      </c>
      <c r="D1257" s="73">
        <v>2828271.9778563282</v>
      </c>
      <c r="E1257" s="72">
        <v>254544.47800706953</v>
      </c>
      <c r="F1257" s="72" t="s">
        <v>70</v>
      </c>
      <c r="G1257" s="72" t="s">
        <v>71</v>
      </c>
      <c r="H1257" s="72" t="s">
        <v>72</v>
      </c>
    </row>
    <row r="1258" spans="1:8" x14ac:dyDescent="0.25">
      <c r="A1258" s="72" t="s">
        <v>1681</v>
      </c>
      <c r="B1258" s="72" t="s">
        <v>112</v>
      </c>
      <c r="C1258" s="73">
        <v>100</v>
      </c>
      <c r="D1258" s="73">
        <v>2723534.0397336744</v>
      </c>
      <c r="E1258" s="72">
        <v>217882.72317869397</v>
      </c>
      <c r="F1258" s="72" t="s">
        <v>70</v>
      </c>
      <c r="G1258" s="72" t="s">
        <v>71</v>
      </c>
      <c r="H1258" s="72" t="s">
        <v>72</v>
      </c>
    </row>
    <row r="1259" spans="1:8" x14ac:dyDescent="0.25">
      <c r="A1259" s="72" t="s">
        <v>2534</v>
      </c>
      <c r="B1259" s="72" t="s">
        <v>112</v>
      </c>
      <c r="C1259" s="73">
        <v>100</v>
      </c>
      <c r="D1259" s="73">
        <v>2451888.1446270784</v>
      </c>
      <c r="E1259" s="72">
        <v>147113.28867762475</v>
      </c>
      <c r="F1259" s="72" t="s">
        <v>70</v>
      </c>
      <c r="G1259" s="72" t="s">
        <v>71</v>
      </c>
      <c r="H1259" s="72" t="s">
        <v>72</v>
      </c>
    </row>
    <row r="1260" spans="1:8" x14ac:dyDescent="0.25">
      <c r="A1260" s="43" t="s">
        <v>775</v>
      </c>
      <c r="B1260" s="43" t="s">
        <v>112</v>
      </c>
      <c r="C1260" s="46">
        <v>100</v>
      </c>
      <c r="D1260" s="46">
        <v>3004981.5623228885</v>
      </c>
      <c r="E1260" s="43">
        <v>330547.97185551777</v>
      </c>
      <c r="F1260" s="43" t="s">
        <v>70</v>
      </c>
      <c r="G1260" s="43" t="s">
        <v>71</v>
      </c>
      <c r="H1260" s="43" t="s">
        <v>72</v>
      </c>
    </row>
    <row r="1261" spans="1:8" x14ac:dyDescent="0.25">
      <c r="A1261" s="43" t="s">
        <v>1150</v>
      </c>
      <c r="B1261" s="43" t="s">
        <v>93</v>
      </c>
      <c r="C1261" s="46">
        <v>100</v>
      </c>
      <c r="D1261" s="46">
        <v>2505598.8713635202</v>
      </c>
      <c r="E1261" s="43">
        <v>275615.87584998726</v>
      </c>
      <c r="F1261" s="43" t="s">
        <v>106</v>
      </c>
      <c r="G1261" s="43" t="s">
        <v>71</v>
      </c>
      <c r="H1261" s="43" t="s">
        <v>72</v>
      </c>
    </row>
    <row r="1262" spans="1:8" x14ac:dyDescent="0.25">
      <c r="A1262" s="72" t="s">
        <v>1241</v>
      </c>
      <c r="B1262" s="72" t="s">
        <v>143</v>
      </c>
      <c r="C1262" s="73">
        <v>100</v>
      </c>
      <c r="D1262" s="73">
        <v>2914639.702524622</v>
      </c>
      <c r="E1262" s="72">
        <v>262317.57322721597</v>
      </c>
      <c r="F1262" s="72" t="s">
        <v>78</v>
      </c>
      <c r="G1262" s="72" t="s">
        <v>71</v>
      </c>
      <c r="H1262" s="72" t="s">
        <v>72</v>
      </c>
    </row>
    <row r="1263" spans="1:8" x14ac:dyDescent="0.25">
      <c r="A1263" s="72" t="s">
        <v>536</v>
      </c>
      <c r="B1263" s="72" t="s">
        <v>133</v>
      </c>
      <c r="C1263" s="73">
        <v>100</v>
      </c>
      <c r="D1263" s="73">
        <v>3143480.5509812757</v>
      </c>
      <c r="E1263" s="72">
        <v>377217.66611775308</v>
      </c>
      <c r="F1263" s="72" t="s">
        <v>87</v>
      </c>
      <c r="G1263" s="72" t="s">
        <v>71</v>
      </c>
      <c r="H1263" s="72" t="s">
        <v>88</v>
      </c>
    </row>
    <row r="1264" spans="1:8" x14ac:dyDescent="0.25">
      <c r="A1264" s="43" t="s">
        <v>572</v>
      </c>
      <c r="B1264" s="43" t="s">
        <v>86</v>
      </c>
      <c r="C1264" s="46">
        <v>100</v>
      </c>
      <c r="D1264" s="46">
        <v>3081972.9472558121</v>
      </c>
      <c r="E1264" s="43">
        <v>369836.75367069751</v>
      </c>
      <c r="F1264" s="43" t="s">
        <v>70</v>
      </c>
      <c r="G1264" s="43" t="s">
        <v>71</v>
      </c>
      <c r="H1264" s="43" t="s">
        <v>72</v>
      </c>
    </row>
    <row r="1265" spans="1:8" x14ac:dyDescent="0.25">
      <c r="A1265" s="72" t="s">
        <v>713</v>
      </c>
      <c r="B1265" s="72" t="s">
        <v>115</v>
      </c>
      <c r="C1265" s="73">
        <v>100</v>
      </c>
      <c r="D1265" s="73">
        <v>3095934.1564296172</v>
      </c>
      <c r="E1265" s="72">
        <v>340552.75720725796</v>
      </c>
      <c r="F1265" s="72" t="s">
        <v>78</v>
      </c>
      <c r="G1265" s="72" t="s">
        <v>71</v>
      </c>
      <c r="H1265" s="72" t="s">
        <v>72</v>
      </c>
    </row>
    <row r="1266" spans="1:8" x14ac:dyDescent="0.25">
      <c r="A1266" s="43" t="s">
        <v>804</v>
      </c>
      <c r="B1266" s="43" t="s">
        <v>83</v>
      </c>
      <c r="C1266" s="46">
        <v>100</v>
      </c>
      <c r="D1266" s="46">
        <v>2958133.2335681296</v>
      </c>
      <c r="E1266" s="43">
        <v>325394.6556924943</v>
      </c>
      <c r="F1266" s="43" t="s">
        <v>84</v>
      </c>
      <c r="G1266" s="43" t="s">
        <v>71</v>
      </c>
      <c r="H1266" s="43" t="s">
        <v>72</v>
      </c>
    </row>
    <row r="1267" spans="1:8" x14ac:dyDescent="0.25">
      <c r="A1267" s="72" t="s">
        <v>2660</v>
      </c>
      <c r="B1267" s="72" t="s">
        <v>77</v>
      </c>
      <c r="C1267" s="73">
        <v>100</v>
      </c>
      <c r="D1267" s="73">
        <v>2318928.3901141174</v>
      </c>
      <c r="E1267" s="72">
        <v>139135.70340684708</v>
      </c>
      <c r="F1267" s="72" t="s">
        <v>106</v>
      </c>
      <c r="G1267" s="72" t="s">
        <v>71</v>
      </c>
      <c r="H1267" s="72" t="s">
        <v>72</v>
      </c>
    </row>
    <row r="1268" spans="1:8" x14ac:dyDescent="0.25">
      <c r="A1268" s="43" t="s">
        <v>2661</v>
      </c>
      <c r="B1268" s="43" t="s">
        <v>127</v>
      </c>
      <c r="C1268" s="46">
        <v>100</v>
      </c>
      <c r="D1268" s="46">
        <v>2318928.3901141174</v>
      </c>
      <c r="E1268" s="43">
        <v>139135.70340684708</v>
      </c>
      <c r="F1268" s="43" t="s">
        <v>106</v>
      </c>
      <c r="G1268" s="43" t="s">
        <v>71</v>
      </c>
      <c r="H1268" s="43" t="s">
        <v>72</v>
      </c>
    </row>
    <row r="1269" spans="1:8" x14ac:dyDescent="0.25">
      <c r="A1269" s="43" t="s">
        <v>1406</v>
      </c>
      <c r="B1269" s="43" t="s">
        <v>252</v>
      </c>
      <c r="C1269" s="46">
        <v>99</v>
      </c>
      <c r="D1269" s="46">
        <v>2453232.535288306</v>
      </c>
      <c r="E1269" s="43">
        <v>245323.2535288306</v>
      </c>
      <c r="F1269" s="43" t="s">
        <v>106</v>
      </c>
      <c r="G1269" s="43" t="s">
        <v>71</v>
      </c>
      <c r="H1269" s="43" t="s">
        <v>72</v>
      </c>
    </row>
    <row r="1270" spans="1:8" x14ac:dyDescent="0.25">
      <c r="A1270" s="43" t="s">
        <v>1342</v>
      </c>
      <c r="B1270" s="43" t="s">
        <v>211</v>
      </c>
      <c r="C1270" s="46">
        <v>99</v>
      </c>
      <c r="D1270" s="46">
        <v>2798523.3234400586</v>
      </c>
      <c r="E1270" s="43">
        <v>251867.09910960527</v>
      </c>
      <c r="F1270" s="43" t="s">
        <v>70</v>
      </c>
      <c r="G1270" s="43" t="s">
        <v>71</v>
      </c>
      <c r="H1270" s="43" t="s">
        <v>72</v>
      </c>
    </row>
    <row r="1271" spans="1:8" x14ac:dyDescent="0.25">
      <c r="A1271" s="43" t="s">
        <v>395</v>
      </c>
      <c r="B1271" s="43" t="s">
        <v>176</v>
      </c>
      <c r="C1271" s="46">
        <v>99</v>
      </c>
      <c r="D1271" s="46">
        <v>3285247.075901554</v>
      </c>
      <c r="E1271" s="43">
        <v>459934.59062621748</v>
      </c>
      <c r="F1271" s="43" t="s">
        <v>78</v>
      </c>
      <c r="G1271" s="43" t="s">
        <v>71</v>
      </c>
      <c r="H1271" s="43" t="s">
        <v>72</v>
      </c>
    </row>
    <row r="1272" spans="1:8" x14ac:dyDescent="0.25">
      <c r="A1272" s="43" t="s">
        <v>591</v>
      </c>
      <c r="B1272" s="43" t="s">
        <v>85</v>
      </c>
      <c r="C1272" s="46">
        <v>99</v>
      </c>
      <c r="D1272" s="46">
        <v>3049687.2831455478</v>
      </c>
      <c r="E1272" s="43">
        <v>365962.47397746582</v>
      </c>
      <c r="F1272" s="43" t="s">
        <v>70</v>
      </c>
      <c r="G1272" s="43" t="s">
        <v>71</v>
      </c>
      <c r="H1272" s="43" t="s">
        <v>72</v>
      </c>
    </row>
    <row r="1273" spans="1:8" x14ac:dyDescent="0.25">
      <c r="A1273" s="72" t="s">
        <v>3534</v>
      </c>
      <c r="B1273" s="72" t="s">
        <v>75</v>
      </c>
      <c r="C1273" s="73">
        <v>99</v>
      </c>
      <c r="D1273" s="73">
        <v>2161302.4599341452</v>
      </c>
      <c r="E1273" s="72">
        <v>86452.098397365815</v>
      </c>
      <c r="F1273" s="72" t="s">
        <v>106</v>
      </c>
      <c r="G1273" s="72" t="s">
        <v>71</v>
      </c>
      <c r="H1273" s="72" t="s">
        <v>72</v>
      </c>
    </row>
    <row r="1274" spans="1:8" x14ac:dyDescent="0.25">
      <c r="A1274" s="72" t="s">
        <v>592</v>
      </c>
      <c r="B1274" s="72" t="s">
        <v>73</v>
      </c>
      <c r="C1274" s="73">
        <v>99</v>
      </c>
      <c r="D1274" s="73">
        <v>3049687.2831455478</v>
      </c>
      <c r="E1274" s="72">
        <v>365962.47397746582</v>
      </c>
      <c r="F1274" s="72" t="s">
        <v>70</v>
      </c>
      <c r="G1274" s="72" t="s">
        <v>71</v>
      </c>
      <c r="H1274" s="72" t="s">
        <v>72</v>
      </c>
    </row>
    <row r="1275" spans="1:8" x14ac:dyDescent="0.25">
      <c r="A1275" s="43" t="s">
        <v>730</v>
      </c>
      <c r="B1275" s="43" t="s">
        <v>75</v>
      </c>
      <c r="C1275" s="46">
        <v>99</v>
      </c>
      <c r="D1275" s="46">
        <v>3066677.5501173194</v>
      </c>
      <c r="E1275" s="43">
        <v>337334.53051290516</v>
      </c>
      <c r="F1275" s="43" t="s">
        <v>78</v>
      </c>
      <c r="G1275" s="43" t="s">
        <v>71</v>
      </c>
      <c r="H1275" s="43" t="s">
        <v>72</v>
      </c>
    </row>
    <row r="1276" spans="1:8" x14ac:dyDescent="0.25">
      <c r="A1276" s="72" t="s">
        <v>263</v>
      </c>
      <c r="B1276" s="72" t="s">
        <v>77</v>
      </c>
      <c r="C1276" s="73">
        <v>99</v>
      </c>
      <c r="D1276" s="73">
        <v>2973465.8120619534</v>
      </c>
      <c r="E1276" s="72">
        <v>327081.23932681489</v>
      </c>
      <c r="F1276" s="72" t="s">
        <v>70</v>
      </c>
      <c r="G1276" s="72" t="s">
        <v>71</v>
      </c>
      <c r="H1276" s="72" t="s">
        <v>72</v>
      </c>
    </row>
    <row r="1277" spans="1:8" x14ac:dyDescent="0.25">
      <c r="A1277" s="43" t="s">
        <v>794</v>
      </c>
      <c r="B1277" s="43" t="s">
        <v>323</v>
      </c>
      <c r="C1277" s="46">
        <v>99</v>
      </c>
      <c r="D1277" s="46">
        <v>2973465.8120619534</v>
      </c>
      <c r="E1277" s="43">
        <v>327081.23932681489</v>
      </c>
      <c r="F1277" s="43" t="s">
        <v>70</v>
      </c>
      <c r="G1277" s="43" t="s">
        <v>71</v>
      </c>
      <c r="H1277" s="43" t="s">
        <v>72</v>
      </c>
    </row>
    <row r="1278" spans="1:8" x14ac:dyDescent="0.25">
      <c r="A1278" s="72" t="s">
        <v>1343</v>
      </c>
      <c r="B1278" s="72" t="s">
        <v>112</v>
      </c>
      <c r="C1278" s="73">
        <v>99</v>
      </c>
      <c r="D1278" s="73">
        <v>2798523.3234400586</v>
      </c>
      <c r="E1278" s="72">
        <v>251867.09910960527</v>
      </c>
      <c r="F1278" s="72" t="s">
        <v>70</v>
      </c>
      <c r="G1278" s="72" t="s">
        <v>71</v>
      </c>
      <c r="H1278" s="72" t="s">
        <v>72</v>
      </c>
    </row>
    <row r="1279" spans="1:8" x14ac:dyDescent="0.25">
      <c r="A1279" s="43" t="s">
        <v>593</v>
      </c>
      <c r="B1279" s="43" t="s">
        <v>112</v>
      </c>
      <c r="C1279" s="46">
        <v>99</v>
      </c>
      <c r="D1279" s="46">
        <v>3049687.2831455478</v>
      </c>
      <c r="E1279" s="43">
        <v>365962.47397746582</v>
      </c>
      <c r="F1279" s="43" t="s">
        <v>70</v>
      </c>
      <c r="G1279" s="43" t="s">
        <v>71</v>
      </c>
      <c r="H1279" s="43" t="s">
        <v>72</v>
      </c>
    </row>
    <row r="1280" spans="1:8" x14ac:dyDescent="0.25">
      <c r="A1280" s="43" t="s">
        <v>1171</v>
      </c>
      <c r="B1280" s="43" t="s">
        <v>75</v>
      </c>
      <c r="C1280" s="46">
        <v>99</v>
      </c>
      <c r="D1280" s="46">
        <v>2481969.9208548455</v>
      </c>
      <c r="E1280" s="43">
        <v>273016.69129403302</v>
      </c>
      <c r="F1280" s="43" t="s">
        <v>106</v>
      </c>
      <c r="G1280" s="43" t="s">
        <v>71</v>
      </c>
      <c r="H1280" s="43" t="s">
        <v>72</v>
      </c>
    </row>
    <row r="1281" spans="1:8" x14ac:dyDescent="0.25">
      <c r="A1281" s="72" t="s">
        <v>2098</v>
      </c>
      <c r="B1281" s="72" t="s">
        <v>97</v>
      </c>
      <c r="C1281" s="73">
        <v>99</v>
      </c>
      <c r="D1281" s="73">
        <v>2574108.836606517</v>
      </c>
      <c r="E1281" s="72">
        <v>180187.61856245616</v>
      </c>
      <c r="F1281" s="72" t="s">
        <v>70</v>
      </c>
      <c r="G1281" s="72" t="s">
        <v>71</v>
      </c>
      <c r="H1281" s="72" t="s">
        <v>72</v>
      </c>
    </row>
    <row r="1282" spans="1:8" x14ac:dyDescent="0.25">
      <c r="A1282" s="43" t="s">
        <v>2296</v>
      </c>
      <c r="B1282" s="43" t="s">
        <v>77</v>
      </c>
      <c r="C1282" s="46">
        <v>99</v>
      </c>
      <c r="D1282" s="46">
        <v>2345067.1467793984</v>
      </c>
      <c r="E1282" s="43">
        <v>164154.70027455786</v>
      </c>
      <c r="F1282" s="43" t="s">
        <v>106</v>
      </c>
      <c r="G1282" s="43" t="s">
        <v>71</v>
      </c>
      <c r="H1282" s="43" t="s">
        <v>72</v>
      </c>
    </row>
    <row r="1283" spans="1:8" x14ac:dyDescent="0.25">
      <c r="A1283" s="72" t="s">
        <v>594</v>
      </c>
      <c r="B1283" s="72" t="s">
        <v>162</v>
      </c>
      <c r="C1283" s="73">
        <v>99</v>
      </c>
      <c r="D1283" s="73">
        <v>3049687.2831455478</v>
      </c>
      <c r="E1283" s="72">
        <v>365962.47397746582</v>
      </c>
      <c r="F1283" s="72" t="s">
        <v>70</v>
      </c>
      <c r="G1283" s="72" t="s">
        <v>71</v>
      </c>
      <c r="H1283" s="72" t="s">
        <v>72</v>
      </c>
    </row>
    <row r="1284" spans="1:8" x14ac:dyDescent="0.25">
      <c r="A1284" s="72" t="s">
        <v>1365</v>
      </c>
      <c r="B1284" s="72" t="s">
        <v>119</v>
      </c>
      <c r="C1284" s="73">
        <v>98</v>
      </c>
      <c r="D1284" s="73">
        <v>2768805.6254158928</v>
      </c>
      <c r="E1284" s="72">
        <v>249192.50628743035</v>
      </c>
      <c r="F1284" s="72" t="s">
        <v>70</v>
      </c>
      <c r="G1284" s="72" t="s">
        <v>71</v>
      </c>
      <c r="H1284" s="72" t="s">
        <v>72</v>
      </c>
    </row>
    <row r="1285" spans="1:8" x14ac:dyDescent="0.25">
      <c r="A1285" s="43" t="s">
        <v>1366</v>
      </c>
      <c r="B1285" s="43" t="s">
        <v>119</v>
      </c>
      <c r="C1285" s="46">
        <v>98</v>
      </c>
      <c r="D1285" s="46">
        <v>2768805.6254158928</v>
      </c>
      <c r="E1285" s="43">
        <v>249192.50628743035</v>
      </c>
      <c r="F1285" s="43" t="s">
        <v>70</v>
      </c>
      <c r="G1285" s="43" t="s">
        <v>71</v>
      </c>
      <c r="H1285" s="43" t="s">
        <v>72</v>
      </c>
    </row>
    <row r="1286" spans="1:8" x14ac:dyDescent="0.25">
      <c r="A1286" s="72" t="s">
        <v>989</v>
      </c>
      <c r="B1286" s="72" t="s">
        <v>77</v>
      </c>
      <c r="C1286" s="73">
        <v>98</v>
      </c>
      <c r="D1286" s="73">
        <v>2972672.599367125</v>
      </c>
      <c r="E1286" s="72">
        <v>297267.25993671251</v>
      </c>
      <c r="F1286" s="72" t="s">
        <v>87</v>
      </c>
      <c r="G1286" s="72" t="s">
        <v>71</v>
      </c>
      <c r="H1286" s="72" t="s">
        <v>88</v>
      </c>
    </row>
    <row r="1287" spans="1:8" x14ac:dyDescent="0.25">
      <c r="A1287" s="72" t="s">
        <v>1072</v>
      </c>
      <c r="B1287" s="72" t="s">
        <v>265</v>
      </c>
      <c r="C1287" s="73">
        <v>98</v>
      </c>
      <c r="D1287" s="73">
        <v>2859745.4495946793</v>
      </c>
      <c r="E1287" s="72">
        <v>285974.54495946795</v>
      </c>
      <c r="F1287" s="72" t="s">
        <v>70</v>
      </c>
      <c r="G1287" s="72" t="s">
        <v>71</v>
      </c>
      <c r="H1287" s="72" t="s">
        <v>72</v>
      </c>
    </row>
    <row r="1288" spans="1:8" x14ac:dyDescent="0.25">
      <c r="A1288" s="43" t="s">
        <v>2115</v>
      </c>
      <c r="B1288" s="43" t="s">
        <v>176</v>
      </c>
      <c r="C1288" s="46">
        <v>98</v>
      </c>
      <c r="D1288" s="46">
        <v>2546657.9515806697</v>
      </c>
      <c r="E1288" s="43">
        <v>178266.05661064686</v>
      </c>
      <c r="F1288" s="43" t="s">
        <v>70</v>
      </c>
      <c r="G1288" s="43" t="s">
        <v>71</v>
      </c>
      <c r="H1288" s="43" t="s">
        <v>72</v>
      </c>
    </row>
    <row r="1289" spans="1:8" x14ac:dyDescent="0.25">
      <c r="A1289" s="43" t="s">
        <v>619</v>
      </c>
      <c r="B1289" s="43" t="s">
        <v>102</v>
      </c>
      <c r="C1289" s="46">
        <v>98</v>
      </c>
      <c r="D1289" s="46">
        <v>3017432.5754273869</v>
      </c>
      <c r="E1289" s="43">
        <v>362091.90905128652</v>
      </c>
      <c r="F1289" s="43" t="s">
        <v>70</v>
      </c>
      <c r="G1289" s="43" t="s">
        <v>71</v>
      </c>
      <c r="H1289" s="43" t="s">
        <v>72</v>
      </c>
    </row>
    <row r="1290" spans="1:8" x14ac:dyDescent="0.25">
      <c r="A1290" s="72" t="s">
        <v>2051</v>
      </c>
      <c r="B1290" s="72" t="s">
        <v>77</v>
      </c>
      <c r="C1290" s="73">
        <v>98</v>
      </c>
      <c r="D1290" s="73">
        <v>2631808.2603402669</v>
      </c>
      <c r="E1290" s="72">
        <v>184226.57822381865</v>
      </c>
      <c r="F1290" s="72" t="s">
        <v>78</v>
      </c>
      <c r="G1290" s="72" t="s">
        <v>71</v>
      </c>
      <c r="H1290" s="72" t="s">
        <v>72</v>
      </c>
    </row>
    <row r="1291" spans="1:8" x14ac:dyDescent="0.25">
      <c r="A1291" s="43" t="s">
        <v>2052</v>
      </c>
      <c r="B1291" s="43" t="s">
        <v>75</v>
      </c>
      <c r="C1291" s="46">
        <v>98</v>
      </c>
      <c r="D1291" s="46">
        <v>2631808.2603402669</v>
      </c>
      <c r="E1291" s="43">
        <v>184226.57822381865</v>
      </c>
      <c r="F1291" s="43" t="s">
        <v>78</v>
      </c>
      <c r="G1291" s="43" t="s">
        <v>71</v>
      </c>
      <c r="H1291" s="43" t="s">
        <v>72</v>
      </c>
    </row>
    <row r="1292" spans="1:8" x14ac:dyDescent="0.25">
      <c r="A1292" s="43" t="s">
        <v>1704</v>
      </c>
      <c r="B1292" s="43" t="s">
        <v>75</v>
      </c>
      <c r="C1292" s="46">
        <v>98</v>
      </c>
      <c r="D1292" s="46">
        <v>2398416.176437479</v>
      </c>
      <c r="E1292" s="43">
        <v>215857.4558793731</v>
      </c>
      <c r="F1292" s="43" t="s">
        <v>106</v>
      </c>
      <c r="G1292" s="43" t="s">
        <v>71</v>
      </c>
      <c r="H1292" s="43" t="s">
        <v>72</v>
      </c>
    </row>
    <row r="1293" spans="1:8" x14ac:dyDescent="0.25">
      <c r="A1293" s="72" t="s">
        <v>2116</v>
      </c>
      <c r="B1293" s="72" t="s">
        <v>211</v>
      </c>
      <c r="C1293" s="73">
        <v>98</v>
      </c>
      <c r="D1293" s="73">
        <v>2546657.9515806697</v>
      </c>
      <c r="E1293" s="72">
        <v>178266.05661064686</v>
      </c>
      <c r="F1293" s="72" t="s">
        <v>70</v>
      </c>
      <c r="G1293" s="72" t="s">
        <v>71</v>
      </c>
      <c r="H1293" s="72" t="s">
        <v>72</v>
      </c>
    </row>
    <row r="1294" spans="1:8" x14ac:dyDescent="0.25">
      <c r="A1294" s="43" t="s">
        <v>3109</v>
      </c>
      <c r="B1294" s="43" t="s">
        <v>160</v>
      </c>
      <c r="C1294" s="46">
        <v>98</v>
      </c>
      <c r="D1294" s="46">
        <v>2198197.758966797</v>
      </c>
      <c r="E1294" s="43">
        <v>109909.88794833986</v>
      </c>
      <c r="F1294" s="43" t="s">
        <v>70</v>
      </c>
      <c r="G1294" s="43" t="s">
        <v>71</v>
      </c>
      <c r="H1294" s="43" t="s">
        <v>72</v>
      </c>
    </row>
    <row r="1295" spans="1:8" x14ac:dyDescent="0.25">
      <c r="A1295" s="72" t="s">
        <v>1367</v>
      </c>
      <c r="B1295" s="72" t="s">
        <v>77</v>
      </c>
      <c r="C1295" s="73">
        <v>98</v>
      </c>
      <c r="D1295" s="73">
        <v>2768805.6254158928</v>
      </c>
      <c r="E1295" s="72">
        <v>249192.50628743035</v>
      </c>
      <c r="F1295" s="72" t="s">
        <v>70</v>
      </c>
      <c r="G1295" s="72" t="s">
        <v>71</v>
      </c>
      <c r="H1295" s="72" t="s">
        <v>72</v>
      </c>
    </row>
    <row r="1296" spans="1:8" x14ac:dyDescent="0.25">
      <c r="A1296" s="72" t="s">
        <v>1725</v>
      </c>
      <c r="B1296" s="72" t="s">
        <v>102</v>
      </c>
      <c r="C1296" s="73">
        <v>98</v>
      </c>
      <c r="D1296" s="73">
        <v>2666162.4460556922</v>
      </c>
      <c r="E1296" s="72">
        <v>213292.99568445538</v>
      </c>
      <c r="F1296" s="72" t="s">
        <v>70</v>
      </c>
      <c r="G1296" s="72" t="s">
        <v>71</v>
      </c>
      <c r="H1296" s="72" t="s">
        <v>72</v>
      </c>
    </row>
    <row r="1297" spans="1:8" x14ac:dyDescent="0.25">
      <c r="A1297" s="72" t="s">
        <v>1947</v>
      </c>
      <c r="B1297" s="72" t="s">
        <v>124</v>
      </c>
      <c r="C1297" s="73">
        <v>98</v>
      </c>
      <c r="D1297" s="73">
        <v>2754775.3132382785</v>
      </c>
      <c r="E1297" s="72">
        <v>192834.27192667947</v>
      </c>
      <c r="F1297" s="72" t="s">
        <v>87</v>
      </c>
      <c r="G1297" s="72" t="s">
        <v>71</v>
      </c>
      <c r="H1297" s="72" t="s">
        <v>88</v>
      </c>
    </row>
    <row r="1298" spans="1:8" x14ac:dyDescent="0.25">
      <c r="A1298" s="43" t="s">
        <v>1297</v>
      </c>
      <c r="B1298" s="43" t="s">
        <v>75</v>
      </c>
      <c r="C1298" s="46">
        <v>98</v>
      </c>
      <c r="D1298" s="46">
        <v>2859719.7306535426</v>
      </c>
      <c r="E1298" s="43">
        <v>257374.77575881881</v>
      </c>
      <c r="F1298" s="43" t="s">
        <v>78</v>
      </c>
      <c r="G1298" s="43" t="s">
        <v>71</v>
      </c>
      <c r="H1298" s="43" t="s">
        <v>72</v>
      </c>
    </row>
    <row r="1299" spans="1:8" x14ac:dyDescent="0.25">
      <c r="A1299" s="72" t="s">
        <v>3110</v>
      </c>
      <c r="B1299" s="72" t="s">
        <v>73</v>
      </c>
      <c r="C1299" s="73">
        <v>98</v>
      </c>
      <c r="D1299" s="73">
        <v>2198197.758966797</v>
      </c>
      <c r="E1299" s="72">
        <v>109909.88794833986</v>
      </c>
      <c r="F1299" s="72" t="s">
        <v>70</v>
      </c>
      <c r="G1299" s="72" t="s">
        <v>71</v>
      </c>
      <c r="H1299" s="72" t="s">
        <v>72</v>
      </c>
    </row>
    <row r="1300" spans="1:8" x14ac:dyDescent="0.25">
      <c r="A1300" s="43" t="s">
        <v>2573</v>
      </c>
      <c r="B1300" s="43" t="s">
        <v>81</v>
      </c>
      <c r="C1300" s="46">
        <v>98</v>
      </c>
      <c r="D1300" s="46">
        <v>2399949.4688512278</v>
      </c>
      <c r="E1300" s="43">
        <v>143996.96813107369</v>
      </c>
      <c r="F1300" s="43" t="s">
        <v>70</v>
      </c>
      <c r="G1300" s="43" t="s">
        <v>71</v>
      </c>
      <c r="H1300" s="43" t="s">
        <v>72</v>
      </c>
    </row>
    <row r="1301" spans="1:8" x14ac:dyDescent="0.25">
      <c r="A1301" s="43" t="s">
        <v>1368</v>
      </c>
      <c r="B1301" s="43" t="s">
        <v>85</v>
      </c>
      <c r="C1301" s="46">
        <v>98</v>
      </c>
      <c r="D1301" s="46">
        <v>2768805.6254158928</v>
      </c>
      <c r="E1301" s="43">
        <v>249192.50628743035</v>
      </c>
      <c r="F1301" s="43" t="s">
        <v>70</v>
      </c>
      <c r="G1301" s="43" t="s">
        <v>71</v>
      </c>
      <c r="H1301" s="43" t="s">
        <v>72</v>
      </c>
    </row>
    <row r="1302" spans="1:8" x14ac:dyDescent="0.25">
      <c r="A1302" s="43" t="s">
        <v>1726</v>
      </c>
      <c r="B1302" s="43" t="s">
        <v>75</v>
      </c>
      <c r="C1302" s="46">
        <v>98</v>
      </c>
      <c r="D1302" s="46">
        <v>2666162.4460556922</v>
      </c>
      <c r="E1302" s="43">
        <v>213292.99568445538</v>
      </c>
      <c r="F1302" s="43" t="s">
        <v>70</v>
      </c>
      <c r="G1302" s="43" t="s">
        <v>71</v>
      </c>
      <c r="H1302" s="43" t="s">
        <v>72</v>
      </c>
    </row>
    <row r="1303" spans="1:8" x14ac:dyDescent="0.25">
      <c r="A1303" s="72" t="s">
        <v>1369</v>
      </c>
      <c r="B1303" s="72" t="s">
        <v>1370</v>
      </c>
      <c r="C1303" s="73">
        <v>98</v>
      </c>
      <c r="D1303" s="73">
        <v>2768805.6254158928</v>
      </c>
      <c r="E1303" s="72">
        <v>249192.50628743035</v>
      </c>
      <c r="F1303" s="72" t="s">
        <v>70</v>
      </c>
      <c r="G1303" s="72" t="s">
        <v>71</v>
      </c>
      <c r="H1303" s="72" t="s">
        <v>72</v>
      </c>
    </row>
    <row r="1304" spans="1:8" x14ac:dyDescent="0.25">
      <c r="A1304" s="43" t="s">
        <v>755</v>
      </c>
      <c r="B1304" s="43" t="s">
        <v>73</v>
      </c>
      <c r="C1304" s="46">
        <v>98</v>
      </c>
      <c r="D1304" s="46">
        <v>3030298.651693441</v>
      </c>
      <c r="E1304" s="43">
        <v>333332.85168627853</v>
      </c>
      <c r="F1304" s="43" t="s">
        <v>87</v>
      </c>
      <c r="G1304" s="43" t="s">
        <v>71</v>
      </c>
      <c r="H1304" s="43" t="s">
        <v>88</v>
      </c>
    </row>
    <row r="1305" spans="1:8" x14ac:dyDescent="0.25">
      <c r="A1305" s="43" t="s">
        <v>1371</v>
      </c>
      <c r="B1305" s="43" t="s">
        <v>86</v>
      </c>
      <c r="C1305" s="46">
        <v>98</v>
      </c>
      <c r="D1305" s="46">
        <v>2768805.6254158928</v>
      </c>
      <c r="E1305" s="43">
        <v>249192.50628743035</v>
      </c>
      <c r="F1305" s="43" t="s">
        <v>70</v>
      </c>
      <c r="G1305" s="43" t="s">
        <v>71</v>
      </c>
      <c r="H1305" s="43" t="s">
        <v>72</v>
      </c>
    </row>
    <row r="1306" spans="1:8" x14ac:dyDescent="0.25">
      <c r="A1306" s="72" t="s">
        <v>1372</v>
      </c>
      <c r="B1306" s="72" t="s">
        <v>211</v>
      </c>
      <c r="C1306" s="73">
        <v>98</v>
      </c>
      <c r="D1306" s="73">
        <v>2768805.6254158928</v>
      </c>
      <c r="E1306" s="72">
        <v>249192.50628743035</v>
      </c>
      <c r="F1306" s="72" t="s">
        <v>70</v>
      </c>
      <c r="G1306" s="72" t="s">
        <v>71</v>
      </c>
      <c r="H1306" s="72" t="s">
        <v>72</v>
      </c>
    </row>
    <row r="1307" spans="1:8" x14ac:dyDescent="0.25">
      <c r="A1307" s="72" t="s">
        <v>2574</v>
      </c>
      <c r="B1307" s="72" t="s">
        <v>112</v>
      </c>
      <c r="C1307" s="73">
        <v>98</v>
      </c>
      <c r="D1307" s="73">
        <v>2399949.4688512278</v>
      </c>
      <c r="E1307" s="72">
        <v>143996.96813107369</v>
      </c>
      <c r="F1307" s="72" t="s">
        <v>70</v>
      </c>
      <c r="G1307" s="72" t="s">
        <v>71</v>
      </c>
      <c r="H1307" s="72" t="s">
        <v>72</v>
      </c>
    </row>
    <row r="1308" spans="1:8" x14ac:dyDescent="0.25">
      <c r="A1308" s="43" t="s">
        <v>2575</v>
      </c>
      <c r="B1308" s="43" t="s">
        <v>102</v>
      </c>
      <c r="C1308" s="46">
        <v>98</v>
      </c>
      <c r="D1308" s="46">
        <v>2399949.4688512278</v>
      </c>
      <c r="E1308" s="43">
        <v>143996.96813107369</v>
      </c>
      <c r="F1308" s="43" t="s">
        <v>70</v>
      </c>
      <c r="G1308" s="43" t="s">
        <v>71</v>
      </c>
      <c r="H1308" s="43" t="s">
        <v>72</v>
      </c>
    </row>
    <row r="1309" spans="1:8" x14ac:dyDescent="0.25">
      <c r="A1309" s="72" t="s">
        <v>1727</v>
      </c>
      <c r="B1309" s="72" t="s">
        <v>102</v>
      </c>
      <c r="C1309" s="73">
        <v>98</v>
      </c>
      <c r="D1309" s="73">
        <v>2666162.4460556922</v>
      </c>
      <c r="E1309" s="72">
        <v>213292.99568445538</v>
      </c>
      <c r="F1309" s="72" t="s">
        <v>70</v>
      </c>
      <c r="G1309" s="72" t="s">
        <v>71</v>
      </c>
      <c r="H1309" s="72" t="s">
        <v>72</v>
      </c>
    </row>
    <row r="1310" spans="1:8" x14ac:dyDescent="0.25">
      <c r="A1310" s="43" t="s">
        <v>1373</v>
      </c>
      <c r="B1310" s="43" t="s">
        <v>97</v>
      </c>
      <c r="C1310" s="46">
        <v>98</v>
      </c>
      <c r="D1310" s="46">
        <v>2768805.6254158928</v>
      </c>
      <c r="E1310" s="43">
        <v>249192.50628743035</v>
      </c>
      <c r="F1310" s="43" t="s">
        <v>70</v>
      </c>
      <c r="G1310" s="43" t="s">
        <v>71</v>
      </c>
      <c r="H1310" s="43" t="s">
        <v>72</v>
      </c>
    </row>
    <row r="1311" spans="1:8" x14ac:dyDescent="0.25">
      <c r="A1311" s="72" t="s">
        <v>436</v>
      </c>
      <c r="B1311" s="72" t="s">
        <v>115</v>
      </c>
      <c r="C1311" s="73">
        <v>98</v>
      </c>
      <c r="D1311" s="73">
        <v>3186595.0191130973</v>
      </c>
      <c r="E1311" s="72">
        <v>414257.35248470266</v>
      </c>
      <c r="F1311" s="72" t="s">
        <v>78</v>
      </c>
      <c r="G1311" s="72" t="s">
        <v>71</v>
      </c>
      <c r="H1311" s="72" t="s">
        <v>72</v>
      </c>
    </row>
    <row r="1312" spans="1:8" x14ac:dyDescent="0.25">
      <c r="A1312" s="72" t="s">
        <v>620</v>
      </c>
      <c r="B1312" s="72" t="s">
        <v>107</v>
      </c>
      <c r="C1312" s="73">
        <v>98</v>
      </c>
      <c r="D1312" s="73">
        <v>3017432.5754273869</v>
      </c>
      <c r="E1312" s="72">
        <v>362091.90905128652</v>
      </c>
      <c r="F1312" s="72" t="s">
        <v>70</v>
      </c>
      <c r="G1312" s="72" t="s">
        <v>71</v>
      </c>
      <c r="H1312" s="72" t="s">
        <v>72</v>
      </c>
    </row>
    <row r="1313" spans="1:8" x14ac:dyDescent="0.25">
      <c r="A1313" s="72" t="s">
        <v>1254</v>
      </c>
      <c r="B1313" s="72" t="s">
        <v>73</v>
      </c>
      <c r="C1313" s="73">
        <v>98</v>
      </c>
      <c r="D1313" s="73">
        <v>2908956.4113677745</v>
      </c>
      <c r="E1313" s="72">
        <v>261806.0770230997</v>
      </c>
      <c r="F1313" s="72" t="s">
        <v>87</v>
      </c>
      <c r="G1313" s="72" t="s">
        <v>71</v>
      </c>
      <c r="H1313" s="72" t="s">
        <v>88</v>
      </c>
    </row>
    <row r="1314" spans="1:8" x14ac:dyDescent="0.25">
      <c r="A1314" s="43" t="s">
        <v>1255</v>
      </c>
      <c r="B1314" s="43" t="s">
        <v>149</v>
      </c>
      <c r="C1314" s="46">
        <v>98</v>
      </c>
      <c r="D1314" s="46">
        <v>2908956.4113677745</v>
      </c>
      <c r="E1314" s="43">
        <v>261806.0770230997</v>
      </c>
      <c r="F1314" s="43" t="s">
        <v>87</v>
      </c>
      <c r="G1314" s="43" t="s">
        <v>71</v>
      </c>
      <c r="H1314" s="43" t="s">
        <v>88</v>
      </c>
    </row>
    <row r="1315" spans="1:8" x14ac:dyDescent="0.25">
      <c r="A1315" s="72" t="s">
        <v>1374</v>
      </c>
      <c r="B1315" s="72" t="s">
        <v>210</v>
      </c>
      <c r="C1315" s="73">
        <v>98</v>
      </c>
      <c r="D1315" s="73">
        <v>2768805.6254158928</v>
      </c>
      <c r="E1315" s="72">
        <v>249192.50628743035</v>
      </c>
      <c r="F1315" s="72" t="s">
        <v>70</v>
      </c>
      <c r="G1315" s="72" t="s">
        <v>71</v>
      </c>
      <c r="H1315" s="72" t="s">
        <v>72</v>
      </c>
    </row>
    <row r="1316" spans="1:8" x14ac:dyDescent="0.25">
      <c r="A1316" s="72" t="s">
        <v>2576</v>
      </c>
      <c r="B1316" s="72" t="s">
        <v>323</v>
      </c>
      <c r="C1316" s="73">
        <v>98</v>
      </c>
      <c r="D1316" s="73">
        <v>2399949.4688512278</v>
      </c>
      <c r="E1316" s="72">
        <v>143996.96813107369</v>
      </c>
      <c r="F1316" s="72" t="s">
        <v>70</v>
      </c>
      <c r="G1316" s="72" t="s">
        <v>71</v>
      </c>
      <c r="H1316" s="72" t="s">
        <v>72</v>
      </c>
    </row>
    <row r="1317" spans="1:8" x14ac:dyDescent="0.25">
      <c r="A1317" s="43" t="s">
        <v>621</v>
      </c>
      <c r="B1317" s="43" t="s">
        <v>162</v>
      </c>
      <c r="C1317" s="46">
        <v>98</v>
      </c>
      <c r="D1317" s="46">
        <v>3017432.5754273869</v>
      </c>
      <c r="E1317" s="43">
        <v>362091.90905128652</v>
      </c>
      <c r="F1317" s="43" t="s">
        <v>70</v>
      </c>
      <c r="G1317" s="43" t="s">
        <v>71</v>
      </c>
      <c r="H1317" s="43" t="s">
        <v>72</v>
      </c>
    </row>
    <row r="1318" spans="1:8" x14ac:dyDescent="0.25">
      <c r="A1318" s="72" t="s">
        <v>4170</v>
      </c>
      <c r="B1318" s="72" t="s">
        <v>75</v>
      </c>
      <c r="C1318" s="73">
        <v>98</v>
      </c>
      <c r="D1318" s="73">
        <v>2023803.865362338</v>
      </c>
      <c r="E1318" s="72">
        <v>60714.115960870149</v>
      </c>
      <c r="F1318" s="72" t="s">
        <v>106</v>
      </c>
      <c r="G1318" s="72" t="s">
        <v>71</v>
      </c>
      <c r="H1318" s="72" t="s">
        <v>72</v>
      </c>
    </row>
    <row r="1319" spans="1:8" x14ac:dyDescent="0.25">
      <c r="A1319" s="43" t="s">
        <v>2137</v>
      </c>
      <c r="B1319" s="43" t="s">
        <v>119</v>
      </c>
      <c r="C1319" s="46">
        <v>97</v>
      </c>
      <c r="D1319" s="46">
        <v>2519237.980651448</v>
      </c>
      <c r="E1319" s="43">
        <v>176346.65864560133</v>
      </c>
      <c r="F1319" s="43" t="s">
        <v>70</v>
      </c>
      <c r="G1319" s="43" t="s">
        <v>71</v>
      </c>
      <c r="H1319" s="43" t="s">
        <v>72</v>
      </c>
    </row>
    <row r="1320" spans="1:8" x14ac:dyDescent="0.25">
      <c r="A1320" s="43" t="s">
        <v>640</v>
      </c>
      <c r="B1320" s="43" t="s">
        <v>211</v>
      </c>
      <c r="C1320" s="46">
        <v>97</v>
      </c>
      <c r="D1320" s="46">
        <v>2985208.781805852</v>
      </c>
      <c r="E1320" s="43">
        <v>358225.05381670233</v>
      </c>
      <c r="F1320" s="43" t="s">
        <v>70</v>
      </c>
      <c r="G1320" s="43" t="s">
        <v>71</v>
      </c>
      <c r="H1320" s="43" t="s">
        <v>72</v>
      </c>
    </row>
    <row r="1321" spans="1:8" x14ac:dyDescent="0.25">
      <c r="A1321" s="43" t="s">
        <v>451</v>
      </c>
      <c r="B1321" s="43" t="s">
        <v>93</v>
      </c>
      <c r="C1321" s="46">
        <v>97</v>
      </c>
      <c r="D1321" s="46">
        <v>3101167.1832486205</v>
      </c>
      <c r="E1321" s="43">
        <v>403151.7338223207</v>
      </c>
      <c r="F1321" s="43" t="s">
        <v>87</v>
      </c>
      <c r="G1321" s="43" t="s">
        <v>71</v>
      </c>
      <c r="H1321" s="43" t="s">
        <v>88</v>
      </c>
    </row>
    <row r="1322" spans="1:8" x14ac:dyDescent="0.25">
      <c r="A1322" s="72" t="s">
        <v>2343</v>
      </c>
      <c r="B1322" s="72" t="s">
        <v>378</v>
      </c>
      <c r="C1322" s="73">
        <v>97</v>
      </c>
      <c r="D1322" s="73">
        <v>2300493.2763989894</v>
      </c>
      <c r="E1322" s="72">
        <v>161034.52934792923</v>
      </c>
      <c r="F1322" s="72" t="s">
        <v>106</v>
      </c>
      <c r="G1322" s="72" t="s">
        <v>71</v>
      </c>
      <c r="H1322" s="72" t="s">
        <v>72</v>
      </c>
    </row>
    <row r="1323" spans="1:8" x14ac:dyDescent="0.25">
      <c r="A1323" s="72" t="s">
        <v>3126</v>
      </c>
      <c r="B1323" s="72" t="s">
        <v>211</v>
      </c>
      <c r="C1323" s="73">
        <v>97</v>
      </c>
      <c r="D1323" s="73">
        <v>2174333.5042887372</v>
      </c>
      <c r="E1323" s="72">
        <v>108716.67521443687</v>
      </c>
      <c r="F1323" s="72" t="s">
        <v>70</v>
      </c>
      <c r="G1323" s="72" t="s">
        <v>71</v>
      </c>
      <c r="H1323" s="72" t="s">
        <v>72</v>
      </c>
    </row>
    <row r="1324" spans="1:8" x14ac:dyDescent="0.25">
      <c r="A1324" s="72" t="s">
        <v>1153</v>
      </c>
      <c r="B1324" s="72" t="s">
        <v>83</v>
      </c>
      <c r="C1324" s="73">
        <v>97</v>
      </c>
      <c r="D1324" s="73">
        <v>2752730.5800945093</v>
      </c>
      <c r="E1324" s="72">
        <v>275273.05800945096</v>
      </c>
      <c r="F1324" s="72" t="s">
        <v>84</v>
      </c>
      <c r="G1324" s="72" t="s">
        <v>71</v>
      </c>
      <c r="H1324" s="72" t="s">
        <v>72</v>
      </c>
    </row>
    <row r="1325" spans="1:8" x14ac:dyDescent="0.25">
      <c r="A1325" s="72" t="s">
        <v>2596</v>
      </c>
      <c r="B1325" s="72" t="s">
        <v>85</v>
      </c>
      <c r="C1325" s="73">
        <v>97</v>
      </c>
      <c r="D1325" s="73">
        <v>2374026.5232559801</v>
      </c>
      <c r="E1325" s="72">
        <v>142441.59139535885</v>
      </c>
      <c r="F1325" s="72" t="s">
        <v>70</v>
      </c>
      <c r="G1325" s="72" t="s">
        <v>71</v>
      </c>
      <c r="H1325" s="72" t="s">
        <v>72</v>
      </c>
    </row>
    <row r="1326" spans="1:8" x14ac:dyDescent="0.25">
      <c r="A1326" s="43" t="s">
        <v>1718</v>
      </c>
      <c r="B1326" s="43" t="s">
        <v>554</v>
      </c>
      <c r="C1326" s="46">
        <v>97</v>
      </c>
      <c r="D1326" s="46">
        <v>2375343.9552077046</v>
      </c>
      <c r="E1326" s="43">
        <v>213780.95596869339</v>
      </c>
      <c r="F1326" s="43" t="s">
        <v>106</v>
      </c>
      <c r="G1326" s="43" t="s">
        <v>71</v>
      </c>
      <c r="H1326" s="43" t="s">
        <v>72</v>
      </c>
    </row>
    <row r="1327" spans="1:8" x14ac:dyDescent="0.25">
      <c r="A1327" s="43" t="s">
        <v>1395</v>
      </c>
      <c r="B1327" s="43" t="s">
        <v>75</v>
      </c>
      <c r="C1327" s="46">
        <v>97</v>
      </c>
      <c r="D1327" s="46">
        <v>2739118.8414883525</v>
      </c>
      <c r="E1327" s="43">
        <v>246520.69573395172</v>
      </c>
      <c r="F1327" s="43" t="s">
        <v>70</v>
      </c>
      <c r="G1327" s="43" t="s">
        <v>71</v>
      </c>
      <c r="H1327" s="43" t="s">
        <v>72</v>
      </c>
    </row>
    <row r="1328" spans="1:8" x14ac:dyDescent="0.25">
      <c r="A1328" s="43" t="s">
        <v>1446</v>
      </c>
      <c r="B1328" s="43" t="s">
        <v>149</v>
      </c>
      <c r="C1328" s="46">
        <v>97</v>
      </c>
      <c r="D1328" s="46">
        <v>2406473.5055440799</v>
      </c>
      <c r="E1328" s="43">
        <v>240647.35055440801</v>
      </c>
      <c r="F1328" s="43" t="s">
        <v>106</v>
      </c>
      <c r="G1328" s="43" t="s">
        <v>71</v>
      </c>
      <c r="H1328" s="43" t="s">
        <v>72</v>
      </c>
    </row>
    <row r="1329" spans="1:8" x14ac:dyDescent="0.25">
      <c r="A1329" s="72" t="s">
        <v>2138</v>
      </c>
      <c r="B1329" s="72" t="s">
        <v>105</v>
      </c>
      <c r="C1329" s="73">
        <v>97</v>
      </c>
      <c r="D1329" s="73">
        <v>2519237.980651448</v>
      </c>
      <c r="E1329" s="72">
        <v>176346.65864560133</v>
      </c>
      <c r="F1329" s="72" t="s">
        <v>70</v>
      </c>
      <c r="G1329" s="72" t="s">
        <v>71</v>
      </c>
      <c r="H1329" s="72" t="s">
        <v>72</v>
      </c>
    </row>
    <row r="1330" spans="1:8" x14ac:dyDescent="0.25">
      <c r="A1330" s="72" t="s">
        <v>1396</v>
      </c>
      <c r="B1330" s="72" t="s">
        <v>323</v>
      </c>
      <c r="C1330" s="73">
        <v>97</v>
      </c>
      <c r="D1330" s="73">
        <v>2739118.8414883525</v>
      </c>
      <c r="E1330" s="72">
        <v>246520.69573395172</v>
      </c>
      <c r="F1330" s="72" t="s">
        <v>70</v>
      </c>
      <c r="G1330" s="72" t="s">
        <v>71</v>
      </c>
      <c r="H1330" s="72" t="s">
        <v>72</v>
      </c>
    </row>
    <row r="1331" spans="1:8" x14ac:dyDescent="0.25">
      <c r="A1331" s="43" t="s">
        <v>1754</v>
      </c>
      <c r="B1331" s="43" t="s">
        <v>105</v>
      </c>
      <c r="C1331" s="46">
        <v>97</v>
      </c>
      <c r="D1331" s="46">
        <v>2637523.0415093782</v>
      </c>
      <c r="E1331" s="43">
        <v>211001.84332075025</v>
      </c>
      <c r="F1331" s="43" t="s">
        <v>70</v>
      </c>
      <c r="G1331" s="43" t="s">
        <v>71</v>
      </c>
      <c r="H1331" s="43" t="s">
        <v>72</v>
      </c>
    </row>
    <row r="1332" spans="1:8" x14ac:dyDescent="0.25">
      <c r="A1332" s="72" t="s">
        <v>1093</v>
      </c>
      <c r="B1332" s="72" t="s">
        <v>112</v>
      </c>
      <c r="C1332" s="73">
        <v>97</v>
      </c>
      <c r="D1332" s="73">
        <v>2829130.7082775594</v>
      </c>
      <c r="E1332" s="72">
        <v>282913.07082775596</v>
      </c>
      <c r="F1332" s="72" t="s">
        <v>70</v>
      </c>
      <c r="G1332" s="72" t="s">
        <v>71</v>
      </c>
      <c r="H1332" s="72" t="s">
        <v>72</v>
      </c>
    </row>
    <row r="1333" spans="1:8" x14ac:dyDescent="0.25">
      <c r="A1333" s="72" t="s">
        <v>452</v>
      </c>
      <c r="B1333" s="72" t="s">
        <v>73</v>
      </c>
      <c r="C1333" s="73">
        <v>97</v>
      </c>
      <c r="D1333" s="73">
        <v>3101167.1832486205</v>
      </c>
      <c r="E1333" s="72">
        <v>403151.7338223207</v>
      </c>
      <c r="F1333" s="72" t="s">
        <v>87</v>
      </c>
      <c r="G1333" s="72" t="s">
        <v>71</v>
      </c>
      <c r="H1333" s="72" t="s">
        <v>88</v>
      </c>
    </row>
    <row r="1334" spans="1:8" x14ac:dyDescent="0.25">
      <c r="A1334" s="72" t="s">
        <v>1447</v>
      </c>
      <c r="B1334" s="72" t="s">
        <v>75</v>
      </c>
      <c r="C1334" s="73">
        <v>97</v>
      </c>
      <c r="D1334" s="73">
        <v>2406473.5055440799</v>
      </c>
      <c r="E1334" s="72">
        <v>240647.35055440801</v>
      </c>
      <c r="F1334" s="72" t="s">
        <v>106</v>
      </c>
      <c r="G1334" s="72" t="s">
        <v>71</v>
      </c>
      <c r="H1334" s="72" t="s">
        <v>72</v>
      </c>
    </row>
    <row r="1335" spans="1:8" x14ac:dyDescent="0.25">
      <c r="A1335" s="43" t="s">
        <v>2139</v>
      </c>
      <c r="B1335" s="43" t="s">
        <v>97</v>
      </c>
      <c r="C1335" s="46">
        <v>97</v>
      </c>
      <c r="D1335" s="46">
        <v>2519237.980651448</v>
      </c>
      <c r="E1335" s="43">
        <v>176346.65864560133</v>
      </c>
      <c r="F1335" s="43" t="s">
        <v>70</v>
      </c>
      <c r="G1335" s="43" t="s">
        <v>71</v>
      </c>
      <c r="H1335" s="43" t="s">
        <v>72</v>
      </c>
    </row>
    <row r="1336" spans="1:8" x14ac:dyDescent="0.25">
      <c r="A1336" s="43" t="s">
        <v>3127</v>
      </c>
      <c r="B1336" s="43" t="s">
        <v>323</v>
      </c>
      <c r="C1336" s="46">
        <v>97</v>
      </c>
      <c r="D1336" s="46">
        <v>2174333.5042887372</v>
      </c>
      <c r="E1336" s="43">
        <v>108716.67521443687</v>
      </c>
      <c r="F1336" s="43" t="s">
        <v>70</v>
      </c>
      <c r="G1336" s="43" t="s">
        <v>71</v>
      </c>
      <c r="H1336" s="43" t="s">
        <v>72</v>
      </c>
    </row>
    <row r="1337" spans="1:8" x14ac:dyDescent="0.25">
      <c r="A1337" s="43" t="s">
        <v>842</v>
      </c>
      <c r="B1337" s="43" t="s">
        <v>74</v>
      </c>
      <c r="C1337" s="46">
        <v>97</v>
      </c>
      <c r="D1337" s="46">
        <v>2910527.1384209157</v>
      </c>
      <c r="E1337" s="43">
        <v>320157.98522630078</v>
      </c>
      <c r="F1337" s="43" t="s">
        <v>70</v>
      </c>
      <c r="G1337" s="43" t="s">
        <v>71</v>
      </c>
      <c r="H1337" s="43" t="s">
        <v>72</v>
      </c>
    </row>
    <row r="1338" spans="1:8" x14ac:dyDescent="0.25">
      <c r="A1338" s="72" t="s">
        <v>3128</v>
      </c>
      <c r="B1338" s="72" t="s">
        <v>74</v>
      </c>
      <c r="C1338" s="73">
        <v>97</v>
      </c>
      <c r="D1338" s="73">
        <v>2174333.5042887372</v>
      </c>
      <c r="E1338" s="72">
        <v>108716.67521443687</v>
      </c>
      <c r="F1338" s="72" t="s">
        <v>70</v>
      </c>
      <c r="G1338" s="72" t="s">
        <v>71</v>
      </c>
      <c r="H1338" s="72" t="s">
        <v>72</v>
      </c>
    </row>
    <row r="1339" spans="1:8" x14ac:dyDescent="0.25">
      <c r="A1339" s="72" t="s">
        <v>1719</v>
      </c>
      <c r="B1339" s="72" t="s">
        <v>75</v>
      </c>
      <c r="C1339" s="73">
        <v>97</v>
      </c>
      <c r="D1339" s="73">
        <v>2375343.9552077046</v>
      </c>
      <c r="E1339" s="72">
        <v>213780.95596869339</v>
      </c>
      <c r="F1339" s="72" t="s">
        <v>106</v>
      </c>
      <c r="G1339" s="72" t="s">
        <v>71</v>
      </c>
      <c r="H1339" s="72" t="s">
        <v>72</v>
      </c>
    </row>
    <row r="1340" spans="1:8" x14ac:dyDescent="0.25">
      <c r="A1340" s="43" t="s">
        <v>1780</v>
      </c>
      <c r="B1340" s="43" t="s">
        <v>97</v>
      </c>
      <c r="C1340" s="46">
        <v>96</v>
      </c>
      <c r="D1340" s="46">
        <v>2608914.5088159549</v>
      </c>
      <c r="E1340" s="43">
        <v>208713.16070527639</v>
      </c>
      <c r="F1340" s="43" t="s">
        <v>70</v>
      </c>
      <c r="G1340" s="43" t="s">
        <v>71</v>
      </c>
      <c r="H1340" s="43" t="s">
        <v>72</v>
      </c>
    </row>
    <row r="1341" spans="1:8" x14ac:dyDescent="0.25">
      <c r="A1341" s="72" t="s">
        <v>861</v>
      </c>
      <c r="B1341" s="72" t="s">
        <v>79</v>
      </c>
      <c r="C1341" s="73">
        <v>96</v>
      </c>
      <c r="D1341" s="73">
        <v>2879104.1305016</v>
      </c>
      <c r="E1341" s="72">
        <v>316701.45435517601</v>
      </c>
      <c r="F1341" s="72" t="s">
        <v>70</v>
      </c>
      <c r="G1341" s="72" t="s">
        <v>71</v>
      </c>
      <c r="H1341" s="72" t="s">
        <v>72</v>
      </c>
    </row>
    <row r="1342" spans="1:8" x14ac:dyDescent="0.25">
      <c r="A1342" s="43" t="s">
        <v>3415</v>
      </c>
      <c r="B1342" s="43" t="s">
        <v>79</v>
      </c>
      <c r="C1342" s="46">
        <v>96</v>
      </c>
      <c r="D1342" s="46">
        <v>2303683.1405303692</v>
      </c>
      <c r="E1342" s="43">
        <v>92147.325621214768</v>
      </c>
      <c r="F1342" s="43" t="s">
        <v>87</v>
      </c>
      <c r="G1342" s="43" t="s">
        <v>71</v>
      </c>
      <c r="H1342" s="43" t="s">
        <v>88</v>
      </c>
    </row>
    <row r="1343" spans="1:8" x14ac:dyDescent="0.25">
      <c r="A1343" s="43" t="s">
        <v>1414</v>
      </c>
      <c r="B1343" s="43" t="s">
        <v>176</v>
      </c>
      <c r="C1343" s="46">
        <v>96</v>
      </c>
      <c r="D1343" s="46">
        <v>2709462.9294137023</v>
      </c>
      <c r="E1343" s="43">
        <v>243851.66364723319</v>
      </c>
      <c r="F1343" s="43" t="s">
        <v>70</v>
      </c>
      <c r="G1343" s="43" t="s">
        <v>71</v>
      </c>
      <c r="H1343" s="43" t="s">
        <v>72</v>
      </c>
    </row>
    <row r="1344" spans="1:8" x14ac:dyDescent="0.25">
      <c r="A1344" s="43" t="s">
        <v>3091</v>
      </c>
      <c r="B1344" s="43" t="s">
        <v>176</v>
      </c>
      <c r="C1344" s="46">
        <v>96</v>
      </c>
      <c r="D1344" s="46">
        <v>2226139.3188284384</v>
      </c>
      <c r="E1344" s="43">
        <v>111306.96594142192</v>
      </c>
      <c r="F1344" s="43" t="s">
        <v>78</v>
      </c>
      <c r="G1344" s="43" t="s">
        <v>71</v>
      </c>
      <c r="H1344" s="43" t="s">
        <v>72</v>
      </c>
    </row>
    <row r="1345" spans="1:8" x14ac:dyDescent="0.25">
      <c r="A1345" s="43" t="s">
        <v>2032</v>
      </c>
      <c r="B1345" s="43" t="s">
        <v>77</v>
      </c>
      <c r="C1345" s="46">
        <v>96</v>
      </c>
      <c r="D1345" s="46">
        <v>2317686.7269556825</v>
      </c>
      <c r="E1345" s="43">
        <v>185414.93815645459</v>
      </c>
      <c r="F1345" s="43" t="s">
        <v>106</v>
      </c>
      <c r="G1345" s="43" t="s">
        <v>71</v>
      </c>
      <c r="H1345" s="43" t="s">
        <v>72</v>
      </c>
    </row>
    <row r="1346" spans="1:8" x14ac:dyDescent="0.25">
      <c r="A1346" s="72" t="s">
        <v>2402</v>
      </c>
      <c r="B1346" s="72" t="s">
        <v>155</v>
      </c>
      <c r="C1346" s="73">
        <v>96</v>
      </c>
      <c r="D1346" s="73">
        <v>2604429.176881968</v>
      </c>
      <c r="E1346" s="72">
        <v>156265.75061291808</v>
      </c>
      <c r="F1346" s="72" t="s">
        <v>87</v>
      </c>
      <c r="G1346" s="72" t="s">
        <v>71</v>
      </c>
      <c r="H1346" s="72" t="s">
        <v>88</v>
      </c>
    </row>
    <row r="1347" spans="1:8" x14ac:dyDescent="0.25">
      <c r="A1347" s="43" t="s">
        <v>1036</v>
      </c>
      <c r="B1347" s="43" t="s">
        <v>73</v>
      </c>
      <c r="C1347" s="46">
        <v>96</v>
      </c>
      <c r="D1347" s="46">
        <v>2914428.6658085994</v>
      </c>
      <c r="E1347" s="43">
        <v>291442.86658085993</v>
      </c>
      <c r="F1347" s="43" t="s">
        <v>87</v>
      </c>
      <c r="G1347" s="43" t="s">
        <v>71</v>
      </c>
      <c r="H1347" s="43" t="s">
        <v>88</v>
      </c>
    </row>
    <row r="1348" spans="1:8" x14ac:dyDescent="0.25">
      <c r="A1348" s="43" t="s">
        <v>2893</v>
      </c>
      <c r="B1348" s="43" t="s">
        <v>155</v>
      </c>
      <c r="C1348" s="46">
        <v>96</v>
      </c>
      <c r="D1348" s="46">
        <v>2481751.0056866845</v>
      </c>
      <c r="E1348" s="43">
        <v>124087.55028433423</v>
      </c>
      <c r="F1348" s="43" t="s">
        <v>87</v>
      </c>
      <c r="G1348" s="43" t="s">
        <v>71</v>
      </c>
      <c r="H1348" s="43" t="s">
        <v>88</v>
      </c>
    </row>
    <row r="1349" spans="1:8" x14ac:dyDescent="0.25">
      <c r="A1349" s="43" t="s">
        <v>1114</v>
      </c>
      <c r="B1349" s="43" t="s">
        <v>85</v>
      </c>
      <c r="C1349" s="46">
        <v>96</v>
      </c>
      <c r="D1349" s="46">
        <v>2798546.83881333</v>
      </c>
      <c r="E1349" s="43">
        <v>279854.68388133304</v>
      </c>
      <c r="F1349" s="43" t="s">
        <v>70</v>
      </c>
      <c r="G1349" s="43" t="s">
        <v>71</v>
      </c>
      <c r="H1349" s="43" t="s">
        <v>72</v>
      </c>
    </row>
    <row r="1350" spans="1:8" x14ac:dyDescent="0.25">
      <c r="A1350" s="43" t="s">
        <v>660</v>
      </c>
      <c r="B1350" s="43" t="s">
        <v>97</v>
      </c>
      <c r="C1350" s="46">
        <v>96</v>
      </c>
      <c r="D1350" s="46">
        <v>2953015.8600372076</v>
      </c>
      <c r="E1350" s="43">
        <v>354361.90320446499</v>
      </c>
      <c r="F1350" s="43" t="s">
        <v>70</v>
      </c>
      <c r="G1350" s="43" t="s">
        <v>71</v>
      </c>
      <c r="H1350" s="43" t="s">
        <v>72</v>
      </c>
    </row>
    <row r="1351" spans="1:8" x14ac:dyDescent="0.25">
      <c r="A1351" s="72" t="s">
        <v>1115</v>
      </c>
      <c r="B1351" s="72" t="s">
        <v>75</v>
      </c>
      <c r="C1351" s="73">
        <v>96</v>
      </c>
      <c r="D1351" s="73">
        <v>2798546.83881333</v>
      </c>
      <c r="E1351" s="72">
        <v>279854.68388133304</v>
      </c>
      <c r="F1351" s="72" t="s">
        <v>70</v>
      </c>
      <c r="G1351" s="72" t="s">
        <v>71</v>
      </c>
      <c r="H1351" s="72" t="s">
        <v>72</v>
      </c>
    </row>
    <row r="1352" spans="1:8" x14ac:dyDescent="0.25">
      <c r="A1352" s="72" t="s">
        <v>2622</v>
      </c>
      <c r="B1352" s="72" t="s">
        <v>110</v>
      </c>
      <c r="C1352" s="73">
        <v>96</v>
      </c>
      <c r="D1352" s="73">
        <v>2348134.449513623</v>
      </c>
      <c r="E1352" s="72">
        <v>140888.0669708174</v>
      </c>
      <c r="F1352" s="72" t="s">
        <v>70</v>
      </c>
      <c r="G1352" s="72" t="s">
        <v>71</v>
      </c>
      <c r="H1352" s="72" t="s">
        <v>72</v>
      </c>
    </row>
    <row r="1353" spans="1:8" x14ac:dyDescent="0.25">
      <c r="A1353" s="72" t="s">
        <v>1781</v>
      </c>
      <c r="B1353" s="72" t="s">
        <v>110</v>
      </c>
      <c r="C1353" s="73">
        <v>96</v>
      </c>
      <c r="D1353" s="73">
        <v>2608914.5088159549</v>
      </c>
      <c r="E1353" s="72">
        <v>208713.16070527639</v>
      </c>
      <c r="F1353" s="72" t="s">
        <v>70</v>
      </c>
      <c r="G1353" s="72" t="s">
        <v>71</v>
      </c>
      <c r="H1353" s="72" t="s">
        <v>72</v>
      </c>
    </row>
    <row r="1354" spans="1:8" x14ac:dyDescent="0.25">
      <c r="A1354" s="43" t="s">
        <v>1116</v>
      </c>
      <c r="B1354" s="43" t="s">
        <v>105</v>
      </c>
      <c r="C1354" s="46">
        <v>96</v>
      </c>
      <c r="D1354" s="46">
        <v>2798546.83881333</v>
      </c>
      <c r="E1354" s="43">
        <v>279854.68388133304</v>
      </c>
      <c r="F1354" s="43" t="s">
        <v>70</v>
      </c>
      <c r="G1354" s="43" t="s">
        <v>71</v>
      </c>
      <c r="H1354" s="43" t="s">
        <v>72</v>
      </c>
    </row>
    <row r="1355" spans="1:8" x14ac:dyDescent="0.25">
      <c r="A1355" s="72" t="s">
        <v>1475</v>
      </c>
      <c r="B1355" s="72" t="s">
        <v>105</v>
      </c>
      <c r="C1355" s="73">
        <v>96</v>
      </c>
      <c r="D1355" s="73">
        <v>2383053.0542417238</v>
      </c>
      <c r="E1355" s="72">
        <v>238305.3054241724</v>
      </c>
      <c r="F1355" s="72" t="s">
        <v>106</v>
      </c>
      <c r="G1355" s="72" t="s">
        <v>71</v>
      </c>
      <c r="H1355" s="72" t="s">
        <v>72</v>
      </c>
    </row>
    <row r="1356" spans="1:8" x14ac:dyDescent="0.25">
      <c r="A1356" s="43" t="s">
        <v>1030</v>
      </c>
      <c r="B1356" s="43" t="s">
        <v>105</v>
      </c>
      <c r="C1356" s="46">
        <v>96</v>
      </c>
      <c r="D1356" s="46">
        <v>2436409.4688990032</v>
      </c>
      <c r="E1356" s="43">
        <v>292369.13626788039</v>
      </c>
      <c r="F1356" s="43" t="s">
        <v>106</v>
      </c>
      <c r="G1356" s="43" t="s">
        <v>71</v>
      </c>
      <c r="H1356" s="43" t="s">
        <v>72</v>
      </c>
    </row>
    <row r="1357" spans="1:8" x14ac:dyDescent="0.25">
      <c r="A1357" s="43" t="s">
        <v>3143</v>
      </c>
      <c r="B1357" s="43" t="s">
        <v>112</v>
      </c>
      <c r="C1357" s="46">
        <v>96</v>
      </c>
      <c r="D1357" s="46">
        <v>2150500.1214635684</v>
      </c>
      <c r="E1357" s="43">
        <v>107525.00607317843</v>
      </c>
      <c r="F1357" s="43" t="s">
        <v>70</v>
      </c>
      <c r="G1357" s="43" t="s">
        <v>71</v>
      </c>
      <c r="H1357" s="43" t="s">
        <v>72</v>
      </c>
    </row>
    <row r="1358" spans="1:8" x14ac:dyDescent="0.25">
      <c r="A1358" s="72" t="s">
        <v>614</v>
      </c>
      <c r="B1358" s="72" t="s">
        <v>105</v>
      </c>
      <c r="C1358" s="73">
        <v>96</v>
      </c>
      <c r="D1358" s="73">
        <v>3022583.2088406668</v>
      </c>
      <c r="E1358" s="72">
        <v>362709.98506088002</v>
      </c>
      <c r="F1358" s="72" t="s">
        <v>87</v>
      </c>
      <c r="G1358" s="72" t="s">
        <v>71</v>
      </c>
      <c r="H1358" s="72" t="s">
        <v>88</v>
      </c>
    </row>
    <row r="1359" spans="1:8" x14ac:dyDescent="0.25">
      <c r="A1359" s="43" t="s">
        <v>1476</v>
      </c>
      <c r="B1359" s="43" t="s">
        <v>75</v>
      </c>
      <c r="C1359" s="46">
        <v>96</v>
      </c>
      <c r="D1359" s="46">
        <v>2383053.0542417238</v>
      </c>
      <c r="E1359" s="43">
        <v>238305.3054241724</v>
      </c>
      <c r="F1359" s="43" t="s">
        <v>106</v>
      </c>
      <c r="G1359" s="43" t="s">
        <v>71</v>
      </c>
      <c r="H1359" s="43" t="s">
        <v>72</v>
      </c>
    </row>
    <row r="1360" spans="1:8" x14ac:dyDescent="0.25">
      <c r="A1360" s="43" t="s">
        <v>862</v>
      </c>
      <c r="B1360" s="43" t="s">
        <v>211</v>
      </c>
      <c r="C1360" s="46">
        <v>96</v>
      </c>
      <c r="D1360" s="46">
        <v>2879104.1305016</v>
      </c>
      <c r="E1360" s="43">
        <v>316701.45435517601</v>
      </c>
      <c r="F1360" s="43" t="s">
        <v>70</v>
      </c>
      <c r="G1360" s="43" t="s">
        <v>71</v>
      </c>
      <c r="H1360" s="43" t="s">
        <v>72</v>
      </c>
    </row>
    <row r="1361" spans="1:8" x14ac:dyDescent="0.25">
      <c r="A1361" s="72" t="s">
        <v>2033</v>
      </c>
      <c r="B1361" s="72" t="s">
        <v>115</v>
      </c>
      <c r="C1361" s="73">
        <v>96</v>
      </c>
      <c r="D1361" s="73">
        <v>2317686.7269556825</v>
      </c>
      <c r="E1361" s="72">
        <v>185414.93815645459</v>
      </c>
      <c r="F1361" s="72" t="s">
        <v>106</v>
      </c>
      <c r="G1361" s="72" t="s">
        <v>71</v>
      </c>
      <c r="H1361" s="72" t="s">
        <v>72</v>
      </c>
    </row>
    <row r="1362" spans="1:8" x14ac:dyDescent="0.25">
      <c r="A1362" s="43" t="s">
        <v>2623</v>
      </c>
      <c r="B1362" s="43" t="s">
        <v>97</v>
      </c>
      <c r="C1362" s="46">
        <v>96</v>
      </c>
      <c r="D1362" s="46">
        <v>2348134.449513623</v>
      </c>
      <c r="E1362" s="43">
        <v>140888.0669708174</v>
      </c>
      <c r="F1362" s="43" t="s">
        <v>70</v>
      </c>
      <c r="G1362" s="43" t="s">
        <v>71</v>
      </c>
      <c r="H1362" s="43" t="s">
        <v>72</v>
      </c>
    </row>
    <row r="1363" spans="1:8" x14ac:dyDescent="0.25">
      <c r="A1363" s="72" t="s">
        <v>1415</v>
      </c>
      <c r="B1363" s="72" t="s">
        <v>97</v>
      </c>
      <c r="C1363" s="73">
        <v>96</v>
      </c>
      <c r="D1363" s="73">
        <v>2709462.9294137023</v>
      </c>
      <c r="E1363" s="72">
        <v>243851.66364723319</v>
      </c>
      <c r="F1363" s="72" t="s">
        <v>70</v>
      </c>
      <c r="G1363" s="72" t="s">
        <v>71</v>
      </c>
      <c r="H1363" s="72" t="s">
        <v>72</v>
      </c>
    </row>
    <row r="1364" spans="1:8" x14ac:dyDescent="0.25">
      <c r="A1364" s="43" t="s">
        <v>1416</v>
      </c>
      <c r="B1364" s="43" t="s">
        <v>97</v>
      </c>
      <c r="C1364" s="46">
        <v>96</v>
      </c>
      <c r="D1364" s="46">
        <v>2709462.9294137023</v>
      </c>
      <c r="E1364" s="43">
        <v>243851.66364723319</v>
      </c>
      <c r="F1364" s="43" t="s">
        <v>70</v>
      </c>
      <c r="G1364" s="43" t="s">
        <v>71</v>
      </c>
      <c r="H1364" s="43" t="s">
        <v>72</v>
      </c>
    </row>
    <row r="1365" spans="1:8" x14ac:dyDescent="0.25">
      <c r="A1365" s="43" t="s">
        <v>666</v>
      </c>
      <c r="B1365" s="43" t="s">
        <v>83</v>
      </c>
      <c r="C1365" s="46">
        <v>96</v>
      </c>
      <c r="D1365" s="46">
        <v>2934321.2757882718</v>
      </c>
      <c r="E1365" s="43">
        <v>352118.55309459259</v>
      </c>
      <c r="F1365" s="43" t="s">
        <v>84</v>
      </c>
      <c r="G1365" s="43" t="s">
        <v>71</v>
      </c>
      <c r="H1365" s="43" t="s">
        <v>72</v>
      </c>
    </row>
    <row r="1366" spans="1:8" x14ac:dyDescent="0.25">
      <c r="A1366" s="43" t="s">
        <v>615</v>
      </c>
      <c r="B1366" s="43" t="s">
        <v>93</v>
      </c>
      <c r="C1366" s="46">
        <v>96</v>
      </c>
      <c r="D1366" s="46">
        <v>3022583.2088406668</v>
      </c>
      <c r="E1366" s="43">
        <v>362709.98506088002</v>
      </c>
      <c r="F1366" s="43" t="s">
        <v>87</v>
      </c>
      <c r="G1366" s="43" t="s">
        <v>71</v>
      </c>
      <c r="H1366" s="43" t="s">
        <v>88</v>
      </c>
    </row>
    <row r="1367" spans="1:8" x14ac:dyDescent="0.25">
      <c r="A1367" s="43" t="s">
        <v>2060</v>
      </c>
      <c r="B1367" s="43" t="s">
        <v>367</v>
      </c>
      <c r="C1367" s="46">
        <v>95</v>
      </c>
      <c r="D1367" s="46">
        <v>2294919.8201897908</v>
      </c>
      <c r="E1367" s="43">
        <v>183593.58561518326</v>
      </c>
      <c r="F1367" s="43" t="s">
        <v>106</v>
      </c>
      <c r="G1367" s="43" t="s">
        <v>71</v>
      </c>
      <c r="H1367" s="43" t="s">
        <v>72</v>
      </c>
    </row>
    <row r="1368" spans="1:8" x14ac:dyDescent="0.25">
      <c r="A1368" s="72" t="s">
        <v>883</v>
      </c>
      <c r="B1368" s="72" t="s">
        <v>107</v>
      </c>
      <c r="C1368" s="73">
        <v>95</v>
      </c>
      <c r="D1368" s="73">
        <v>2847711.9522431297</v>
      </c>
      <c r="E1368" s="72">
        <v>313248.31474674429</v>
      </c>
      <c r="F1368" s="72" t="s">
        <v>70</v>
      </c>
      <c r="G1368" s="72" t="s">
        <v>71</v>
      </c>
      <c r="H1368" s="72" t="s">
        <v>72</v>
      </c>
    </row>
    <row r="1369" spans="1:8" x14ac:dyDescent="0.25">
      <c r="A1369" s="72" t="s">
        <v>671</v>
      </c>
      <c r="B1369" s="72" t="s">
        <v>97</v>
      </c>
      <c r="C1369" s="73">
        <v>95</v>
      </c>
      <c r="D1369" s="73">
        <v>2920853.7679294078</v>
      </c>
      <c r="E1369" s="72">
        <v>350502.45215152903</v>
      </c>
      <c r="F1369" s="72" t="s">
        <v>70</v>
      </c>
      <c r="G1369" s="72" t="s">
        <v>71</v>
      </c>
      <c r="H1369" s="72" t="s">
        <v>72</v>
      </c>
    </row>
    <row r="1370" spans="1:8" x14ac:dyDescent="0.25">
      <c r="A1370" s="43" t="s">
        <v>1073</v>
      </c>
      <c r="B1370" s="43" t="s">
        <v>77</v>
      </c>
      <c r="C1370" s="46">
        <v>95</v>
      </c>
      <c r="D1370" s="46">
        <v>2859251.6996241617</v>
      </c>
      <c r="E1370" s="43">
        <v>285925.16996241617</v>
      </c>
      <c r="F1370" s="43" t="s">
        <v>78</v>
      </c>
      <c r="G1370" s="43" t="s">
        <v>71</v>
      </c>
      <c r="H1370" s="43" t="s">
        <v>72</v>
      </c>
    </row>
    <row r="1371" spans="1:8" x14ac:dyDescent="0.25">
      <c r="A1371" s="72" t="s">
        <v>3174</v>
      </c>
      <c r="B1371" s="72" t="s">
        <v>323</v>
      </c>
      <c r="C1371" s="73">
        <v>95</v>
      </c>
      <c r="D1371" s="73">
        <v>2126697.5682992437</v>
      </c>
      <c r="E1371" s="72">
        <v>106334.87841496219</v>
      </c>
      <c r="F1371" s="72" t="s">
        <v>70</v>
      </c>
      <c r="G1371" s="72" t="s">
        <v>71</v>
      </c>
      <c r="H1371" s="72" t="s">
        <v>72</v>
      </c>
    </row>
    <row r="1372" spans="1:8" x14ac:dyDescent="0.25">
      <c r="A1372" s="43" t="s">
        <v>3175</v>
      </c>
      <c r="B1372" s="43" t="s">
        <v>211</v>
      </c>
      <c r="C1372" s="46">
        <v>95</v>
      </c>
      <c r="D1372" s="46">
        <v>2126697.5682992437</v>
      </c>
      <c r="E1372" s="43">
        <v>106334.87841496219</v>
      </c>
      <c r="F1372" s="43" t="s">
        <v>70</v>
      </c>
      <c r="G1372" s="43" t="s">
        <v>71</v>
      </c>
      <c r="H1372" s="43" t="s">
        <v>72</v>
      </c>
    </row>
    <row r="1373" spans="1:8" x14ac:dyDescent="0.25">
      <c r="A1373" s="43" t="s">
        <v>672</v>
      </c>
      <c r="B1373" s="43" t="s">
        <v>97</v>
      </c>
      <c r="C1373" s="46">
        <v>95</v>
      </c>
      <c r="D1373" s="46">
        <v>2920853.7679294078</v>
      </c>
      <c r="E1373" s="43">
        <v>350502.45215152903</v>
      </c>
      <c r="F1373" s="43" t="s">
        <v>70</v>
      </c>
      <c r="G1373" s="43" t="s">
        <v>71</v>
      </c>
      <c r="H1373" s="43" t="s">
        <v>72</v>
      </c>
    </row>
    <row r="1374" spans="1:8" x14ac:dyDescent="0.25">
      <c r="A1374" s="72" t="s">
        <v>1143</v>
      </c>
      <c r="B1374" s="72" t="s">
        <v>112</v>
      </c>
      <c r="C1374" s="73">
        <v>95</v>
      </c>
      <c r="D1374" s="73">
        <v>2767993.7990099457</v>
      </c>
      <c r="E1374" s="72">
        <v>276799.37990099459</v>
      </c>
      <c r="F1374" s="72" t="s">
        <v>70</v>
      </c>
      <c r="G1374" s="72" t="s">
        <v>71</v>
      </c>
      <c r="H1374" s="72" t="s">
        <v>72</v>
      </c>
    </row>
    <row r="1375" spans="1:8" x14ac:dyDescent="0.25">
      <c r="A1375" s="43" t="s">
        <v>2649</v>
      </c>
      <c r="B1375" s="43" t="s">
        <v>93</v>
      </c>
      <c r="C1375" s="46">
        <v>95</v>
      </c>
      <c r="D1375" s="46">
        <v>2322273.20543211</v>
      </c>
      <c r="E1375" s="43">
        <v>139336.39232592663</v>
      </c>
      <c r="F1375" s="43" t="s">
        <v>70</v>
      </c>
      <c r="G1375" s="43" t="s">
        <v>71</v>
      </c>
      <c r="H1375" s="43" t="s">
        <v>72</v>
      </c>
    </row>
    <row r="1376" spans="1:8" x14ac:dyDescent="0.25">
      <c r="A1376" s="72" t="s">
        <v>2650</v>
      </c>
      <c r="B1376" s="72" t="s">
        <v>323</v>
      </c>
      <c r="C1376" s="73">
        <v>95</v>
      </c>
      <c r="D1376" s="73">
        <v>2322273.20543211</v>
      </c>
      <c r="E1376" s="72">
        <v>139336.39232592663</v>
      </c>
      <c r="F1376" s="72" t="s">
        <v>70</v>
      </c>
      <c r="G1376" s="72" t="s">
        <v>71</v>
      </c>
      <c r="H1376" s="72" t="s">
        <v>72</v>
      </c>
    </row>
    <row r="1377" spans="1:8" x14ac:dyDescent="0.25">
      <c r="A1377" s="43" t="s">
        <v>2651</v>
      </c>
      <c r="B1377" s="43" t="s">
        <v>73</v>
      </c>
      <c r="C1377" s="46">
        <v>95</v>
      </c>
      <c r="D1377" s="46">
        <v>2322273.20543211</v>
      </c>
      <c r="E1377" s="43">
        <v>139336.39232592663</v>
      </c>
      <c r="F1377" s="43" t="s">
        <v>70</v>
      </c>
      <c r="G1377" s="43" t="s">
        <v>71</v>
      </c>
      <c r="H1377" s="43" t="s">
        <v>72</v>
      </c>
    </row>
    <row r="1378" spans="1:8" x14ac:dyDescent="0.25">
      <c r="A1378" s="72" t="s">
        <v>2652</v>
      </c>
      <c r="B1378" s="72" t="s">
        <v>110</v>
      </c>
      <c r="C1378" s="73">
        <v>95</v>
      </c>
      <c r="D1378" s="73">
        <v>2322273.20543211</v>
      </c>
      <c r="E1378" s="72">
        <v>139336.39232592663</v>
      </c>
      <c r="F1378" s="72" t="s">
        <v>70</v>
      </c>
      <c r="G1378" s="72" t="s">
        <v>71</v>
      </c>
      <c r="H1378" s="72" t="s">
        <v>72</v>
      </c>
    </row>
    <row r="1379" spans="1:8" x14ac:dyDescent="0.25">
      <c r="A1379" s="43" t="s">
        <v>2899</v>
      </c>
      <c r="B1379" s="43" t="s">
        <v>265</v>
      </c>
      <c r="C1379" s="46">
        <v>95</v>
      </c>
      <c r="D1379" s="46">
        <v>2060520.4936726722</v>
      </c>
      <c r="E1379" s="43">
        <v>123631.22962036033</v>
      </c>
      <c r="F1379" s="43" t="s">
        <v>84</v>
      </c>
      <c r="G1379" s="43" t="s">
        <v>71</v>
      </c>
      <c r="H1379" s="43" t="s">
        <v>72</v>
      </c>
    </row>
    <row r="1380" spans="1:8" x14ac:dyDescent="0.25">
      <c r="A1380" s="72" t="s">
        <v>821</v>
      </c>
      <c r="B1380" s="72" t="s">
        <v>93</v>
      </c>
      <c r="C1380" s="73">
        <v>95</v>
      </c>
      <c r="D1380" s="73">
        <v>2941132.2540268977</v>
      </c>
      <c r="E1380" s="72">
        <v>323524.54794295877</v>
      </c>
      <c r="F1380" s="72" t="s">
        <v>87</v>
      </c>
      <c r="G1380" s="72" t="s">
        <v>71</v>
      </c>
      <c r="H1380" s="72" t="s">
        <v>88</v>
      </c>
    </row>
    <row r="1381" spans="1:8" x14ac:dyDescent="0.25">
      <c r="A1381" s="72" t="s">
        <v>485</v>
      </c>
      <c r="B1381" s="72" t="s">
        <v>103</v>
      </c>
      <c r="C1381" s="73">
        <v>95</v>
      </c>
      <c r="D1381" s="73">
        <v>2988693.2521737693</v>
      </c>
      <c r="E1381" s="72">
        <v>388530.12278259004</v>
      </c>
      <c r="F1381" s="72" t="s">
        <v>70</v>
      </c>
      <c r="G1381" s="72" t="s">
        <v>71</v>
      </c>
      <c r="H1381" s="72" t="s">
        <v>72</v>
      </c>
    </row>
    <row r="1382" spans="1:8" x14ac:dyDescent="0.25">
      <c r="A1382" s="43" t="s">
        <v>822</v>
      </c>
      <c r="B1382" s="43" t="s">
        <v>202</v>
      </c>
      <c r="C1382" s="46">
        <v>95</v>
      </c>
      <c r="D1382" s="46">
        <v>2941132.2540268977</v>
      </c>
      <c r="E1382" s="43">
        <v>323524.54794295877</v>
      </c>
      <c r="F1382" s="43" t="s">
        <v>87</v>
      </c>
      <c r="G1382" s="43" t="s">
        <v>71</v>
      </c>
      <c r="H1382" s="43" t="s">
        <v>88</v>
      </c>
    </row>
    <row r="1383" spans="1:8" x14ac:dyDescent="0.25">
      <c r="A1383" s="72" t="s">
        <v>2900</v>
      </c>
      <c r="B1383" s="72" t="s">
        <v>77</v>
      </c>
      <c r="C1383" s="73">
        <v>95</v>
      </c>
      <c r="D1383" s="73">
        <v>2060520.4936726722</v>
      </c>
      <c r="E1383" s="72">
        <v>123631.22962036033</v>
      </c>
      <c r="F1383" s="72" t="s">
        <v>84</v>
      </c>
      <c r="G1383" s="72" t="s">
        <v>71</v>
      </c>
      <c r="H1383" s="72" t="s">
        <v>72</v>
      </c>
    </row>
    <row r="1384" spans="1:8" x14ac:dyDescent="0.25">
      <c r="A1384" s="72" t="s">
        <v>1202</v>
      </c>
      <c r="B1384" s="72" t="s">
        <v>77</v>
      </c>
      <c r="C1384" s="73">
        <v>95</v>
      </c>
      <c r="D1384" s="73">
        <v>2692567.3047141866</v>
      </c>
      <c r="E1384" s="72">
        <v>269256.73047141865</v>
      </c>
      <c r="F1384" s="72" t="s">
        <v>84</v>
      </c>
      <c r="G1384" s="72" t="s">
        <v>71</v>
      </c>
      <c r="H1384" s="72" t="s">
        <v>72</v>
      </c>
    </row>
    <row r="1385" spans="1:8" x14ac:dyDescent="0.25">
      <c r="A1385" s="43" t="s">
        <v>1803</v>
      </c>
      <c r="B1385" s="43" t="s">
        <v>323</v>
      </c>
      <c r="C1385" s="46">
        <v>95</v>
      </c>
      <c r="D1385" s="46">
        <v>2580336.8057833766</v>
      </c>
      <c r="E1385" s="43">
        <v>206426.94446267013</v>
      </c>
      <c r="F1385" s="43" t="s">
        <v>70</v>
      </c>
      <c r="G1385" s="43" t="s">
        <v>71</v>
      </c>
      <c r="H1385" s="43" t="s">
        <v>72</v>
      </c>
    </row>
    <row r="1386" spans="1:8" x14ac:dyDescent="0.25">
      <c r="A1386" s="43" t="s">
        <v>884</v>
      </c>
      <c r="B1386" s="43" t="s">
        <v>74</v>
      </c>
      <c r="C1386" s="46">
        <v>95</v>
      </c>
      <c r="D1386" s="46">
        <v>2847711.9522431297</v>
      </c>
      <c r="E1386" s="43">
        <v>313248.31474674429</v>
      </c>
      <c r="F1386" s="43" t="s">
        <v>70</v>
      </c>
      <c r="G1386" s="43" t="s">
        <v>71</v>
      </c>
      <c r="H1386" s="43" t="s">
        <v>72</v>
      </c>
    </row>
    <row r="1387" spans="1:8" x14ac:dyDescent="0.25">
      <c r="A1387" s="43" t="s">
        <v>415</v>
      </c>
      <c r="B1387" s="43" t="s">
        <v>83</v>
      </c>
      <c r="C1387" s="46">
        <v>95</v>
      </c>
      <c r="D1387" s="46">
        <v>3083193.7164188242</v>
      </c>
      <c r="E1387" s="43">
        <v>431647.12029863533</v>
      </c>
      <c r="F1387" s="43" t="s">
        <v>84</v>
      </c>
      <c r="G1387" s="43" t="s">
        <v>71</v>
      </c>
      <c r="H1387" s="43" t="s">
        <v>72</v>
      </c>
    </row>
    <row r="1388" spans="1:8" x14ac:dyDescent="0.25">
      <c r="A1388" s="43" t="s">
        <v>2010</v>
      </c>
      <c r="B1388" s="43" t="s">
        <v>93</v>
      </c>
      <c r="C1388" s="46">
        <v>95</v>
      </c>
      <c r="D1388" s="46">
        <v>2674043.3034836282</v>
      </c>
      <c r="E1388" s="43">
        <v>187183.03124385394</v>
      </c>
      <c r="F1388" s="43" t="s">
        <v>87</v>
      </c>
      <c r="G1388" s="43" t="s">
        <v>71</v>
      </c>
      <c r="H1388" s="43" t="s">
        <v>88</v>
      </c>
    </row>
    <row r="1389" spans="1:8" x14ac:dyDescent="0.25">
      <c r="A1389" s="72" t="s">
        <v>1804</v>
      </c>
      <c r="B1389" s="72" t="s">
        <v>323</v>
      </c>
      <c r="C1389" s="73">
        <v>95</v>
      </c>
      <c r="D1389" s="73">
        <v>2580336.8057833766</v>
      </c>
      <c r="E1389" s="72">
        <v>206426.94446267013</v>
      </c>
      <c r="F1389" s="72" t="s">
        <v>70</v>
      </c>
      <c r="G1389" s="72" t="s">
        <v>71</v>
      </c>
      <c r="H1389" s="72" t="s">
        <v>72</v>
      </c>
    </row>
    <row r="1390" spans="1:8" x14ac:dyDescent="0.25">
      <c r="A1390" s="72" t="s">
        <v>3458</v>
      </c>
      <c r="B1390" s="72" t="s">
        <v>77</v>
      </c>
      <c r="C1390" s="73">
        <v>94</v>
      </c>
      <c r="D1390" s="73">
        <v>2258065.8744659596</v>
      </c>
      <c r="E1390" s="72">
        <v>90322.63497863838</v>
      </c>
      <c r="F1390" s="72" t="s">
        <v>87</v>
      </c>
      <c r="G1390" s="72" t="s">
        <v>71</v>
      </c>
      <c r="H1390" s="72" t="s">
        <v>88</v>
      </c>
    </row>
    <row r="1391" spans="1:8" x14ac:dyDescent="0.25">
      <c r="A1391" s="43" t="s">
        <v>1169</v>
      </c>
      <c r="B1391" s="43" t="s">
        <v>81</v>
      </c>
      <c r="C1391" s="46">
        <v>94</v>
      </c>
      <c r="D1391" s="46">
        <v>2737471.5467269849</v>
      </c>
      <c r="E1391" s="43">
        <v>273747.15467269853</v>
      </c>
      <c r="F1391" s="43" t="s">
        <v>70</v>
      </c>
      <c r="G1391" s="43" t="s">
        <v>71</v>
      </c>
      <c r="H1391" s="43" t="s">
        <v>72</v>
      </c>
    </row>
    <row r="1392" spans="1:8" x14ac:dyDescent="0.25">
      <c r="A1392" s="72" t="s">
        <v>1270</v>
      </c>
      <c r="B1392" s="72" t="s">
        <v>85</v>
      </c>
      <c r="C1392" s="73">
        <v>94</v>
      </c>
      <c r="D1392" s="73">
        <v>2363416.0420692349</v>
      </c>
      <c r="E1392" s="72">
        <v>259975.76462761586</v>
      </c>
      <c r="F1392" s="72" t="s">
        <v>106</v>
      </c>
      <c r="G1392" s="72" t="s">
        <v>71</v>
      </c>
      <c r="H1392" s="72" t="s">
        <v>72</v>
      </c>
    </row>
    <row r="1393" spans="1:8" x14ac:dyDescent="0.25">
      <c r="A1393" s="43" t="s">
        <v>4217</v>
      </c>
      <c r="B1393" s="43" t="s">
        <v>85</v>
      </c>
      <c r="C1393" s="46">
        <v>94</v>
      </c>
      <c r="D1393" s="46">
        <v>1946641.2462098615</v>
      </c>
      <c r="E1393" s="43">
        <v>58399.237386295856</v>
      </c>
      <c r="F1393" s="43" t="s">
        <v>106</v>
      </c>
      <c r="G1393" s="43" t="s">
        <v>71</v>
      </c>
      <c r="H1393" s="43" t="s">
        <v>72</v>
      </c>
    </row>
    <row r="1394" spans="1:8" x14ac:dyDescent="0.25">
      <c r="A1394" s="72" t="s">
        <v>841</v>
      </c>
      <c r="B1394" s="72" t="s">
        <v>93</v>
      </c>
      <c r="C1394" s="73">
        <v>94</v>
      </c>
      <c r="D1394" s="73">
        <v>2911361.5031921226</v>
      </c>
      <c r="E1394" s="72">
        <v>320249.76535113354</v>
      </c>
      <c r="F1394" s="72" t="s">
        <v>87</v>
      </c>
      <c r="G1394" s="72" t="s">
        <v>71</v>
      </c>
      <c r="H1394" s="72" t="s">
        <v>88</v>
      </c>
    </row>
    <row r="1395" spans="1:8" x14ac:dyDescent="0.25">
      <c r="A1395" s="43" t="s">
        <v>1825</v>
      </c>
      <c r="B1395" s="43" t="s">
        <v>323</v>
      </c>
      <c r="C1395" s="46">
        <v>94</v>
      </c>
      <c r="D1395" s="46">
        <v>2551789.8902712213</v>
      </c>
      <c r="E1395" s="43">
        <v>204143.19122169772</v>
      </c>
      <c r="F1395" s="43" t="s">
        <v>70</v>
      </c>
      <c r="G1395" s="43" t="s">
        <v>71</v>
      </c>
      <c r="H1395" s="43" t="s">
        <v>72</v>
      </c>
    </row>
    <row r="1396" spans="1:8" x14ac:dyDescent="0.25">
      <c r="A1396" s="43" t="s">
        <v>2391</v>
      </c>
      <c r="B1396" s="43" t="s">
        <v>232</v>
      </c>
      <c r="C1396" s="46">
        <v>94</v>
      </c>
      <c r="D1396" s="46">
        <v>2246721.5905142338</v>
      </c>
      <c r="E1396" s="43">
        <v>157270.51133599636</v>
      </c>
      <c r="F1396" s="43" t="s">
        <v>84</v>
      </c>
      <c r="G1396" s="43" t="s">
        <v>71</v>
      </c>
      <c r="H1396" s="43" t="s">
        <v>72</v>
      </c>
    </row>
    <row r="1397" spans="1:8" x14ac:dyDescent="0.25">
      <c r="A1397" s="43" t="s">
        <v>2036</v>
      </c>
      <c r="B1397" s="43" t="s">
        <v>124</v>
      </c>
      <c r="C1397" s="46">
        <v>94</v>
      </c>
      <c r="D1397" s="46">
        <v>2647084.0152861504</v>
      </c>
      <c r="E1397" s="43">
        <v>185295.8810700305</v>
      </c>
      <c r="F1397" s="43" t="s">
        <v>87</v>
      </c>
      <c r="G1397" s="43" t="s">
        <v>71</v>
      </c>
      <c r="H1397" s="43" t="s">
        <v>88</v>
      </c>
    </row>
    <row r="1398" spans="1:8" x14ac:dyDescent="0.25">
      <c r="A1398" s="72" t="s">
        <v>503</v>
      </c>
      <c r="B1398" s="72" t="s">
        <v>323</v>
      </c>
      <c r="C1398" s="73">
        <v>94</v>
      </c>
      <c r="D1398" s="73">
        <v>2955847.8477522414</v>
      </c>
      <c r="E1398" s="72">
        <v>384260.22020779143</v>
      </c>
      <c r="F1398" s="72" t="s">
        <v>70</v>
      </c>
      <c r="G1398" s="72" t="s">
        <v>71</v>
      </c>
      <c r="H1398" s="72" t="s">
        <v>72</v>
      </c>
    </row>
    <row r="1399" spans="1:8" x14ac:dyDescent="0.25">
      <c r="A1399" s="72" t="s">
        <v>691</v>
      </c>
      <c r="B1399" s="72" t="s">
        <v>77</v>
      </c>
      <c r="C1399" s="73">
        <v>94</v>
      </c>
      <c r="D1399" s="73">
        <v>2888722.463342031</v>
      </c>
      <c r="E1399" s="72">
        <v>346646.69560104382</v>
      </c>
      <c r="F1399" s="72" t="s">
        <v>70</v>
      </c>
      <c r="G1399" s="72" t="s">
        <v>71</v>
      </c>
      <c r="H1399" s="72" t="s">
        <v>72</v>
      </c>
    </row>
    <row r="1400" spans="1:8" x14ac:dyDescent="0.25">
      <c r="A1400" s="72" t="s">
        <v>1066</v>
      </c>
      <c r="B1400" s="72" t="s">
        <v>257</v>
      </c>
      <c r="C1400" s="73">
        <v>94</v>
      </c>
      <c r="D1400" s="73">
        <v>2388374.8622973687</v>
      </c>
      <c r="E1400" s="72">
        <v>286604.98347568425</v>
      </c>
      <c r="F1400" s="72" t="s">
        <v>106</v>
      </c>
      <c r="G1400" s="72" t="s">
        <v>71</v>
      </c>
      <c r="H1400" s="72" t="s">
        <v>72</v>
      </c>
    </row>
    <row r="1401" spans="1:8" x14ac:dyDescent="0.25">
      <c r="A1401" s="43" t="s">
        <v>902</v>
      </c>
      <c r="B1401" s="43" t="s">
        <v>85</v>
      </c>
      <c r="C1401" s="46">
        <v>94</v>
      </c>
      <c r="D1401" s="46">
        <v>2816350.5615050821</v>
      </c>
      <c r="E1401" s="43">
        <v>309798.56176555908</v>
      </c>
      <c r="F1401" s="43" t="s">
        <v>70</v>
      </c>
      <c r="G1401" s="43" t="s">
        <v>71</v>
      </c>
      <c r="H1401" s="43" t="s">
        <v>72</v>
      </c>
    </row>
    <row r="1402" spans="1:8" x14ac:dyDescent="0.25">
      <c r="A1402" s="43" t="s">
        <v>2401</v>
      </c>
      <c r="B1402" s="43" t="s">
        <v>554</v>
      </c>
      <c r="C1402" s="46">
        <v>94</v>
      </c>
      <c r="D1402" s="46">
        <v>2233427.5495127495</v>
      </c>
      <c r="E1402" s="43">
        <v>156339.92846589244</v>
      </c>
      <c r="F1402" s="43" t="s">
        <v>106</v>
      </c>
      <c r="G1402" s="43" t="s">
        <v>71</v>
      </c>
      <c r="H1402" s="43" t="s">
        <v>72</v>
      </c>
    </row>
    <row r="1403" spans="1:8" x14ac:dyDescent="0.25">
      <c r="A1403" s="72" t="s">
        <v>1755</v>
      </c>
      <c r="B1403" s="72" t="s">
        <v>73</v>
      </c>
      <c r="C1403" s="73">
        <v>94</v>
      </c>
      <c r="D1403" s="73">
        <v>2637040.0404713587</v>
      </c>
      <c r="E1403" s="72">
        <v>210963.20323770869</v>
      </c>
      <c r="F1403" s="72" t="s">
        <v>78</v>
      </c>
      <c r="G1403" s="72" t="s">
        <v>71</v>
      </c>
      <c r="H1403" s="72" t="s">
        <v>72</v>
      </c>
    </row>
    <row r="1404" spans="1:8" x14ac:dyDescent="0.25">
      <c r="A1404" s="72" t="s">
        <v>2209</v>
      </c>
      <c r="B1404" s="72" t="s">
        <v>105</v>
      </c>
      <c r="C1404" s="73">
        <v>94</v>
      </c>
      <c r="D1404" s="73">
        <v>2437163.1302645672</v>
      </c>
      <c r="E1404" s="72">
        <v>170601.4191185197</v>
      </c>
      <c r="F1404" s="72" t="s">
        <v>70</v>
      </c>
      <c r="G1404" s="72" t="s">
        <v>71</v>
      </c>
      <c r="H1404" s="72" t="s">
        <v>72</v>
      </c>
    </row>
    <row r="1405" spans="1:8" x14ac:dyDescent="0.25">
      <c r="A1405" s="72" t="s">
        <v>1826</v>
      </c>
      <c r="B1405" s="72" t="s">
        <v>211</v>
      </c>
      <c r="C1405" s="73">
        <v>94</v>
      </c>
      <c r="D1405" s="73">
        <v>2551789.8902712213</v>
      </c>
      <c r="E1405" s="72">
        <v>204143.19122169772</v>
      </c>
      <c r="F1405" s="72" t="s">
        <v>70</v>
      </c>
      <c r="G1405" s="72" t="s">
        <v>71</v>
      </c>
      <c r="H1405" s="72" t="s">
        <v>72</v>
      </c>
    </row>
    <row r="1406" spans="1:8" x14ac:dyDescent="0.25">
      <c r="A1406" s="72" t="s">
        <v>2682</v>
      </c>
      <c r="B1406" s="72" t="s">
        <v>303</v>
      </c>
      <c r="C1406" s="73">
        <v>94</v>
      </c>
      <c r="D1406" s="73">
        <v>2296442.7488710205</v>
      </c>
      <c r="E1406" s="72">
        <v>137786.56493226124</v>
      </c>
      <c r="F1406" s="72" t="s">
        <v>70</v>
      </c>
      <c r="G1406" s="72" t="s">
        <v>71</v>
      </c>
      <c r="H1406" s="72" t="s">
        <v>72</v>
      </c>
    </row>
    <row r="1407" spans="1:8" x14ac:dyDescent="0.25">
      <c r="A1407" s="72" t="s">
        <v>3188</v>
      </c>
      <c r="B1407" s="72" t="s">
        <v>97</v>
      </c>
      <c r="C1407" s="73">
        <v>94</v>
      </c>
      <c r="D1407" s="73">
        <v>2102925.802655342</v>
      </c>
      <c r="E1407" s="72">
        <v>105146.29013276711</v>
      </c>
      <c r="F1407" s="72" t="s">
        <v>70</v>
      </c>
      <c r="G1407" s="72" t="s">
        <v>71</v>
      </c>
      <c r="H1407" s="72" t="s">
        <v>72</v>
      </c>
    </row>
    <row r="1408" spans="1:8" x14ac:dyDescent="0.25">
      <c r="A1408" s="72" t="s">
        <v>1951</v>
      </c>
      <c r="B1408" s="72" t="s">
        <v>323</v>
      </c>
      <c r="C1408" s="73">
        <v>94</v>
      </c>
      <c r="D1408" s="73">
        <v>2407532.6544415718</v>
      </c>
      <c r="E1408" s="72">
        <v>192602.61235532575</v>
      </c>
      <c r="F1408" s="72" t="s">
        <v>84</v>
      </c>
      <c r="G1408" s="72" t="s">
        <v>71</v>
      </c>
      <c r="H1408" s="72" t="s">
        <v>72</v>
      </c>
    </row>
    <row r="1409" spans="1:8" x14ac:dyDescent="0.25">
      <c r="A1409" s="43" t="s">
        <v>1521</v>
      </c>
      <c r="B1409" s="43" t="s">
        <v>105</v>
      </c>
      <c r="C1409" s="46">
        <v>94</v>
      </c>
      <c r="D1409" s="46">
        <v>2336130.0396121158</v>
      </c>
      <c r="E1409" s="43">
        <v>233613.00396121159</v>
      </c>
      <c r="F1409" s="43" t="s">
        <v>106</v>
      </c>
      <c r="G1409" s="43" t="s">
        <v>71</v>
      </c>
      <c r="H1409" s="43" t="s">
        <v>72</v>
      </c>
    </row>
    <row r="1410" spans="1:8" x14ac:dyDescent="0.25">
      <c r="A1410" s="72" t="s">
        <v>3619</v>
      </c>
      <c r="B1410" s="72" t="s">
        <v>105</v>
      </c>
      <c r="C1410" s="73">
        <v>94</v>
      </c>
      <c r="D1410" s="73">
        <v>2058943.9074576607</v>
      </c>
      <c r="E1410" s="72">
        <v>82357.756298306427</v>
      </c>
      <c r="F1410" s="72" t="s">
        <v>106</v>
      </c>
      <c r="G1410" s="72" t="s">
        <v>71</v>
      </c>
      <c r="H1410" s="72" t="s">
        <v>72</v>
      </c>
    </row>
    <row r="1411" spans="1:8" x14ac:dyDescent="0.25">
      <c r="A1411" s="43" t="s">
        <v>2210</v>
      </c>
      <c r="B1411" s="43" t="s">
        <v>102</v>
      </c>
      <c r="C1411" s="46">
        <v>94</v>
      </c>
      <c r="D1411" s="46">
        <v>2437163.1302645672</v>
      </c>
      <c r="E1411" s="43">
        <v>170601.4191185197</v>
      </c>
      <c r="F1411" s="43" t="s">
        <v>70</v>
      </c>
      <c r="G1411" s="43" t="s">
        <v>71</v>
      </c>
      <c r="H1411" s="43" t="s">
        <v>72</v>
      </c>
    </row>
    <row r="1412" spans="1:8" x14ac:dyDescent="0.25">
      <c r="A1412" s="43" t="s">
        <v>2593</v>
      </c>
      <c r="B1412" s="43" t="s">
        <v>83</v>
      </c>
      <c r="C1412" s="46">
        <v>94</v>
      </c>
      <c r="D1412" s="46">
        <v>2375067.7162417616</v>
      </c>
      <c r="E1412" s="43">
        <v>142504.06297450571</v>
      </c>
      <c r="F1412" s="43" t="s">
        <v>78</v>
      </c>
      <c r="G1412" s="43" t="s">
        <v>71</v>
      </c>
      <c r="H1412" s="43" t="s">
        <v>72</v>
      </c>
    </row>
    <row r="1413" spans="1:8" x14ac:dyDescent="0.25">
      <c r="A1413" s="43" t="s">
        <v>504</v>
      </c>
      <c r="B1413" s="43" t="s">
        <v>179</v>
      </c>
      <c r="C1413" s="46">
        <v>94</v>
      </c>
      <c r="D1413" s="46">
        <v>2955847.8477522414</v>
      </c>
      <c r="E1413" s="43">
        <v>384260.22020779143</v>
      </c>
      <c r="F1413" s="43" t="s">
        <v>70</v>
      </c>
      <c r="G1413" s="43" t="s">
        <v>71</v>
      </c>
      <c r="H1413" s="43" t="s">
        <v>72</v>
      </c>
    </row>
    <row r="1414" spans="1:8" x14ac:dyDescent="0.25">
      <c r="A1414" s="72" t="s">
        <v>2781</v>
      </c>
      <c r="B1414" s="72" t="s">
        <v>127</v>
      </c>
      <c r="C1414" s="73">
        <v>94</v>
      </c>
      <c r="D1414" s="73">
        <v>2187945.7896947963</v>
      </c>
      <c r="E1414" s="72">
        <v>131276.7473816878</v>
      </c>
      <c r="F1414" s="72" t="s">
        <v>106</v>
      </c>
      <c r="G1414" s="72" t="s">
        <v>71</v>
      </c>
      <c r="H1414" s="72" t="s">
        <v>72</v>
      </c>
    </row>
    <row r="1415" spans="1:8" x14ac:dyDescent="0.25">
      <c r="A1415" s="43" t="s">
        <v>3189</v>
      </c>
      <c r="B1415" s="43" t="s">
        <v>102</v>
      </c>
      <c r="C1415" s="46">
        <v>94</v>
      </c>
      <c r="D1415" s="46">
        <v>2102925.802655342</v>
      </c>
      <c r="E1415" s="43">
        <v>105146.29013276711</v>
      </c>
      <c r="F1415" s="43" t="s">
        <v>70</v>
      </c>
      <c r="G1415" s="43" t="s">
        <v>71</v>
      </c>
      <c r="H1415" s="43" t="s">
        <v>72</v>
      </c>
    </row>
    <row r="1416" spans="1:8" x14ac:dyDescent="0.25">
      <c r="A1416" s="43" t="s">
        <v>3209</v>
      </c>
      <c r="B1416" s="43" t="s">
        <v>119</v>
      </c>
      <c r="C1416" s="46">
        <v>93</v>
      </c>
      <c r="D1416" s="46">
        <v>2079184.7824430095</v>
      </c>
      <c r="E1416" s="43">
        <v>103959.23912215048</v>
      </c>
      <c r="F1416" s="43" t="s">
        <v>70</v>
      </c>
      <c r="G1416" s="43" t="s">
        <v>71</v>
      </c>
      <c r="H1416" s="43" t="s">
        <v>72</v>
      </c>
    </row>
    <row r="1417" spans="1:8" x14ac:dyDescent="0.25">
      <c r="A1417" s="43" t="s">
        <v>1181</v>
      </c>
      <c r="B1417" s="43" t="s">
        <v>176</v>
      </c>
      <c r="C1417" s="46">
        <v>93</v>
      </c>
      <c r="D1417" s="46">
        <v>2706980.0398755921</v>
      </c>
      <c r="E1417" s="43">
        <v>270698.00398755923</v>
      </c>
      <c r="F1417" s="43" t="s">
        <v>70</v>
      </c>
      <c r="G1417" s="43" t="s">
        <v>71</v>
      </c>
      <c r="H1417" s="43" t="s">
        <v>72</v>
      </c>
    </row>
    <row r="1418" spans="1:8" x14ac:dyDescent="0.25">
      <c r="A1418" s="72" t="s">
        <v>3210</v>
      </c>
      <c r="B1418" s="72" t="s">
        <v>252</v>
      </c>
      <c r="C1418" s="73">
        <v>93</v>
      </c>
      <c r="D1418" s="73">
        <v>2079184.7824430095</v>
      </c>
      <c r="E1418" s="72">
        <v>103959.23912215048</v>
      </c>
      <c r="F1418" s="72" t="s">
        <v>70</v>
      </c>
      <c r="G1418" s="72" t="s">
        <v>71</v>
      </c>
      <c r="H1418" s="72" t="s">
        <v>72</v>
      </c>
    </row>
    <row r="1419" spans="1:8" x14ac:dyDescent="0.25">
      <c r="A1419" s="72" t="s">
        <v>1119</v>
      </c>
      <c r="B1419" s="72" t="s">
        <v>77</v>
      </c>
      <c r="C1419" s="73">
        <v>93</v>
      </c>
      <c r="D1419" s="73">
        <v>2795863.0264182868</v>
      </c>
      <c r="E1419" s="72">
        <v>279586.30264182872</v>
      </c>
      <c r="F1419" s="72" t="s">
        <v>78</v>
      </c>
      <c r="G1419" s="72" t="s">
        <v>71</v>
      </c>
      <c r="H1419" s="72" t="s">
        <v>72</v>
      </c>
    </row>
    <row r="1420" spans="1:8" x14ac:dyDescent="0.25">
      <c r="A1420" s="43" t="s">
        <v>2621</v>
      </c>
      <c r="B1420" s="43" t="s">
        <v>92</v>
      </c>
      <c r="C1420" s="46">
        <v>93</v>
      </c>
      <c r="D1420" s="46">
        <v>2348204.9168752097</v>
      </c>
      <c r="E1420" s="43">
        <v>140892.29501251259</v>
      </c>
      <c r="F1420" s="43" t="s">
        <v>78</v>
      </c>
      <c r="G1420" s="43" t="s">
        <v>71</v>
      </c>
      <c r="H1420" s="43" t="s">
        <v>72</v>
      </c>
    </row>
    <row r="1421" spans="1:8" x14ac:dyDescent="0.25">
      <c r="A1421" s="72" t="s">
        <v>392</v>
      </c>
      <c r="B1421" s="72" t="s">
        <v>92</v>
      </c>
      <c r="C1421" s="73">
        <v>93</v>
      </c>
      <c r="D1421" s="73">
        <v>3096189.0425263075</v>
      </c>
      <c r="E1421" s="72">
        <v>464428.3563789461</v>
      </c>
      <c r="F1421" s="72" t="s">
        <v>84</v>
      </c>
      <c r="G1421" s="72" t="s">
        <v>71</v>
      </c>
      <c r="H1421" s="72" t="s">
        <v>72</v>
      </c>
    </row>
    <row r="1422" spans="1:8" x14ac:dyDescent="0.25">
      <c r="A1422" s="72" t="s">
        <v>1298</v>
      </c>
      <c r="B1422" s="72" t="s">
        <v>554</v>
      </c>
      <c r="C1422" s="73">
        <v>93</v>
      </c>
      <c r="D1422" s="73">
        <v>2339623.1062330473</v>
      </c>
      <c r="E1422" s="72">
        <v>257358.54168563525</v>
      </c>
      <c r="F1422" s="72" t="s">
        <v>106</v>
      </c>
      <c r="G1422" s="72" t="s">
        <v>71</v>
      </c>
      <c r="H1422" s="72" t="s">
        <v>72</v>
      </c>
    </row>
    <row r="1423" spans="1:8" x14ac:dyDescent="0.25">
      <c r="A1423" s="43" t="s">
        <v>3211</v>
      </c>
      <c r="B1423" s="43" t="s">
        <v>103</v>
      </c>
      <c r="C1423" s="46">
        <v>93</v>
      </c>
      <c r="D1423" s="46">
        <v>2079184.7824430095</v>
      </c>
      <c r="E1423" s="43">
        <v>103959.23912215048</v>
      </c>
      <c r="F1423" s="43" t="s">
        <v>70</v>
      </c>
      <c r="G1423" s="43" t="s">
        <v>71</v>
      </c>
      <c r="H1423" s="43" t="s">
        <v>72</v>
      </c>
    </row>
    <row r="1424" spans="1:8" x14ac:dyDescent="0.25">
      <c r="A1424" s="72" t="s">
        <v>416</v>
      </c>
      <c r="B1424" s="72" t="s">
        <v>75</v>
      </c>
      <c r="C1424" s="73">
        <v>93</v>
      </c>
      <c r="D1424" s="73">
        <v>3081250.5966956867</v>
      </c>
      <c r="E1424" s="72">
        <v>431375.0835373961</v>
      </c>
      <c r="F1424" s="72" t="s">
        <v>78</v>
      </c>
      <c r="G1424" s="72" t="s">
        <v>71</v>
      </c>
      <c r="H1424" s="72" t="s">
        <v>72</v>
      </c>
    </row>
    <row r="1425" spans="1:8" x14ac:dyDescent="0.25">
      <c r="A1425" s="43" t="s">
        <v>926</v>
      </c>
      <c r="B1425" s="43" t="s">
        <v>160</v>
      </c>
      <c r="C1425" s="46">
        <v>93</v>
      </c>
      <c r="D1425" s="46">
        <v>2785019.9161986033</v>
      </c>
      <c r="E1425" s="43">
        <v>306352.19078184641</v>
      </c>
      <c r="F1425" s="43" t="s">
        <v>70</v>
      </c>
      <c r="G1425" s="43" t="s">
        <v>71</v>
      </c>
      <c r="H1425" s="43" t="s">
        <v>72</v>
      </c>
    </row>
    <row r="1426" spans="1:8" x14ac:dyDescent="0.25">
      <c r="A1426" s="72" t="s">
        <v>1850</v>
      </c>
      <c r="B1426" s="72" t="s">
        <v>160</v>
      </c>
      <c r="C1426" s="73">
        <v>93</v>
      </c>
      <c r="D1426" s="73">
        <v>2523273.7201906345</v>
      </c>
      <c r="E1426" s="72">
        <v>201861.89761525075</v>
      </c>
      <c r="F1426" s="72" t="s">
        <v>70</v>
      </c>
      <c r="G1426" s="72" t="s">
        <v>71</v>
      </c>
      <c r="H1426" s="72" t="s">
        <v>72</v>
      </c>
    </row>
    <row r="1427" spans="1:8" x14ac:dyDescent="0.25">
      <c r="A1427" s="72" t="s">
        <v>1182</v>
      </c>
      <c r="B1427" s="72" t="s">
        <v>77</v>
      </c>
      <c r="C1427" s="73">
        <v>93</v>
      </c>
      <c r="D1427" s="73">
        <v>2706980.0398755921</v>
      </c>
      <c r="E1427" s="72">
        <v>270698.00398755923</v>
      </c>
      <c r="F1427" s="72" t="s">
        <v>70</v>
      </c>
      <c r="G1427" s="72" t="s">
        <v>71</v>
      </c>
      <c r="H1427" s="72" t="s">
        <v>72</v>
      </c>
    </row>
    <row r="1428" spans="1:8" x14ac:dyDescent="0.25">
      <c r="A1428" s="72" t="s">
        <v>2063</v>
      </c>
      <c r="B1428" s="72" t="s">
        <v>202</v>
      </c>
      <c r="C1428" s="73">
        <v>93</v>
      </c>
      <c r="D1428" s="73">
        <v>2620100.3692319375</v>
      </c>
      <c r="E1428" s="72">
        <v>183407.0258462356</v>
      </c>
      <c r="F1428" s="72" t="s">
        <v>87</v>
      </c>
      <c r="G1428" s="72" t="s">
        <v>71</v>
      </c>
      <c r="H1428" s="72" t="s">
        <v>88</v>
      </c>
    </row>
    <row r="1429" spans="1:8" x14ac:dyDescent="0.25">
      <c r="A1429" s="72" t="s">
        <v>2810</v>
      </c>
      <c r="B1429" s="72" t="s">
        <v>105</v>
      </c>
      <c r="C1429" s="73">
        <v>93</v>
      </c>
      <c r="D1429" s="73">
        <v>2166019.5586711038</v>
      </c>
      <c r="E1429" s="72">
        <v>129961.17352026625</v>
      </c>
      <c r="F1429" s="72" t="s">
        <v>106</v>
      </c>
      <c r="G1429" s="72" t="s">
        <v>71</v>
      </c>
      <c r="H1429" s="72" t="s">
        <v>72</v>
      </c>
    </row>
    <row r="1430" spans="1:8" x14ac:dyDescent="0.25">
      <c r="A1430" s="72" t="s">
        <v>520</v>
      </c>
      <c r="B1430" s="72" t="s">
        <v>74</v>
      </c>
      <c r="C1430" s="73">
        <v>93</v>
      </c>
      <c r="D1430" s="73">
        <v>2923033.188762282</v>
      </c>
      <c r="E1430" s="72">
        <v>379994.31453909667</v>
      </c>
      <c r="F1430" s="72" t="s">
        <v>70</v>
      </c>
      <c r="G1430" s="72" t="s">
        <v>71</v>
      </c>
      <c r="H1430" s="72" t="s">
        <v>72</v>
      </c>
    </row>
    <row r="1431" spans="1:8" x14ac:dyDescent="0.25">
      <c r="A1431" s="43" t="s">
        <v>2701</v>
      </c>
      <c r="B1431" s="43" t="s">
        <v>130</v>
      </c>
      <c r="C1431" s="46">
        <v>93</v>
      </c>
      <c r="D1431" s="46">
        <v>2270643.0377415</v>
      </c>
      <c r="E1431" s="43">
        <v>136238.58226449002</v>
      </c>
      <c r="F1431" s="43" t="s">
        <v>70</v>
      </c>
      <c r="G1431" s="43" t="s">
        <v>71</v>
      </c>
      <c r="H1431" s="43" t="s">
        <v>72</v>
      </c>
    </row>
    <row r="1432" spans="1:8" x14ac:dyDescent="0.25">
      <c r="A1432" s="72" t="s">
        <v>2702</v>
      </c>
      <c r="B1432" s="72" t="s">
        <v>211</v>
      </c>
      <c r="C1432" s="73">
        <v>93</v>
      </c>
      <c r="D1432" s="73">
        <v>2270643.0377415</v>
      </c>
      <c r="E1432" s="72">
        <v>136238.58226449002</v>
      </c>
      <c r="F1432" s="72" t="s">
        <v>70</v>
      </c>
      <c r="G1432" s="72" t="s">
        <v>71</v>
      </c>
      <c r="H1432" s="72" t="s">
        <v>72</v>
      </c>
    </row>
    <row r="1433" spans="1:8" x14ac:dyDescent="0.25">
      <c r="A1433" s="43" t="s">
        <v>1502</v>
      </c>
      <c r="B1433" s="43" t="s">
        <v>162</v>
      </c>
      <c r="C1433" s="46">
        <v>93</v>
      </c>
      <c r="D1433" s="46">
        <v>2620680.0026447023</v>
      </c>
      <c r="E1433" s="43">
        <v>235861.20023802322</v>
      </c>
      <c r="F1433" s="43" t="s">
        <v>70</v>
      </c>
      <c r="G1433" s="43" t="s">
        <v>71</v>
      </c>
      <c r="H1433" s="43" t="s">
        <v>72</v>
      </c>
    </row>
    <row r="1434" spans="1:8" x14ac:dyDescent="0.25">
      <c r="A1434" s="72" t="s">
        <v>466</v>
      </c>
      <c r="B1434" s="72" t="s">
        <v>83</v>
      </c>
      <c r="C1434" s="73">
        <v>93</v>
      </c>
      <c r="D1434" s="73">
        <v>3017521.8445299859</v>
      </c>
      <c r="E1434" s="72">
        <v>392277.83978889819</v>
      </c>
      <c r="F1434" s="72" t="s">
        <v>78</v>
      </c>
      <c r="G1434" s="72" t="s">
        <v>71</v>
      </c>
      <c r="H1434" s="72" t="s">
        <v>72</v>
      </c>
    </row>
    <row r="1435" spans="1:8" x14ac:dyDescent="0.25">
      <c r="A1435" s="72" t="s">
        <v>717</v>
      </c>
      <c r="B1435" s="72" t="s">
        <v>73</v>
      </c>
      <c r="C1435" s="73">
        <v>92</v>
      </c>
      <c r="D1435" s="73">
        <v>2824552.0484246388</v>
      </c>
      <c r="E1435" s="72">
        <v>338946.24581095669</v>
      </c>
      <c r="F1435" s="72" t="s">
        <v>70</v>
      </c>
      <c r="G1435" s="72" t="s">
        <v>71</v>
      </c>
      <c r="H1435" s="72" t="s">
        <v>72</v>
      </c>
    </row>
    <row r="1436" spans="1:8" x14ac:dyDescent="0.25">
      <c r="A1436" s="43" t="s">
        <v>3654</v>
      </c>
      <c r="B1436" s="43" t="s">
        <v>77</v>
      </c>
      <c r="C1436" s="46">
        <v>92</v>
      </c>
      <c r="D1436" s="46">
        <v>2017808.6676613849</v>
      </c>
      <c r="E1436" s="43">
        <v>80712.346706455399</v>
      </c>
      <c r="F1436" s="43" t="s">
        <v>106</v>
      </c>
      <c r="G1436" s="43" t="s">
        <v>71</v>
      </c>
      <c r="H1436" s="43" t="s">
        <v>72</v>
      </c>
    </row>
    <row r="1437" spans="1:8" x14ac:dyDescent="0.25">
      <c r="A1437" s="43" t="s">
        <v>882</v>
      </c>
      <c r="B1437" s="43" t="s">
        <v>77</v>
      </c>
      <c r="C1437" s="46">
        <v>92</v>
      </c>
      <c r="D1437" s="46">
        <v>2849705.7583075562</v>
      </c>
      <c r="E1437" s="43">
        <v>313467.63341383124</v>
      </c>
      <c r="F1437" s="43" t="s">
        <v>87</v>
      </c>
      <c r="G1437" s="43" t="s">
        <v>71</v>
      </c>
      <c r="H1437" s="43" t="s">
        <v>88</v>
      </c>
    </row>
    <row r="1438" spans="1:8" x14ac:dyDescent="0.25">
      <c r="A1438" s="72" t="s">
        <v>2485</v>
      </c>
      <c r="B1438" s="72" t="s">
        <v>2486</v>
      </c>
      <c r="C1438" s="73">
        <v>92</v>
      </c>
      <c r="D1438" s="73">
        <v>2498524.9880791823</v>
      </c>
      <c r="E1438" s="72">
        <v>149911.49928475093</v>
      </c>
      <c r="F1438" s="72" t="s">
        <v>87</v>
      </c>
      <c r="G1438" s="72" t="s">
        <v>71</v>
      </c>
      <c r="H1438" s="72" t="s">
        <v>88</v>
      </c>
    </row>
    <row r="1439" spans="1:8" x14ac:dyDescent="0.25">
      <c r="A1439" s="43" t="s">
        <v>3233</v>
      </c>
      <c r="B1439" s="43" t="s">
        <v>79</v>
      </c>
      <c r="C1439" s="46">
        <v>92</v>
      </c>
      <c r="D1439" s="46">
        <v>2055474.465624901</v>
      </c>
      <c r="E1439" s="43">
        <v>102773.72328124505</v>
      </c>
      <c r="F1439" s="43" t="s">
        <v>70</v>
      </c>
      <c r="G1439" s="43" t="s">
        <v>71</v>
      </c>
      <c r="H1439" s="43" t="s">
        <v>72</v>
      </c>
    </row>
    <row r="1440" spans="1:8" x14ac:dyDescent="0.25">
      <c r="A1440" s="72" t="s">
        <v>3234</v>
      </c>
      <c r="B1440" s="72" t="s">
        <v>108</v>
      </c>
      <c r="C1440" s="73">
        <v>92</v>
      </c>
      <c r="D1440" s="73">
        <v>2055474.465624901</v>
      </c>
      <c r="E1440" s="72">
        <v>102773.72328124505</v>
      </c>
      <c r="F1440" s="72" t="s">
        <v>70</v>
      </c>
      <c r="G1440" s="72" t="s">
        <v>71</v>
      </c>
      <c r="H1440" s="72" t="s">
        <v>72</v>
      </c>
    </row>
    <row r="1441" spans="1:8" x14ac:dyDescent="0.25">
      <c r="A1441" s="43" t="s">
        <v>718</v>
      </c>
      <c r="B1441" s="43" t="s">
        <v>323</v>
      </c>
      <c r="C1441" s="46">
        <v>92</v>
      </c>
      <c r="D1441" s="46">
        <v>2824552.0484246388</v>
      </c>
      <c r="E1441" s="43">
        <v>338946.24581095669</v>
      </c>
      <c r="F1441" s="43" t="s">
        <v>70</v>
      </c>
      <c r="G1441" s="43" t="s">
        <v>71</v>
      </c>
      <c r="H1441" s="43" t="s">
        <v>72</v>
      </c>
    </row>
    <row r="1442" spans="1:8" x14ac:dyDescent="0.25">
      <c r="A1442" s="43" t="s">
        <v>2487</v>
      </c>
      <c r="B1442" s="43" t="s">
        <v>83</v>
      </c>
      <c r="C1442" s="46">
        <v>92</v>
      </c>
      <c r="D1442" s="46">
        <v>2498524.9880791823</v>
      </c>
      <c r="E1442" s="43">
        <v>149911.49928475093</v>
      </c>
      <c r="F1442" s="43" t="s">
        <v>87</v>
      </c>
      <c r="G1442" s="43" t="s">
        <v>71</v>
      </c>
      <c r="H1442" s="43" t="s">
        <v>88</v>
      </c>
    </row>
    <row r="1443" spans="1:8" x14ac:dyDescent="0.25">
      <c r="A1443" s="72" t="s">
        <v>3655</v>
      </c>
      <c r="B1443" s="72" t="s">
        <v>75</v>
      </c>
      <c r="C1443" s="73">
        <v>92</v>
      </c>
      <c r="D1443" s="73">
        <v>2017808.6676613849</v>
      </c>
      <c r="E1443" s="72">
        <v>80712.346706455399</v>
      </c>
      <c r="F1443" s="72" t="s">
        <v>106</v>
      </c>
      <c r="G1443" s="72" t="s">
        <v>71</v>
      </c>
      <c r="H1443" s="72" t="s">
        <v>72</v>
      </c>
    </row>
    <row r="1444" spans="1:8" x14ac:dyDescent="0.25">
      <c r="A1444" s="43" t="s">
        <v>2723</v>
      </c>
      <c r="B1444" s="43" t="s">
        <v>97</v>
      </c>
      <c r="C1444" s="46">
        <v>92</v>
      </c>
      <c r="D1444" s="46">
        <v>2244874.0300062033</v>
      </c>
      <c r="E1444" s="43">
        <v>134692.44180037224</v>
      </c>
      <c r="F1444" s="43" t="s">
        <v>70</v>
      </c>
      <c r="G1444" s="43" t="s">
        <v>71</v>
      </c>
      <c r="H1444" s="43" t="s">
        <v>72</v>
      </c>
    </row>
    <row r="1445" spans="1:8" x14ac:dyDescent="0.25">
      <c r="A1445" s="43" t="s">
        <v>2117</v>
      </c>
      <c r="B1445" s="43" t="s">
        <v>554</v>
      </c>
      <c r="C1445" s="46">
        <v>92</v>
      </c>
      <c r="D1445" s="46">
        <v>2226454.4922201685</v>
      </c>
      <c r="E1445" s="43">
        <v>178116.35937761349</v>
      </c>
      <c r="F1445" s="43" t="s">
        <v>106</v>
      </c>
      <c r="G1445" s="43" t="s">
        <v>71</v>
      </c>
      <c r="H1445" s="43" t="s">
        <v>72</v>
      </c>
    </row>
    <row r="1446" spans="1:8" x14ac:dyDescent="0.25">
      <c r="A1446" s="72" t="s">
        <v>719</v>
      </c>
      <c r="B1446" s="72" t="s">
        <v>85</v>
      </c>
      <c r="C1446" s="73">
        <v>92</v>
      </c>
      <c r="D1446" s="73">
        <v>2824552.0484246388</v>
      </c>
      <c r="E1446" s="72">
        <v>338946.24581095669</v>
      </c>
      <c r="F1446" s="72" t="s">
        <v>70</v>
      </c>
      <c r="G1446" s="72" t="s">
        <v>71</v>
      </c>
      <c r="H1446" s="72" t="s">
        <v>72</v>
      </c>
    </row>
    <row r="1447" spans="1:8" x14ac:dyDescent="0.25">
      <c r="A1447" s="72" t="s">
        <v>943</v>
      </c>
      <c r="B1447" s="72" t="s">
        <v>112</v>
      </c>
      <c r="C1447" s="73">
        <v>92</v>
      </c>
      <c r="D1447" s="73">
        <v>2753719.9742863486</v>
      </c>
      <c r="E1447" s="72">
        <v>302909.19717149838</v>
      </c>
      <c r="F1447" s="72" t="s">
        <v>70</v>
      </c>
      <c r="G1447" s="72" t="s">
        <v>71</v>
      </c>
      <c r="H1447" s="72" t="s">
        <v>72</v>
      </c>
    </row>
    <row r="1448" spans="1:8" x14ac:dyDescent="0.25">
      <c r="A1448" s="43" t="s">
        <v>539</v>
      </c>
      <c r="B1448" s="43" t="s">
        <v>83</v>
      </c>
      <c r="C1448" s="46">
        <v>92</v>
      </c>
      <c r="D1448" s="46">
        <v>2895934.6603426547</v>
      </c>
      <c r="E1448" s="43">
        <v>376471.50584454514</v>
      </c>
      <c r="F1448" s="43" t="s">
        <v>84</v>
      </c>
      <c r="G1448" s="43" t="s">
        <v>71</v>
      </c>
      <c r="H1448" s="43" t="s">
        <v>72</v>
      </c>
    </row>
    <row r="1449" spans="1:8" x14ac:dyDescent="0.25">
      <c r="A1449" s="72" t="s">
        <v>2724</v>
      </c>
      <c r="B1449" s="72" t="s">
        <v>85</v>
      </c>
      <c r="C1449" s="73">
        <v>92</v>
      </c>
      <c r="D1449" s="73">
        <v>2244874.0300062033</v>
      </c>
      <c r="E1449" s="72">
        <v>134692.44180037224</v>
      </c>
      <c r="F1449" s="72" t="s">
        <v>70</v>
      </c>
      <c r="G1449" s="72" t="s">
        <v>71</v>
      </c>
      <c r="H1449" s="72" t="s">
        <v>72</v>
      </c>
    </row>
    <row r="1450" spans="1:8" x14ac:dyDescent="0.25">
      <c r="A1450" s="43" t="s">
        <v>4241</v>
      </c>
      <c r="B1450" s="43" t="s">
        <v>223</v>
      </c>
      <c r="C1450" s="46">
        <v>92</v>
      </c>
      <c r="D1450" s="46">
        <v>1907895.4247380074</v>
      </c>
      <c r="E1450" s="43">
        <v>57236.862742140234</v>
      </c>
      <c r="F1450" s="43" t="s">
        <v>106</v>
      </c>
      <c r="G1450" s="43" t="s">
        <v>71</v>
      </c>
      <c r="H1450" s="43" t="s">
        <v>72</v>
      </c>
    </row>
    <row r="1451" spans="1:8" x14ac:dyDescent="0.25">
      <c r="A1451" s="72" t="s">
        <v>1522</v>
      </c>
      <c r="B1451" s="72" t="s">
        <v>73</v>
      </c>
      <c r="C1451" s="73">
        <v>92</v>
      </c>
      <c r="D1451" s="73">
        <v>2591147.1565771131</v>
      </c>
      <c r="E1451" s="72">
        <v>233203.24409194017</v>
      </c>
      <c r="F1451" s="72" t="s">
        <v>70</v>
      </c>
      <c r="G1451" s="72" t="s">
        <v>71</v>
      </c>
      <c r="H1451" s="72" t="s">
        <v>72</v>
      </c>
    </row>
    <row r="1452" spans="1:8" x14ac:dyDescent="0.25">
      <c r="A1452" s="72" t="s">
        <v>1880</v>
      </c>
      <c r="B1452" s="72" t="s">
        <v>85</v>
      </c>
      <c r="C1452" s="73">
        <v>92</v>
      </c>
      <c r="D1452" s="73">
        <v>2494788.2535042721</v>
      </c>
      <c r="E1452" s="72">
        <v>199583.06028034177</v>
      </c>
      <c r="F1452" s="72" t="s">
        <v>70</v>
      </c>
      <c r="G1452" s="72" t="s">
        <v>71</v>
      </c>
      <c r="H1452" s="72" t="s">
        <v>72</v>
      </c>
    </row>
    <row r="1453" spans="1:8" x14ac:dyDescent="0.25">
      <c r="A1453" s="43" t="s">
        <v>2725</v>
      </c>
      <c r="B1453" s="43" t="s">
        <v>102</v>
      </c>
      <c r="C1453" s="46">
        <v>92</v>
      </c>
      <c r="D1453" s="46">
        <v>2244874.0300062033</v>
      </c>
      <c r="E1453" s="43">
        <v>134692.44180037224</v>
      </c>
      <c r="F1453" s="43" t="s">
        <v>70</v>
      </c>
      <c r="G1453" s="43" t="s">
        <v>71</v>
      </c>
      <c r="H1453" s="43" t="s">
        <v>72</v>
      </c>
    </row>
    <row r="1454" spans="1:8" x14ac:dyDescent="0.25">
      <c r="A1454" s="72" t="s">
        <v>549</v>
      </c>
      <c r="B1454" s="72" t="s">
        <v>90</v>
      </c>
      <c r="C1454" s="73">
        <v>92</v>
      </c>
      <c r="D1454" s="73">
        <v>2890249.233166547</v>
      </c>
      <c r="E1454" s="72">
        <v>375732.40031165112</v>
      </c>
      <c r="F1454" s="72" t="s">
        <v>70</v>
      </c>
      <c r="G1454" s="72" t="s">
        <v>71</v>
      </c>
      <c r="H1454" s="72" t="s">
        <v>72</v>
      </c>
    </row>
    <row r="1455" spans="1:8" x14ac:dyDescent="0.25">
      <c r="A1455" s="72" t="s">
        <v>2260</v>
      </c>
      <c r="B1455" s="72" t="s">
        <v>73</v>
      </c>
      <c r="C1455" s="73">
        <v>92</v>
      </c>
      <c r="D1455" s="73">
        <v>2382600.3607318019</v>
      </c>
      <c r="E1455" s="72">
        <v>166782.02525122612</v>
      </c>
      <c r="F1455" s="72" t="s">
        <v>70</v>
      </c>
      <c r="G1455" s="72" t="s">
        <v>71</v>
      </c>
      <c r="H1455" s="72" t="s">
        <v>72</v>
      </c>
    </row>
    <row r="1456" spans="1:8" x14ac:dyDescent="0.25">
      <c r="A1456" s="43" t="s">
        <v>686</v>
      </c>
      <c r="B1456" s="43" t="s">
        <v>93</v>
      </c>
      <c r="C1456" s="46">
        <v>92</v>
      </c>
      <c r="D1456" s="46">
        <v>2899255.9353729356</v>
      </c>
      <c r="E1456" s="43">
        <v>347910.71224475227</v>
      </c>
      <c r="F1456" s="43" t="s">
        <v>87</v>
      </c>
      <c r="G1456" s="43" t="s">
        <v>71</v>
      </c>
      <c r="H1456" s="43" t="s">
        <v>88</v>
      </c>
    </row>
    <row r="1457" spans="1:8" x14ac:dyDescent="0.25">
      <c r="A1457" s="72" t="s">
        <v>2726</v>
      </c>
      <c r="B1457" s="72" t="s">
        <v>73</v>
      </c>
      <c r="C1457" s="73">
        <v>92</v>
      </c>
      <c r="D1457" s="73">
        <v>2244874.0300062033</v>
      </c>
      <c r="E1457" s="72">
        <v>134692.44180037224</v>
      </c>
      <c r="F1457" s="72" t="s">
        <v>70</v>
      </c>
      <c r="G1457" s="72" t="s">
        <v>71</v>
      </c>
      <c r="H1457" s="72" t="s">
        <v>72</v>
      </c>
    </row>
    <row r="1458" spans="1:8" x14ac:dyDescent="0.25">
      <c r="A1458" s="43" t="s">
        <v>1110</v>
      </c>
      <c r="B1458" s="43" t="s">
        <v>151</v>
      </c>
      <c r="C1458" s="46">
        <v>92</v>
      </c>
      <c r="D1458" s="46">
        <v>2340230.4532491849</v>
      </c>
      <c r="E1458" s="43">
        <v>280827.65438990219</v>
      </c>
      <c r="F1458" s="43" t="s">
        <v>106</v>
      </c>
      <c r="G1458" s="43" t="s">
        <v>71</v>
      </c>
      <c r="H1458" s="43" t="s">
        <v>72</v>
      </c>
    </row>
    <row r="1459" spans="1:8" x14ac:dyDescent="0.25">
      <c r="A1459" s="43" t="s">
        <v>1523</v>
      </c>
      <c r="B1459" s="43" t="s">
        <v>112</v>
      </c>
      <c r="C1459" s="46">
        <v>92</v>
      </c>
      <c r="D1459" s="46">
        <v>2591147.1565771131</v>
      </c>
      <c r="E1459" s="43">
        <v>233203.24409194017</v>
      </c>
      <c r="F1459" s="43" t="s">
        <v>70</v>
      </c>
      <c r="G1459" s="43" t="s">
        <v>71</v>
      </c>
      <c r="H1459" s="43" t="s">
        <v>72</v>
      </c>
    </row>
    <row r="1460" spans="1:8" x14ac:dyDescent="0.25">
      <c r="A1460" s="72" t="s">
        <v>1524</v>
      </c>
      <c r="B1460" s="72" t="s">
        <v>112</v>
      </c>
      <c r="C1460" s="73">
        <v>92</v>
      </c>
      <c r="D1460" s="73">
        <v>2591147.1565771131</v>
      </c>
      <c r="E1460" s="72">
        <v>233203.24409194017</v>
      </c>
      <c r="F1460" s="72" t="s">
        <v>70</v>
      </c>
      <c r="G1460" s="72" t="s">
        <v>71</v>
      </c>
      <c r="H1460" s="72" t="s">
        <v>72</v>
      </c>
    </row>
    <row r="1461" spans="1:8" x14ac:dyDescent="0.25">
      <c r="A1461" s="43" t="s">
        <v>1316</v>
      </c>
      <c r="B1461" s="43" t="s">
        <v>112</v>
      </c>
      <c r="C1461" s="46">
        <v>92</v>
      </c>
      <c r="D1461" s="46">
        <v>2315802.6717493087</v>
      </c>
      <c r="E1461" s="43">
        <v>254738.293892424</v>
      </c>
      <c r="F1461" s="43" t="s">
        <v>106</v>
      </c>
      <c r="G1461" s="43" t="s">
        <v>71</v>
      </c>
      <c r="H1461" s="43" t="s">
        <v>72</v>
      </c>
    </row>
    <row r="1462" spans="1:8" x14ac:dyDescent="0.25">
      <c r="A1462" s="72" t="s">
        <v>1398</v>
      </c>
      <c r="B1462" s="72" t="s">
        <v>105</v>
      </c>
      <c r="C1462" s="73">
        <v>92</v>
      </c>
      <c r="D1462" s="73">
        <v>2735792.6347365216</v>
      </c>
      <c r="E1462" s="72">
        <v>246221.33712628693</v>
      </c>
      <c r="F1462" s="72" t="s">
        <v>87</v>
      </c>
      <c r="G1462" s="72" t="s">
        <v>71</v>
      </c>
      <c r="H1462" s="72" t="s">
        <v>88</v>
      </c>
    </row>
    <row r="1463" spans="1:8" x14ac:dyDescent="0.25">
      <c r="A1463" s="72" t="s">
        <v>507</v>
      </c>
      <c r="B1463" s="72" t="s">
        <v>103</v>
      </c>
      <c r="C1463" s="73">
        <v>92</v>
      </c>
      <c r="D1463" s="73">
        <v>2945088.3082422959</v>
      </c>
      <c r="E1463" s="72">
        <v>382861.48007149849</v>
      </c>
      <c r="F1463" s="72" t="s">
        <v>87</v>
      </c>
      <c r="G1463" s="72" t="s">
        <v>71</v>
      </c>
      <c r="H1463" s="72" t="s">
        <v>88</v>
      </c>
    </row>
    <row r="1464" spans="1:8" x14ac:dyDescent="0.25">
      <c r="A1464" s="43" t="s">
        <v>720</v>
      </c>
      <c r="B1464" s="43" t="s">
        <v>97</v>
      </c>
      <c r="C1464" s="46">
        <v>92</v>
      </c>
      <c r="D1464" s="46">
        <v>2824552.0484246388</v>
      </c>
      <c r="E1464" s="43">
        <v>338946.24581095669</v>
      </c>
      <c r="F1464" s="43" t="s">
        <v>70</v>
      </c>
      <c r="G1464" s="43" t="s">
        <v>71</v>
      </c>
      <c r="H1464" s="43" t="s">
        <v>72</v>
      </c>
    </row>
    <row r="1465" spans="1:8" x14ac:dyDescent="0.25">
      <c r="A1465" s="43" t="s">
        <v>1267</v>
      </c>
      <c r="B1465" s="43" t="s">
        <v>92</v>
      </c>
      <c r="C1465" s="46">
        <v>92</v>
      </c>
      <c r="D1465" s="46">
        <v>2602604.8439812716</v>
      </c>
      <c r="E1465" s="43">
        <v>260260.48439812718</v>
      </c>
      <c r="F1465" s="43" t="s">
        <v>84</v>
      </c>
      <c r="G1465" s="43" t="s">
        <v>71</v>
      </c>
      <c r="H1465" s="43" t="s">
        <v>72</v>
      </c>
    </row>
    <row r="1466" spans="1:8" x14ac:dyDescent="0.25">
      <c r="A1466" s="43" t="s">
        <v>1881</v>
      </c>
      <c r="B1466" s="43" t="s">
        <v>85</v>
      </c>
      <c r="C1466" s="46">
        <v>92</v>
      </c>
      <c r="D1466" s="46">
        <v>2494788.2535042721</v>
      </c>
      <c r="E1466" s="43">
        <v>199583.06028034177</v>
      </c>
      <c r="F1466" s="43" t="s">
        <v>70</v>
      </c>
      <c r="G1466" s="43" t="s">
        <v>71</v>
      </c>
      <c r="H1466" s="43" t="s">
        <v>72</v>
      </c>
    </row>
    <row r="1467" spans="1:8" x14ac:dyDescent="0.25">
      <c r="A1467" s="72" t="s">
        <v>721</v>
      </c>
      <c r="B1467" s="72" t="s">
        <v>303</v>
      </c>
      <c r="C1467" s="73">
        <v>92</v>
      </c>
      <c r="D1467" s="73">
        <v>2824552.0484246388</v>
      </c>
      <c r="E1467" s="72">
        <v>338946.24581095669</v>
      </c>
      <c r="F1467" s="72" t="s">
        <v>70</v>
      </c>
      <c r="G1467" s="72" t="s">
        <v>71</v>
      </c>
      <c r="H1467" s="72" t="s">
        <v>72</v>
      </c>
    </row>
    <row r="1468" spans="1:8" x14ac:dyDescent="0.25">
      <c r="A1468" s="72" t="s">
        <v>4242</v>
      </c>
      <c r="B1468" s="72" t="s">
        <v>257</v>
      </c>
      <c r="C1468" s="73">
        <v>92</v>
      </c>
      <c r="D1468" s="73">
        <v>1907895.4247380074</v>
      </c>
      <c r="E1468" s="72">
        <v>57236.862742140234</v>
      </c>
      <c r="F1468" s="72" t="s">
        <v>106</v>
      </c>
      <c r="G1468" s="72" t="s">
        <v>71</v>
      </c>
      <c r="H1468" s="72" t="s">
        <v>72</v>
      </c>
    </row>
    <row r="1469" spans="1:8" x14ac:dyDescent="0.25">
      <c r="A1469" s="43" t="s">
        <v>2727</v>
      </c>
      <c r="B1469" s="43" t="s">
        <v>257</v>
      </c>
      <c r="C1469" s="46">
        <v>92</v>
      </c>
      <c r="D1469" s="46">
        <v>2244874.0300062033</v>
      </c>
      <c r="E1469" s="43">
        <v>134692.44180037224</v>
      </c>
      <c r="F1469" s="43" t="s">
        <v>70</v>
      </c>
      <c r="G1469" s="43" t="s">
        <v>71</v>
      </c>
      <c r="H1469" s="43" t="s">
        <v>72</v>
      </c>
    </row>
    <row r="1470" spans="1:8" x14ac:dyDescent="0.25">
      <c r="A1470" s="43" t="s">
        <v>2141</v>
      </c>
      <c r="B1470" s="43" t="s">
        <v>77</v>
      </c>
      <c r="C1470" s="46">
        <v>91</v>
      </c>
      <c r="D1470" s="46">
        <v>2203577.6868248614</v>
      </c>
      <c r="E1470" s="43">
        <v>176286.21494598893</v>
      </c>
      <c r="F1470" s="43" t="s">
        <v>106</v>
      </c>
      <c r="G1470" s="43" t="s">
        <v>71</v>
      </c>
      <c r="H1470" s="43" t="s">
        <v>72</v>
      </c>
    </row>
    <row r="1471" spans="1:8" x14ac:dyDescent="0.25">
      <c r="A1471" s="72" t="s">
        <v>3512</v>
      </c>
      <c r="B1471" s="72" t="s">
        <v>77</v>
      </c>
      <c r="C1471" s="73">
        <v>91</v>
      </c>
      <c r="D1471" s="73">
        <v>2185134.0981857968</v>
      </c>
      <c r="E1471" s="72">
        <v>87405.36392743187</v>
      </c>
      <c r="F1471" s="72" t="s">
        <v>87</v>
      </c>
      <c r="G1471" s="72" t="s">
        <v>71</v>
      </c>
      <c r="H1471" s="72" t="s">
        <v>88</v>
      </c>
    </row>
    <row r="1472" spans="1:8" x14ac:dyDescent="0.25">
      <c r="A1472" s="72" t="s">
        <v>524</v>
      </c>
      <c r="B1472" s="72" t="s">
        <v>93</v>
      </c>
      <c r="C1472" s="73">
        <v>91</v>
      </c>
      <c r="D1472" s="73">
        <v>2911925.6495083221</v>
      </c>
      <c r="E1472" s="72">
        <v>378550.33443608187</v>
      </c>
      <c r="F1472" s="72" t="s">
        <v>87</v>
      </c>
      <c r="G1472" s="72" t="s">
        <v>71</v>
      </c>
      <c r="H1472" s="72" t="s">
        <v>88</v>
      </c>
    </row>
    <row r="1473" spans="1:8" x14ac:dyDescent="0.25">
      <c r="A1473" s="72" t="s">
        <v>2285</v>
      </c>
      <c r="B1473" s="72" t="s">
        <v>323</v>
      </c>
      <c r="C1473" s="73">
        <v>91</v>
      </c>
      <c r="D1473" s="73">
        <v>2355364.9890708579</v>
      </c>
      <c r="E1473" s="72">
        <v>164875.54923496002</v>
      </c>
      <c r="F1473" s="72" t="s">
        <v>70</v>
      </c>
      <c r="G1473" s="72" t="s">
        <v>71</v>
      </c>
      <c r="H1473" s="72" t="s">
        <v>72</v>
      </c>
    </row>
    <row r="1474" spans="1:8" x14ac:dyDescent="0.25">
      <c r="A1474" s="43" t="s">
        <v>3251</v>
      </c>
      <c r="B1474" s="43" t="s">
        <v>323</v>
      </c>
      <c r="C1474" s="46">
        <v>91</v>
      </c>
      <c r="D1474" s="46">
        <v>2031794.8102151186</v>
      </c>
      <c r="E1474" s="43">
        <v>101589.74051075593</v>
      </c>
      <c r="F1474" s="43" t="s">
        <v>70</v>
      </c>
      <c r="G1474" s="43" t="s">
        <v>71</v>
      </c>
      <c r="H1474" s="43" t="s">
        <v>72</v>
      </c>
    </row>
    <row r="1475" spans="1:8" x14ac:dyDescent="0.25">
      <c r="A1475" s="43" t="s">
        <v>506</v>
      </c>
      <c r="B1475" s="43" t="s">
        <v>92</v>
      </c>
      <c r="C1475" s="46">
        <v>91</v>
      </c>
      <c r="D1475" s="46">
        <v>2949510.1678338721</v>
      </c>
      <c r="E1475" s="43">
        <v>383436.32181840338</v>
      </c>
      <c r="F1475" s="43" t="s">
        <v>78</v>
      </c>
      <c r="G1475" s="43" t="s">
        <v>71</v>
      </c>
      <c r="H1475" s="43" t="s">
        <v>72</v>
      </c>
    </row>
    <row r="1476" spans="1:8" x14ac:dyDescent="0.25">
      <c r="A1476" s="72" t="s">
        <v>3252</v>
      </c>
      <c r="B1476" s="72" t="s">
        <v>108</v>
      </c>
      <c r="C1476" s="73">
        <v>91</v>
      </c>
      <c r="D1476" s="73">
        <v>2031794.8102151186</v>
      </c>
      <c r="E1476" s="72">
        <v>101589.74051075593</v>
      </c>
      <c r="F1476" s="72" t="s">
        <v>70</v>
      </c>
      <c r="G1476" s="72" t="s">
        <v>71</v>
      </c>
      <c r="H1476" s="72" t="s">
        <v>72</v>
      </c>
    </row>
    <row r="1477" spans="1:8" x14ac:dyDescent="0.25">
      <c r="A1477" s="72" t="s">
        <v>2142</v>
      </c>
      <c r="B1477" s="72" t="s">
        <v>291</v>
      </c>
      <c r="C1477" s="73">
        <v>91</v>
      </c>
      <c r="D1477" s="73">
        <v>2203577.6868248614</v>
      </c>
      <c r="E1477" s="72">
        <v>176286.21494598893</v>
      </c>
      <c r="F1477" s="72" t="s">
        <v>106</v>
      </c>
      <c r="G1477" s="72" t="s">
        <v>71</v>
      </c>
      <c r="H1477" s="72" t="s">
        <v>72</v>
      </c>
    </row>
    <row r="1478" spans="1:8" x14ac:dyDescent="0.25">
      <c r="A1478" s="72" t="s">
        <v>744</v>
      </c>
      <c r="B1478" s="72" t="s">
        <v>85</v>
      </c>
      <c r="C1478" s="73">
        <v>91</v>
      </c>
      <c r="D1478" s="73">
        <v>2792512.854071381</v>
      </c>
      <c r="E1478" s="72">
        <v>335101.54248856578</v>
      </c>
      <c r="F1478" s="72" t="s">
        <v>70</v>
      </c>
      <c r="G1478" s="72" t="s">
        <v>71</v>
      </c>
      <c r="H1478" s="72" t="s">
        <v>72</v>
      </c>
    </row>
    <row r="1479" spans="1:8" x14ac:dyDescent="0.25">
      <c r="A1479" s="72" t="s">
        <v>2750</v>
      </c>
      <c r="B1479" s="72" t="s">
        <v>102</v>
      </c>
      <c r="C1479" s="73">
        <v>91</v>
      </c>
      <c r="D1479" s="73">
        <v>2219135.6836792328</v>
      </c>
      <c r="E1479" s="72">
        <v>133148.141020754</v>
      </c>
      <c r="F1479" s="72" t="s">
        <v>70</v>
      </c>
      <c r="G1479" s="72" t="s">
        <v>71</v>
      </c>
      <c r="H1479" s="72" t="s">
        <v>72</v>
      </c>
    </row>
    <row r="1480" spans="1:8" x14ac:dyDescent="0.25">
      <c r="A1480" s="43" t="s">
        <v>2286</v>
      </c>
      <c r="B1480" s="43" t="s">
        <v>139</v>
      </c>
      <c r="C1480" s="46">
        <v>91</v>
      </c>
      <c r="D1480" s="46">
        <v>2355364.9890708579</v>
      </c>
      <c r="E1480" s="43">
        <v>164875.54923496002</v>
      </c>
      <c r="F1480" s="43" t="s">
        <v>70</v>
      </c>
      <c r="G1480" s="43" t="s">
        <v>71</v>
      </c>
      <c r="H1480" s="43" t="s">
        <v>72</v>
      </c>
    </row>
    <row r="1481" spans="1:8" x14ac:dyDescent="0.25">
      <c r="A1481" s="72" t="s">
        <v>837</v>
      </c>
      <c r="B1481" s="72" t="s">
        <v>92</v>
      </c>
      <c r="C1481" s="73">
        <v>91</v>
      </c>
      <c r="D1481" s="73">
        <v>2645983.1142642861</v>
      </c>
      <c r="E1481" s="72">
        <v>238138.48028378573</v>
      </c>
      <c r="F1481" s="72" t="s">
        <v>78</v>
      </c>
      <c r="G1481" s="72" t="s">
        <v>71</v>
      </c>
      <c r="H1481" s="72" t="s">
        <v>72</v>
      </c>
    </row>
    <row r="1482" spans="1:8" x14ac:dyDescent="0.25">
      <c r="A1482" s="43" t="s">
        <v>971</v>
      </c>
      <c r="B1482" s="43" t="s">
        <v>97</v>
      </c>
      <c r="C1482" s="46">
        <v>91</v>
      </c>
      <c r="D1482" s="46">
        <v>2722450.6937824199</v>
      </c>
      <c r="E1482" s="43">
        <v>299469.5763160662</v>
      </c>
      <c r="F1482" s="43" t="s">
        <v>70</v>
      </c>
      <c r="G1482" s="43" t="s">
        <v>71</v>
      </c>
      <c r="H1482" s="43" t="s">
        <v>72</v>
      </c>
    </row>
    <row r="1483" spans="1:8" x14ac:dyDescent="0.25">
      <c r="A1483" s="72" t="s">
        <v>563</v>
      </c>
      <c r="B1483" s="72" t="s">
        <v>110</v>
      </c>
      <c r="C1483" s="73">
        <v>91</v>
      </c>
      <c r="D1483" s="73">
        <v>2857495.9389791382</v>
      </c>
      <c r="E1483" s="72">
        <v>371474.47206728795</v>
      </c>
      <c r="F1483" s="72" t="s">
        <v>70</v>
      </c>
      <c r="G1483" s="72" t="s">
        <v>71</v>
      </c>
      <c r="H1483" s="72" t="s">
        <v>72</v>
      </c>
    </row>
    <row r="1484" spans="1:8" x14ac:dyDescent="0.25">
      <c r="A1484" s="43" t="s">
        <v>1904</v>
      </c>
      <c r="B1484" s="43" t="s">
        <v>110</v>
      </c>
      <c r="C1484" s="46">
        <v>91</v>
      </c>
      <c r="D1484" s="46">
        <v>2466333.4482262358</v>
      </c>
      <c r="E1484" s="43">
        <v>197306.67585809887</v>
      </c>
      <c r="F1484" s="43" t="s">
        <v>70</v>
      </c>
      <c r="G1484" s="43" t="s">
        <v>71</v>
      </c>
      <c r="H1484" s="43" t="s">
        <v>72</v>
      </c>
    </row>
    <row r="1485" spans="1:8" x14ac:dyDescent="0.25">
      <c r="A1485" s="43" t="s">
        <v>1144</v>
      </c>
      <c r="B1485" s="43" t="s">
        <v>223</v>
      </c>
      <c r="C1485" s="46">
        <v>91</v>
      </c>
      <c r="D1485" s="46">
        <v>2764069.9606891195</v>
      </c>
      <c r="E1485" s="43">
        <v>276406.99606891198</v>
      </c>
      <c r="F1485" s="43" t="s">
        <v>87</v>
      </c>
      <c r="G1485" s="43" t="s">
        <v>71</v>
      </c>
      <c r="H1485" s="43" t="s">
        <v>88</v>
      </c>
    </row>
    <row r="1486" spans="1:8" x14ac:dyDescent="0.25">
      <c r="A1486" s="43" t="s">
        <v>1338</v>
      </c>
      <c r="B1486" s="43" t="s">
        <v>105</v>
      </c>
      <c r="C1486" s="46">
        <v>91</v>
      </c>
      <c r="D1486" s="46">
        <v>2291954.6904895543</v>
      </c>
      <c r="E1486" s="43">
        <v>252115.01595385102</v>
      </c>
      <c r="F1486" s="43" t="s">
        <v>106</v>
      </c>
      <c r="G1486" s="43" t="s">
        <v>71</v>
      </c>
      <c r="H1486" s="43" t="s">
        <v>72</v>
      </c>
    </row>
    <row r="1487" spans="1:8" x14ac:dyDescent="0.25">
      <c r="A1487" s="43" t="s">
        <v>1541</v>
      </c>
      <c r="B1487" s="43" t="s">
        <v>323</v>
      </c>
      <c r="C1487" s="46">
        <v>91</v>
      </c>
      <c r="D1487" s="46">
        <v>2561644.9719178504</v>
      </c>
      <c r="E1487" s="43">
        <v>230548.04747260653</v>
      </c>
      <c r="F1487" s="43" t="s">
        <v>70</v>
      </c>
      <c r="G1487" s="43" t="s">
        <v>71</v>
      </c>
      <c r="H1487" s="43" t="s">
        <v>72</v>
      </c>
    </row>
    <row r="1488" spans="1:8" x14ac:dyDescent="0.25">
      <c r="A1488" s="72" t="s">
        <v>2287</v>
      </c>
      <c r="B1488" s="72" t="s">
        <v>74</v>
      </c>
      <c r="C1488" s="73">
        <v>91</v>
      </c>
      <c r="D1488" s="73">
        <v>2355364.9890708579</v>
      </c>
      <c r="E1488" s="72">
        <v>164875.54923496002</v>
      </c>
      <c r="F1488" s="72" t="s">
        <v>70</v>
      </c>
      <c r="G1488" s="72" t="s">
        <v>71</v>
      </c>
      <c r="H1488" s="72" t="s">
        <v>72</v>
      </c>
    </row>
    <row r="1489" spans="1:8" x14ac:dyDescent="0.25">
      <c r="A1489" s="43" t="s">
        <v>3003</v>
      </c>
      <c r="B1489" s="43" t="s">
        <v>73</v>
      </c>
      <c r="C1489" s="46">
        <v>91</v>
      </c>
      <c r="D1489" s="46">
        <v>2353927.5953652207</v>
      </c>
      <c r="E1489" s="43">
        <v>117696.37976826105</v>
      </c>
      <c r="F1489" s="43" t="s">
        <v>87</v>
      </c>
      <c r="G1489" s="43" t="s">
        <v>71</v>
      </c>
      <c r="H1489" s="43" t="s">
        <v>88</v>
      </c>
    </row>
    <row r="1490" spans="1:8" x14ac:dyDescent="0.25">
      <c r="A1490" s="43" t="s">
        <v>3253</v>
      </c>
      <c r="B1490" s="43" t="s">
        <v>73</v>
      </c>
      <c r="C1490" s="46">
        <v>91</v>
      </c>
      <c r="D1490" s="46">
        <v>2031794.8102151186</v>
      </c>
      <c r="E1490" s="43">
        <v>101589.74051075593</v>
      </c>
      <c r="F1490" s="43" t="s">
        <v>70</v>
      </c>
      <c r="G1490" s="43" t="s">
        <v>71</v>
      </c>
      <c r="H1490" s="43" t="s">
        <v>72</v>
      </c>
    </row>
    <row r="1491" spans="1:8" x14ac:dyDescent="0.25">
      <c r="A1491" s="72" t="s">
        <v>1542</v>
      </c>
      <c r="B1491" s="72" t="s">
        <v>97</v>
      </c>
      <c r="C1491" s="73">
        <v>91</v>
      </c>
      <c r="D1491" s="73">
        <v>2561644.9719178504</v>
      </c>
      <c r="E1491" s="72">
        <v>230548.04747260653</v>
      </c>
      <c r="F1491" s="72" t="s">
        <v>70</v>
      </c>
      <c r="G1491" s="72" t="s">
        <v>71</v>
      </c>
      <c r="H1491" s="72" t="s">
        <v>72</v>
      </c>
    </row>
    <row r="1492" spans="1:8" x14ac:dyDescent="0.25">
      <c r="A1492" s="43" t="s">
        <v>1922</v>
      </c>
      <c r="B1492" s="43" t="s">
        <v>119</v>
      </c>
      <c r="C1492" s="46">
        <v>90</v>
      </c>
      <c r="D1492" s="46">
        <v>2437909.2624220182</v>
      </c>
      <c r="E1492" s="43">
        <v>195032.74099376146</v>
      </c>
      <c r="F1492" s="43" t="s">
        <v>70</v>
      </c>
      <c r="G1492" s="43" t="s">
        <v>71</v>
      </c>
      <c r="H1492" s="43" t="s">
        <v>72</v>
      </c>
    </row>
    <row r="1493" spans="1:8" x14ac:dyDescent="0.25">
      <c r="A1493" s="43" t="s">
        <v>2774</v>
      </c>
      <c r="B1493" s="43" t="s">
        <v>119</v>
      </c>
      <c r="C1493" s="46">
        <v>90</v>
      </c>
      <c r="D1493" s="46">
        <v>2193427.9568260815</v>
      </c>
      <c r="E1493" s="43">
        <v>131605.6774095649</v>
      </c>
      <c r="F1493" s="43" t="s">
        <v>70</v>
      </c>
      <c r="G1493" s="43" t="s">
        <v>71</v>
      </c>
      <c r="H1493" s="43" t="s">
        <v>72</v>
      </c>
    </row>
    <row r="1494" spans="1:8" x14ac:dyDescent="0.25">
      <c r="A1494" s="43" t="s">
        <v>3535</v>
      </c>
      <c r="B1494" s="43" t="s">
        <v>93</v>
      </c>
      <c r="C1494" s="46">
        <v>90</v>
      </c>
      <c r="D1494" s="46">
        <v>2159984.3523518844</v>
      </c>
      <c r="E1494" s="43">
        <v>86399.374094075378</v>
      </c>
      <c r="F1494" s="43" t="s">
        <v>87</v>
      </c>
      <c r="G1494" s="43" t="s">
        <v>71</v>
      </c>
      <c r="H1494" s="43" t="s">
        <v>88</v>
      </c>
    </row>
    <row r="1495" spans="1:8" x14ac:dyDescent="0.25">
      <c r="A1495" s="43" t="s">
        <v>2866</v>
      </c>
      <c r="B1495" s="43" t="s">
        <v>77</v>
      </c>
      <c r="C1495" s="46">
        <v>90</v>
      </c>
      <c r="D1495" s="46">
        <v>2100075.6811266923</v>
      </c>
      <c r="E1495" s="43">
        <v>126004.54086760156</v>
      </c>
      <c r="F1495" s="43" t="s">
        <v>106</v>
      </c>
      <c r="G1495" s="43" t="s">
        <v>71</v>
      </c>
      <c r="H1495" s="43" t="s">
        <v>72</v>
      </c>
    </row>
    <row r="1496" spans="1:8" x14ac:dyDescent="0.25">
      <c r="A1496" s="43" t="s">
        <v>1257</v>
      </c>
      <c r="B1496" s="43" t="s">
        <v>93</v>
      </c>
      <c r="C1496" s="46">
        <v>90</v>
      </c>
      <c r="D1496" s="46">
        <v>2615689.5717945579</v>
      </c>
      <c r="E1496" s="43">
        <v>261568.95717945579</v>
      </c>
      <c r="F1496" s="43" t="s">
        <v>70</v>
      </c>
      <c r="G1496" s="43" t="s">
        <v>71</v>
      </c>
      <c r="H1496" s="43" t="s">
        <v>72</v>
      </c>
    </row>
    <row r="1497" spans="1:8" x14ac:dyDescent="0.25">
      <c r="A1497" s="72" t="s">
        <v>1885</v>
      </c>
      <c r="B1497" s="72" t="s">
        <v>75</v>
      </c>
      <c r="C1497" s="73">
        <v>90</v>
      </c>
      <c r="D1497" s="73">
        <v>2213071.130340606</v>
      </c>
      <c r="E1497" s="72">
        <v>199176.40173065453</v>
      </c>
      <c r="F1497" s="72" t="s">
        <v>106</v>
      </c>
      <c r="G1497" s="72" t="s">
        <v>71</v>
      </c>
      <c r="H1497" s="72" t="s">
        <v>72</v>
      </c>
    </row>
    <row r="1498" spans="1:8" x14ac:dyDescent="0.25">
      <c r="A1498" s="72" t="s">
        <v>3695</v>
      </c>
      <c r="B1498" s="72" t="s">
        <v>75</v>
      </c>
      <c r="C1498" s="73">
        <v>90</v>
      </c>
      <c r="D1498" s="73">
        <v>1976563.2406868814</v>
      </c>
      <c r="E1498" s="72">
        <v>79062.529627475262</v>
      </c>
      <c r="F1498" s="72" t="s">
        <v>106</v>
      </c>
      <c r="G1498" s="72" t="s">
        <v>71</v>
      </c>
      <c r="H1498" s="72" t="s">
        <v>72</v>
      </c>
    </row>
    <row r="1499" spans="1:8" x14ac:dyDescent="0.25">
      <c r="A1499" s="43" t="s">
        <v>2482</v>
      </c>
      <c r="B1499" s="43" t="s">
        <v>75</v>
      </c>
      <c r="C1499" s="46">
        <v>90</v>
      </c>
      <c r="D1499" s="46">
        <v>2143622.0469098394</v>
      </c>
      <c r="E1499" s="43">
        <v>150053.54328368875</v>
      </c>
      <c r="F1499" s="43" t="s">
        <v>106</v>
      </c>
      <c r="G1499" s="43" t="s">
        <v>71</v>
      </c>
      <c r="H1499" s="43" t="s">
        <v>72</v>
      </c>
    </row>
    <row r="1500" spans="1:8" x14ac:dyDescent="0.25">
      <c r="A1500" s="43" t="s">
        <v>2547</v>
      </c>
      <c r="B1500" s="43" t="s">
        <v>73</v>
      </c>
      <c r="C1500" s="46">
        <v>90</v>
      </c>
      <c r="D1500" s="46">
        <v>2441933.7614315082</v>
      </c>
      <c r="E1500" s="43">
        <v>146516.02568589049</v>
      </c>
      <c r="F1500" s="43" t="s">
        <v>87</v>
      </c>
      <c r="G1500" s="43" t="s">
        <v>71</v>
      </c>
      <c r="H1500" s="43" t="s">
        <v>88</v>
      </c>
    </row>
    <row r="1501" spans="1:8" x14ac:dyDescent="0.25">
      <c r="A1501" s="72" t="s">
        <v>1258</v>
      </c>
      <c r="B1501" s="72" t="s">
        <v>323</v>
      </c>
      <c r="C1501" s="73">
        <v>90</v>
      </c>
      <c r="D1501" s="73">
        <v>2615689.5717945579</v>
      </c>
      <c r="E1501" s="72">
        <v>261568.95717945579</v>
      </c>
      <c r="F1501" s="72" t="s">
        <v>70</v>
      </c>
      <c r="G1501" s="72" t="s">
        <v>71</v>
      </c>
      <c r="H1501" s="72" t="s">
        <v>72</v>
      </c>
    </row>
    <row r="1502" spans="1:8" x14ac:dyDescent="0.25">
      <c r="A1502" s="72" t="s">
        <v>2311</v>
      </c>
      <c r="B1502" s="72" t="s">
        <v>85</v>
      </c>
      <c r="C1502" s="73">
        <v>90</v>
      </c>
      <c r="D1502" s="73">
        <v>2328160.2368837325</v>
      </c>
      <c r="E1502" s="72">
        <v>162971.21658186126</v>
      </c>
      <c r="F1502" s="72" t="s">
        <v>70</v>
      </c>
      <c r="G1502" s="72" t="s">
        <v>71</v>
      </c>
      <c r="H1502" s="72" t="s">
        <v>72</v>
      </c>
    </row>
    <row r="1503" spans="1:8" x14ac:dyDescent="0.25">
      <c r="A1503" s="43" t="s">
        <v>2476</v>
      </c>
      <c r="B1503" s="43" t="s">
        <v>83</v>
      </c>
      <c r="C1503" s="46">
        <v>90</v>
      </c>
      <c r="D1503" s="46">
        <v>2144691.3279919084</v>
      </c>
      <c r="E1503" s="43">
        <v>150128.39295943358</v>
      </c>
      <c r="F1503" s="43" t="s">
        <v>84</v>
      </c>
      <c r="G1503" s="43" t="s">
        <v>71</v>
      </c>
      <c r="H1503" s="43" t="s">
        <v>72</v>
      </c>
    </row>
    <row r="1504" spans="1:8" x14ac:dyDescent="0.25">
      <c r="A1504" s="72" t="s">
        <v>770</v>
      </c>
      <c r="B1504" s="72" t="s">
        <v>97</v>
      </c>
      <c r="C1504" s="73">
        <v>90</v>
      </c>
      <c r="D1504" s="73">
        <v>2760504.279191942</v>
      </c>
      <c r="E1504" s="72">
        <v>331260.51350303309</v>
      </c>
      <c r="F1504" s="72" t="s">
        <v>70</v>
      </c>
      <c r="G1504" s="72" t="s">
        <v>71</v>
      </c>
      <c r="H1504" s="72" t="s">
        <v>72</v>
      </c>
    </row>
    <row r="1505" spans="1:8" x14ac:dyDescent="0.25">
      <c r="A1505" s="43" t="s">
        <v>3275</v>
      </c>
      <c r="B1505" s="43" t="s">
        <v>170</v>
      </c>
      <c r="C1505" s="46">
        <v>90</v>
      </c>
      <c r="D1505" s="46">
        <v>2008145.7742791553</v>
      </c>
      <c r="E1505" s="43">
        <v>100407.28871395777</v>
      </c>
      <c r="F1505" s="43" t="s">
        <v>70</v>
      </c>
      <c r="G1505" s="43" t="s">
        <v>71</v>
      </c>
      <c r="H1505" s="43" t="s">
        <v>72</v>
      </c>
    </row>
    <row r="1506" spans="1:8" x14ac:dyDescent="0.25">
      <c r="A1506" s="72" t="s">
        <v>2867</v>
      </c>
      <c r="B1506" s="72" t="s">
        <v>75</v>
      </c>
      <c r="C1506" s="73">
        <v>90</v>
      </c>
      <c r="D1506" s="73">
        <v>2100075.6811266923</v>
      </c>
      <c r="E1506" s="72">
        <v>126004.54086760156</v>
      </c>
      <c r="F1506" s="72" t="s">
        <v>106</v>
      </c>
      <c r="G1506" s="72" t="s">
        <v>71</v>
      </c>
      <c r="H1506" s="72" t="s">
        <v>72</v>
      </c>
    </row>
    <row r="1507" spans="1:8" x14ac:dyDescent="0.25">
      <c r="A1507" s="72" t="s">
        <v>1606</v>
      </c>
      <c r="B1507" s="72" t="s">
        <v>257</v>
      </c>
      <c r="C1507" s="73">
        <v>90</v>
      </c>
      <c r="D1507" s="73">
        <v>2241954.2182815727</v>
      </c>
      <c r="E1507" s="72">
        <v>224195.42182815727</v>
      </c>
      <c r="F1507" s="72" t="s">
        <v>106</v>
      </c>
      <c r="G1507" s="72" t="s">
        <v>71</v>
      </c>
      <c r="H1507" s="72" t="s">
        <v>72</v>
      </c>
    </row>
    <row r="1508" spans="1:8" x14ac:dyDescent="0.25">
      <c r="A1508" s="43" t="s">
        <v>2312</v>
      </c>
      <c r="B1508" s="43" t="s">
        <v>211</v>
      </c>
      <c r="C1508" s="46">
        <v>90</v>
      </c>
      <c r="D1508" s="46">
        <v>2328160.2368837325</v>
      </c>
      <c r="E1508" s="43">
        <v>162971.21658186126</v>
      </c>
      <c r="F1508" s="43" t="s">
        <v>70</v>
      </c>
      <c r="G1508" s="43" t="s">
        <v>71</v>
      </c>
      <c r="H1508" s="43" t="s">
        <v>72</v>
      </c>
    </row>
    <row r="1509" spans="1:8" x14ac:dyDescent="0.25">
      <c r="A1509" s="72" t="s">
        <v>1923</v>
      </c>
      <c r="B1509" s="72" t="s">
        <v>211</v>
      </c>
      <c r="C1509" s="73">
        <v>90</v>
      </c>
      <c r="D1509" s="73">
        <v>2437909.2624220182</v>
      </c>
      <c r="E1509" s="72">
        <v>195032.74099376146</v>
      </c>
      <c r="F1509" s="72" t="s">
        <v>70</v>
      </c>
      <c r="G1509" s="72" t="s">
        <v>71</v>
      </c>
      <c r="H1509" s="72" t="s">
        <v>72</v>
      </c>
    </row>
    <row r="1510" spans="1:8" x14ac:dyDescent="0.25">
      <c r="A1510" s="72" t="s">
        <v>585</v>
      </c>
      <c r="B1510" s="72" t="s">
        <v>211</v>
      </c>
      <c r="C1510" s="73">
        <v>90</v>
      </c>
      <c r="D1510" s="73">
        <v>2824773.264265548</v>
      </c>
      <c r="E1510" s="72">
        <v>367220.52435452124</v>
      </c>
      <c r="F1510" s="72" t="s">
        <v>70</v>
      </c>
      <c r="G1510" s="72" t="s">
        <v>71</v>
      </c>
      <c r="H1510" s="72" t="s">
        <v>72</v>
      </c>
    </row>
    <row r="1511" spans="1:8" x14ac:dyDescent="0.25">
      <c r="A1511" s="72" t="s">
        <v>2548</v>
      </c>
      <c r="B1511" s="72" t="s">
        <v>93</v>
      </c>
      <c r="C1511" s="73">
        <v>90</v>
      </c>
      <c r="D1511" s="73">
        <v>2441933.7614315082</v>
      </c>
      <c r="E1511" s="72">
        <v>146516.02568589049</v>
      </c>
      <c r="F1511" s="72" t="s">
        <v>87</v>
      </c>
      <c r="G1511" s="72" t="s">
        <v>71</v>
      </c>
      <c r="H1511" s="72" t="s">
        <v>88</v>
      </c>
    </row>
    <row r="1512" spans="1:8" x14ac:dyDescent="0.25">
      <c r="A1512" s="43" t="s">
        <v>586</v>
      </c>
      <c r="B1512" s="43" t="s">
        <v>97</v>
      </c>
      <c r="C1512" s="46">
        <v>90</v>
      </c>
      <c r="D1512" s="46">
        <v>2824773.264265548</v>
      </c>
      <c r="E1512" s="43">
        <v>367220.52435452124</v>
      </c>
      <c r="F1512" s="43" t="s">
        <v>70</v>
      </c>
      <c r="G1512" s="43" t="s">
        <v>71</v>
      </c>
      <c r="H1512" s="43" t="s">
        <v>72</v>
      </c>
    </row>
    <row r="1513" spans="1:8" x14ac:dyDescent="0.25">
      <c r="A1513" s="72" t="s">
        <v>2477</v>
      </c>
      <c r="B1513" s="72" t="s">
        <v>383</v>
      </c>
      <c r="C1513" s="73">
        <v>90</v>
      </c>
      <c r="D1513" s="73">
        <v>2144691.3279919084</v>
      </c>
      <c r="E1513" s="72">
        <v>150128.39295943358</v>
      </c>
      <c r="F1513" s="72" t="s">
        <v>84</v>
      </c>
      <c r="G1513" s="72" t="s">
        <v>71</v>
      </c>
      <c r="H1513" s="72" t="s">
        <v>72</v>
      </c>
    </row>
    <row r="1514" spans="1:8" x14ac:dyDescent="0.25">
      <c r="A1514" s="72" t="s">
        <v>2775</v>
      </c>
      <c r="B1514" s="72" t="s">
        <v>160</v>
      </c>
      <c r="C1514" s="73">
        <v>90</v>
      </c>
      <c r="D1514" s="73">
        <v>2193427.9568260815</v>
      </c>
      <c r="E1514" s="72">
        <v>131605.6774095649</v>
      </c>
      <c r="F1514" s="72" t="s">
        <v>70</v>
      </c>
      <c r="G1514" s="72" t="s">
        <v>71</v>
      </c>
      <c r="H1514" s="72" t="s">
        <v>72</v>
      </c>
    </row>
    <row r="1515" spans="1:8" x14ac:dyDescent="0.25">
      <c r="A1515" s="72" t="s">
        <v>3276</v>
      </c>
      <c r="B1515" s="72" t="s">
        <v>73</v>
      </c>
      <c r="C1515" s="73">
        <v>90</v>
      </c>
      <c r="D1515" s="73">
        <v>2008145.7742791553</v>
      </c>
      <c r="E1515" s="72">
        <v>100407.28871395777</v>
      </c>
      <c r="F1515" s="72" t="s">
        <v>70</v>
      </c>
      <c r="G1515" s="72" t="s">
        <v>71</v>
      </c>
      <c r="H1515" s="72" t="s">
        <v>72</v>
      </c>
    </row>
    <row r="1516" spans="1:8" x14ac:dyDescent="0.25">
      <c r="A1516" s="43" t="s">
        <v>1259</v>
      </c>
      <c r="B1516" s="43" t="s">
        <v>73</v>
      </c>
      <c r="C1516" s="46">
        <v>90</v>
      </c>
      <c r="D1516" s="46">
        <v>2615689.5717945579</v>
      </c>
      <c r="E1516" s="43">
        <v>261568.95717945579</v>
      </c>
      <c r="F1516" s="43" t="s">
        <v>70</v>
      </c>
      <c r="G1516" s="43" t="s">
        <v>71</v>
      </c>
      <c r="H1516" s="43" t="s">
        <v>72</v>
      </c>
    </row>
    <row r="1517" spans="1:8" x14ac:dyDescent="0.25">
      <c r="A1517" s="43" t="s">
        <v>1199</v>
      </c>
      <c r="B1517" s="43" t="s">
        <v>179</v>
      </c>
      <c r="C1517" s="46">
        <v>90</v>
      </c>
      <c r="D1517" s="46">
        <v>2701049.6029478163</v>
      </c>
      <c r="E1517" s="43">
        <v>270104.96029478166</v>
      </c>
      <c r="F1517" s="43" t="s">
        <v>78</v>
      </c>
      <c r="G1517" s="43" t="s">
        <v>71</v>
      </c>
      <c r="H1517" s="43" t="s">
        <v>72</v>
      </c>
    </row>
    <row r="1518" spans="1:8" x14ac:dyDescent="0.25">
      <c r="A1518" s="43" t="s">
        <v>771</v>
      </c>
      <c r="B1518" s="43" t="s">
        <v>102</v>
      </c>
      <c r="C1518" s="46">
        <v>90</v>
      </c>
      <c r="D1518" s="46">
        <v>2760504.279191942</v>
      </c>
      <c r="E1518" s="43">
        <v>331260.51350303309</v>
      </c>
      <c r="F1518" s="43" t="s">
        <v>70</v>
      </c>
      <c r="G1518" s="43" t="s">
        <v>71</v>
      </c>
      <c r="H1518" s="43" t="s">
        <v>72</v>
      </c>
    </row>
    <row r="1519" spans="1:8" x14ac:dyDescent="0.25">
      <c r="A1519" s="43" t="s">
        <v>1924</v>
      </c>
      <c r="B1519" s="43" t="s">
        <v>1225</v>
      </c>
      <c r="C1519" s="46">
        <v>90</v>
      </c>
      <c r="D1519" s="46">
        <v>2437909.2624220182</v>
      </c>
      <c r="E1519" s="43">
        <v>195032.74099376146</v>
      </c>
      <c r="F1519" s="43" t="s">
        <v>70</v>
      </c>
      <c r="G1519" s="43" t="s">
        <v>71</v>
      </c>
      <c r="H1519" s="43" t="s">
        <v>72</v>
      </c>
    </row>
    <row r="1520" spans="1:8" x14ac:dyDescent="0.25">
      <c r="A1520" s="43" t="s">
        <v>1362</v>
      </c>
      <c r="B1520" s="43" t="s">
        <v>73</v>
      </c>
      <c r="C1520" s="46">
        <v>90</v>
      </c>
      <c r="D1520" s="46">
        <v>2268079.1142511545</v>
      </c>
      <c r="E1520" s="43">
        <v>249488.70256762701</v>
      </c>
      <c r="F1520" s="43" t="s">
        <v>106</v>
      </c>
      <c r="G1520" s="43" t="s">
        <v>71</v>
      </c>
      <c r="H1520" s="43" t="s">
        <v>72</v>
      </c>
    </row>
    <row r="1521" spans="1:8" x14ac:dyDescent="0.25">
      <c r="A1521" s="72" t="s">
        <v>1925</v>
      </c>
      <c r="B1521" s="72" t="s">
        <v>85</v>
      </c>
      <c r="C1521" s="73">
        <v>90</v>
      </c>
      <c r="D1521" s="73">
        <v>2437909.2624220182</v>
      </c>
      <c r="E1521" s="72">
        <v>195032.74099376146</v>
      </c>
      <c r="F1521" s="72" t="s">
        <v>70</v>
      </c>
      <c r="G1521" s="72" t="s">
        <v>71</v>
      </c>
      <c r="H1521" s="72" t="s">
        <v>72</v>
      </c>
    </row>
    <row r="1522" spans="1:8" x14ac:dyDescent="0.25">
      <c r="A1522" s="72" t="s">
        <v>707</v>
      </c>
      <c r="B1522" s="72" t="s">
        <v>73</v>
      </c>
      <c r="C1522" s="73">
        <v>90</v>
      </c>
      <c r="D1522" s="73">
        <v>2849621.6420608885</v>
      </c>
      <c r="E1522" s="72">
        <v>341954.59704730666</v>
      </c>
      <c r="F1522" s="72" t="s">
        <v>78</v>
      </c>
      <c r="G1522" s="72" t="s">
        <v>71</v>
      </c>
      <c r="H1522" s="72" t="s">
        <v>72</v>
      </c>
    </row>
    <row r="1523" spans="1:8" x14ac:dyDescent="0.25">
      <c r="A1523" s="43" t="s">
        <v>2776</v>
      </c>
      <c r="B1523" s="43" t="s">
        <v>110</v>
      </c>
      <c r="C1523" s="46">
        <v>90</v>
      </c>
      <c r="D1523" s="46">
        <v>2193427.9568260815</v>
      </c>
      <c r="E1523" s="43">
        <v>131605.6774095649</v>
      </c>
      <c r="F1523" s="43" t="s">
        <v>70</v>
      </c>
      <c r="G1523" s="43" t="s">
        <v>71</v>
      </c>
      <c r="H1523" s="43" t="s">
        <v>72</v>
      </c>
    </row>
    <row r="1524" spans="1:8" x14ac:dyDescent="0.25">
      <c r="A1524" s="72" t="s">
        <v>2483</v>
      </c>
      <c r="B1524" s="72" t="s">
        <v>105</v>
      </c>
      <c r="C1524" s="73">
        <v>90</v>
      </c>
      <c r="D1524" s="73">
        <v>2143622.0469098394</v>
      </c>
      <c r="E1524" s="72">
        <v>150053.54328368875</v>
      </c>
      <c r="F1524" s="72" t="s">
        <v>106</v>
      </c>
      <c r="G1524" s="72" t="s">
        <v>71</v>
      </c>
      <c r="H1524" s="72" t="s">
        <v>72</v>
      </c>
    </row>
    <row r="1525" spans="1:8" x14ac:dyDescent="0.25">
      <c r="A1525" s="72" t="s">
        <v>587</v>
      </c>
      <c r="B1525" s="72" t="s">
        <v>105</v>
      </c>
      <c r="C1525" s="73">
        <v>90</v>
      </c>
      <c r="D1525" s="73">
        <v>2824773.264265548</v>
      </c>
      <c r="E1525" s="72">
        <v>367220.52435452124</v>
      </c>
      <c r="F1525" s="72" t="s">
        <v>70</v>
      </c>
      <c r="G1525" s="72" t="s">
        <v>71</v>
      </c>
      <c r="H1525" s="72" t="s">
        <v>72</v>
      </c>
    </row>
    <row r="1526" spans="1:8" x14ac:dyDescent="0.25">
      <c r="A1526" s="72" t="s">
        <v>772</v>
      </c>
      <c r="B1526" s="72" t="s">
        <v>323</v>
      </c>
      <c r="C1526" s="73">
        <v>90</v>
      </c>
      <c r="D1526" s="73">
        <v>2760504.279191942</v>
      </c>
      <c r="E1526" s="72">
        <v>331260.51350303309</v>
      </c>
      <c r="F1526" s="72" t="s">
        <v>70</v>
      </c>
      <c r="G1526" s="72" t="s">
        <v>71</v>
      </c>
      <c r="H1526" s="72" t="s">
        <v>72</v>
      </c>
    </row>
    <row r="1527" spans="1:8" x14ac:dyDescent="0.25">
      <c r="A1527" s="72" t="s">
        <v>2313</v>
      </c>
      <c r="B1527" s="72" t="s">
        <v>323</v>
      </c>
      <c r="C1527" s="73">
        <v>90</v>
      </c>
      <c r="D1527" s="73">
        <v>2328160.2368837325</v>
      </c>
      <c r="E1527" s="72">
        <v>162971.21658186126</v>
      </c>
      <c r="F1527" s="72" t="s">
        <v>70</v>
      </c>
      <c r="G1527" s="72" t="s">
        <v>71</v>
      </c>
      <c r="H1527" s="72" t="s">
        <v>72</v>
      </c>
    </row>
    <row r="1528" spans="1:8" x14ac:dyDescent="0.25">
      <c r="A1528" s="43" t="s">
        <v>3277</v>
      </c>
      <c r="B1528" s="43" t="s">
        <v>112</v>
      </c>
      <c r="C1528" s="46">
        <v>90</v>
      </c>
      <c r="D1528" s="46">
        <v>2008145.7742791553</v>
      </c>
      <c r="E1528" s="43">
        <v>100407.28871395777</v>
      </c>
      <c r="F1528" s="43" t="s">
        <v>70</v>
      </c>
      <c r="G1528" s="43" t="s">
        <v>71</v>
      </c>
      <c r="H1528" s="43" t="s">
        <v>72</v>
      </c>
    </row>
    <row r="1529" spans="1:8" x14ac:dyDescent="0.25">
      <c r="A1529" s="72" t="s">
        <v>1260</v>
      </c>
      <c r="B1529" s="72" t="s">
        <v>323</v>
      </c>
      <c r="C1529" s="73">
        <v>90</v>
      </c>
      <c r="D1529" s="73">
        <v>2615689.5717945579</v>
      </c>
      <c r="E1529" s="72">
        <v>261568.95717945579</v>
      </c>
      <c r="F1529" s="72" t="s">
        <v>70</v>
      </c>
      <c r="G1529" s="72" t="s">
        <v>71</v>
      </c>
      <c r="H1529" s="72" t="s">
        <v>72</v>
      </c>
    </row>
    <row r="1530" spans="1:8" x14ac:dyDescent="0.25">
      <c r="A1530" s="72" t="s">
        <v>556</v>
      </c>
      <c r="B1530" s="72" t="s">
        <v>93</v>
      </c>
      <c r="C1530" s="73">
        <v>90</v>
      </c>
      <c r="D1530" s="73">
        <v>2878789.1833302057</v>
      </c>
      <c r="E1530" s="72">
        <v>374242.59383292677</v>
      </c>
      <c r="F1530" s="72" t="s">
        <v>87</v>
      </c>
      <c r="G1530" s="72" t="s">
        <v>71</v>
      </c>
      <c r="H1530" s="72" t="s">
        <v>88</v>
      </c>
    </row>
    <row r="1531" spans="1:8" x14ac:dyDescent="0.25">
      <c r="A1531" s="43" t="s">
        <v>557</v>
      </c>
      <c r="B1531" s="43" t="s">
        <v>217</v>
      </c>
      <c r="C1531" s="46">
        <v>90</v>
      </c>
      <c r="D1531" s="46">
        <v>2878789.1833302057</v>
      </c>
      <c r="E1531" s="43">
        <v>374242.59383292677</v>
      </c>
      <c r="F1531" s="43" t="s">
        <v>87</v>
      </c>
      <c r="G1531" s="43" t="s">
        <v>71</v>
      </c>
      <c r="H1531" s="43" t="s">
        <v>88</v>
      </c>
    </row>
    <row r="1532" spans="1:8" x14ac:dyDescent="0.25">
      <c r="A1532" s="43" t="s">
        <v>773</v>
      </c>
      <c r="B1532" s="43" t="s">
        <v>303</v>
      </c>
      <c r="C1532" s="46">
        <v>90</v>
      </c>
      <c r="D1532" s="46">
        <v>2760504.279191942</v>
      </c>
      <c r="E1532" s="43">
        <v>331260.51350303309</v>
      </c>
      <c r="F1532" s="43" t="s">
        <v>70</v>
      </c>
      <c r="G1532" s="43" t="s">
        <v>71</v>
      </c>
      <c r="H1532" s="43" t="s">
        <v>72</v>
      </c>
    </row>
    <row r="1533" spans="1:8" x14ac:dyDescent="0.25">
      <c r="A1533" s="43" t="s">
        <v>1261</v>
      </c>
      <c r="B1533" s="43" t="s">
        <v>74</v>
      </c>
      <c r="C1533" s="46">
        <v>90</v>
      </c>
      <c r="D1533" s="46">
        <v>2615689.5717945579</v>
      </c>
      <c r="E1533" s="43">
        <v>261568.95717945579</v>
      </c>
      <c r="F1533" s="43" t="s">
        <v>70</v>
      </c>
      <c r="G1533" s="43" t="s">
        <v>71</v>
      </c>
      <c r="H1533" s="43" t="s">
        <v>72</v>
      </c>
    </row>
    <row r="1534" spans="1:8" x14ac:dyDescent="0.25">
      <c r="A1534" s="72" t="s">
        <v>1262</v>
      </c>
      <c r="B1534" s="72" t="s">
        <v>85</v>
      </c>
      <c r="C1534" s="73">
        <v>90</v>
      </c>
      <c r="D1534" s="73">
        <v>2615689.5717945579</v>
      </c>
      <c r="E1534" s="72">
        <v>261568.95717945579</v>
      </c>
      <c r="F1534" s="72" t="s">
        <v>70</v>
      </c>
      <c r="G1534" s="72" t="s">
        <v>71</v>
      </c>
      <c r="H1534" s="72" t="s">
        <v>72</v>
      </c>
    </row>
    <row r="1535" spans="1:8" x14ac:dyDescent="0.25">
      <c r="A1535" s="43" t="s">
        <v>2868</v>
      </c>
      <c r="B1535" s="43" t="s">
        <v>149</v>
      </c>
      <c r="C1535" s="46">
        <v>90</v>
      </c>
      <c r="D1535" s="46">
        <v>2100075.6811266923</v>
      </c>
      <c r="E1535" s="43">
        <v>126004.54086760156</v>
      </c>
      <c r="F1535" s="43" t="s">
        <v>106</v>
      </c>
      <c r="G1535" s="43" t="s">
        <v>71</v>
      </c>
      <c r="H1535" s="43" t="s">
        <v>72</v>
      </c>
    </row>
    <row r="1536" spans="1:8" x14ac:dyDescent="0.25">
      <c r="A1536" s="72" t="s">
        <v>1000</v>
      </c>
      <c r="B1536" s="72" t="s">
        <v>93</v>
      </c>
      <c r="C1536" s="73">
        <v>90</v>
      </c>
      <c r="D1536" s="73">
        <v>2691212.0327523104</v>
      </c>
      <c r="E1536" s="72">
        <v>296033.32360275416</v>
      </c>
      <c r="F1536" s="72" t="s">
        <v>70</v>
      </c>
      <c r="G1536" s="72" t="s">
        <v>71</v>
      </c>
      <c r="H1536" s="72" t="s">
        <v>72</v>
      </c>
    </row>
    <row r="1537" spans="1:8" x14ac:dyDescent="0.25">
      <c r="A1537" s="43" t="s">
        <v>2484</v>
      </c>
      <c r="B1537" s="43" t="s">
        <v>77</v>
      </c>
      <c r="C1537" s="46">
        <v>90</v>
      </c>
      <c r="D1537" s="46">
        <v>2143622.0469098394</v>
      </c>
      <c r="E1537" s="43">
        <v>150053.54328368875</v>
      </c>
      <c r="F1537" s="43" t="s">
        <v>106</v>
      </c>
      <c r="G1537" s="43" t="s">
        <v>71</v>
      </c>
      <c r="H1537" s="43" t="s">
        <v>72</v>
      </c>
    </row>
    <row r="1538" spans="1:8" x14ac:dyDescent="0.25">
      <c r="A1538" s="43" t="s">
        <v>2163</v>
      </c>
      <c r="B1538" s="43" t="s">
        <v>127</v>
      </c>
      <c r="C1538" s="46">
        <v>90</v>
      </c>
      <c r="D1538" s="46">
        <v>2180673.286450909</v>
      </c>
      <c r="E1538" s="43">
        <v>174453.86291607271</v>
      </c>
      <c r="F1538" s="43" t="s">
        <v>106</v>
      </c>
      <c r="G1538" s="43" t="s">
        <v>71</v>
      </c>
      <c r="H1538" s="43" t="s">
        <v>72</v>
      </c>
    </row>
    <row r="1539" spans="1:8" x14ac:dyDescent="0.25">
      <c r="A1539" s="72" t="s">
        <v>1363</v>
      </c>
      <c r="B1539" s="72" t="s">
        <v>127</v>
      </c>
      <c r="C1539" s="73">
        <v>90</v>
      </c>
      <c r="D1539" s="73">
        <v>2268079.1142511545</v>
      </c>
      <c r="E1539" s="72">
        <v>249488.70256762701</v>
      </c>
      <c r="F1539" s="72" t="s">
        <v>106</v>
      </c>
      <c r="G1539" s="72" t="s">
        <v>71</v>
      </c>
      <c r="H1539" s="72" t="s">
        <v>72</v>
      </c>
    </row>
    <row r="1540" spans="1:8" x14ac:dyDescent="0.25">
      <c r="A1540" s="43" t="s">
        <v>1001</v>
      </c>
      <c r="B1540" s="43" t="s">
        <v>85</v>
      </c>
      <c r="C1540" s="46">
        <v>90</v>
      </c>
      <c r="D1540" s="46">
        <v>2691212.0327523104</v>
      </c>
      <c r="E1540" s="43">
        <v>296033.32360275416</v>
      </c>
      <c r="F1540" s="43" t="s">
        <v>70</v>
      </c>
      <c r="G1540" s="43" t="s">
        <v>71</v>
      </c>
      <c r="H1540" s="43" t="s">
        <v>72</v>
      </c>
    </row>
    <row r="1541" spans="1:8" x14ac:dyDescent="0.25">
      <c r="A1541" s="43" t="s">
        <v>1948</v>
      </c>
      <c r="B1541" s="43" t="s">
        <v>229</v>
      </c>
      <c r="C1541" s="46">
        <v>89</v>
      </c>
      <c r="D1541" s="46">
        <v>2409515.6542084417</v>
      </c>
      <c r="E1541" s="43">
        <v>192761.25233667533</v>
      </c>
      <c r="F1541" s="43" t="s">
        <v>70</v>
      </c>
      <c r="G1541" s="43" t="s">
        <v>71</v>
      </c>
      <c r="H1541" s="43" t="s">
        <v>72</v>
      </c>
    </row>
    <row r="1542" spans="1:8" x14ac:dyDescent="0.25">
      <c r="A1542" s="43" t="s">
        <v>944</v>
      </c>
      <c r="B1542" s="43" t="s">
        <v>93</v>
      </c>
      <c r="C1542" s="46">
        <v>89</v>
      </c>
      <c r="D1542" s="46">
        <v>2753406.6296246154</v>
      </c>
      <c r="E1542" s="43">
        <v>302874.72925870772</v>
      </c>
      <c r="F1542" s="43" t="s">
        <v>87</v>
      </c>
      <c r="G1542" s="43" t="s">
        <v>71</v>
      </c>
      <c r="H1542" s="43" t="s">
        <v>88</v>
      </c>
    </row>
    <row r="1543" spans="1:8" x14ac:dyDescent="0.25">
      <c r="A1543" s="43" t="s">
        <v>2339</v>
      </c>
      <c r="B1543" s="43" t="s">
        <v>102</v>
      </c>
      <c r="C1543" s="46">
        <v>89</v>
      </c>
      <c r="D1543" s="46">
        <v>2300986.0622872487</v>
      </c>
      <c r="E1543" s="43">
        <v>161069.0243601074</v>
      </c>
      <c r="F1543" s="43" t="s">
        <v>70</v>
      </c>
      <c r="G1543" s="43" t="s">
        <v>71</v>
      </c>
      <c r="H1543" s="43" t="s">
        <v>72</v>
      </c>
    </row>
    <row r="1544" spans="1:8" x14ac:dyDescent="0.25">
      <c r="A1544" s="72" t="s">
        <v>1632</v>
      </c>
      <c r="B1544" s="72" t="s">
        <v>176</v>
      </c>
      <c r="C1544" s="73">
        <v>89</v>
      </c>
      <c r="D1544" s="73">
        <v>2215940.2946787756</v>
      </c>
      <c r="E1544" s="72">
        <v>221594.02946787758</v>
      </c>
      <c r="F1544" s="72" t="s">
        <v>106</v>
      </c>
      <c r="G1544" s="72" t="s">
        <v>71</v>
      </c>
      <c r="H1544" s="72" t="s">
        <v>72</v>
      </c>
    </row>
    <row r="1545" spans="1:8" x14ac:dyDescent="0.25">
      <c r="A1545" s="43" t="s">
        <v>1591</v>
      </c>
      <c r="B1545" s="43" t="s">
        <v>323</v>
      </c>
      <c r="C1545" s="46">
        <v>89</v>
      </c>
      <c r="D1545" s="46">
        <v>2502732.4191376031</v>
      </c>
      <c r="E1545" s="43">
        <v>225245.91772238427</v>
      </c>
      <c r="F1545" s="43" t="s">
        <v>70</v>
      </c>
      <c r="G1545" s="43" t="s">
        <v>71</v>
      </c>
      <c r="H1545" s="43" t="s">
        <v>72</v>
      </c>
    </row>
    <row r="1546" spans="1:8" x14ac:dyDescent="0.25">
      <c r="A1546" s="72" t="s">
        <v>2340</v>
      </c>
      <c r="B1546" s="72" t="s">
        <v>211</v>
      </c>
      <c r="C1546" s="73">
        <v>89</v>
      </c>
      <c r="D1546" s="73">
        <v>2300986.0622872487</v>
      </c>
      <c r="E1546" s="72">
        <v>161069.0243601074</v>
      </c>
      <c r="F1546" s="72" t="s">
        <v>70</v>
      </c>
      <c r="G1546" s="72" t="s">
        <v>71</v>
      </c>
      <c r="H1546" s="72" t="s">
        <v>72</v>
      </c>
    </row>
    <row r="1547" spans="1:8" x14ac:dyDescent="0.25">
      <c r="A1547" s="72" t="s">
        <v>1286</v>
      </c>
      <c r="B1547" s="72" t="s">
        <v>97</v>
      </c>
      <c r="C1547" s="73">
        <v>89</v>
      </c>
      <c r="D1547" s="73">
        <v>2585320.6268101758</v>
      </c>
      <c r="E1547" s="72">
        <v>258532.06268101759</v>
      </c>
      <c r="F1547" s="72" t="s">
        <v>70</v>
      </c>
      <c r="G1547" s="72" t="s">
        <v>71</v>
      </c>
      <c r="H1547" s="72" t="s">
        <v>72</v>
      </c>
    </row>
    <row r="1548" spans="1:8" x14ac:dyDescent="0.25">
      <c r="A1548" s="43" t="s">
        <v>611</v>
      </c>
      <c r="B1548" s="43" t="s">
        <v>323</v>
      </c>
      <c r="C1548" s="46">
        <v>89</v>
      </c>
      <c r="D1548" s="46">
        <v>2792081.1671425994</v>
      </c>
      <c r="E1548" s="43">
        <v>362970.55172853795</v>
      </c>
      <c r="F1548" s="43" t="s">
        <v>70</v>
      </c>
      <c r="G1548" s="43" t="s">
        <v>71</v>
      </c>
      <c r="H1548" s="43" t="s">
        <v>72</v>
      </c>
    </row>
    <row r="1549" spans="1:8" x14ac:dyDescent="0.25">
      <c r="A1549" s="72" t="s">
        <v>1198</v>
      </c>
      <c r="B1549" s="72" t="s">
        <v>202</v>
      </c>
      <c r="C1549" s="73">
        <v>89</v>
      </c>
      <c r="D1549" s="73">
        <v>2701072.7657772461</v>
      </c>
      <c r="E1549" s="72">
        <v>270107.27657772461</v>
      </c>
      <c r="F1549" s="72" t="s">
        <v>87</v>
      </c>
      <c r="G1549" s="72" t="s">
        <v>71</v>
      </c>
      <c r="H1549" s="72" t="s">
        <v>88</v>
      </c>
    </row>
    <row r="1550" spans="1:8" x14ac:dyDescent="0.25">
      <c r="A1550" s="43" t="s">
        <v>1393</v>
      </c>
      <c r="B1550" s="43" t="s">
        <v>257</v>
      </c>
      <c r="C1550" s="46">
        <v>89</v>
      </c>
      <c r="D1550" s="46">
        <v>2241774.9140264732</v>
      </c>
      <c r="E1550" s="43">
        <v>246595.24054291207</v>
      </c>
      <c r="F1550" s="43" t="s">
        <v>106</v>
      </c>
      <c r="G1550" s="43" t="s">
        <v>71</v>
      </c>
      <c r="H1550" s="43" t="s">
        <v>72</v>
      </c>
    </row>
    <row r="1551" spans="1:8" x14ac:dyDescent="0.25">
      <c r="A1551" s="72" t="s">
        <v>1592</v>
      </c>
      <c r="B1551" s="72" t="s">
        <v>110</v>
      </c>
      <c r="C1551" s="73">
        <v>89</v>
      </c>
      <c r="D1551" s="73">
        <v>2502732.4191376031</v>
      </c>
      <c r="E1551" s="72">
        <v>225245.91772238427</v>
      </c>
      <c r="F1551" s="72" t="s">
        <v>70</v>
      </c>
      <c r="G1551" s="72" t="s">
        <v>71</v>
      </c>
      <c r="H1551" s="72" t="s">
        <v>72</v>
      </c>
    </row>
    <row r="1552" spans="1:8" x14ac:dyDescent="0.25">
      <c r="A1552" s="72" t="s">
        <v>1949</v>
      </c>
      <c r="B1552" s="72" t="s">
        <v>323</v>
      </c>
      <c r="C1552" s="73">
        <v>89</v>
      </c>
      <c r="D1552" s="73">
        <v>2409515.6542084417</v>
      </c>
      <c r="E1552" s="72">
        <v>192761.25233667533</v>
      </c>
      <c r="F1552" s="72" t="s">
        <v>70</v>
      </c>
      <c r="G1552" s="72" t="s">
        <v>71</v>
      </c>
      <c r="H1552" s="72" t="s">
        <v>72</v>
      </c>
    </row>
    <row r="1553" spans="1:8" x14ac:dyDescent="0.25">
      <c r="A1553" s="43" t="s">
        <v>2341</v>
      </c>
      <c r="B1553" s="43" t="s">
        <v>103</v>
      </c>
      <c r="C1553" s="46">
        <v>89</v>
      </c>
      <c r="D1553" s="46">
        <v>2300986.0622872487</v>
      </c>
      <c r="E1553" s="43">
        <v>161069.0243601074</v>
      </c>
      <c r="F1553" s="43" t="s">
        <v>70</v>
      </c>
      <c r="G1553" s="43" t="s">
        <v>71</v>
      </c>
      <c r="H1553" s="43" t="s">
        <v>72</v>
      </c>
    </row>
    <row r="1554" spans="1:8" x14ac:dyDescent="0.25">
      <c r="A1554" s="72" t="s">
        <v>612</v>
      </c>
      <c r="B1554" s="72" t="s">
        <v>73</v>
      </c>
      <c r="C1554" s="73">
        <v>89</v>
      </c>
      <c r="D1554" s="73">
        <v>2792081.1671425994</v>
      </c>
      <c r="E1554" s="72">
        <v>362970.55172853795</v>
      </c>
      <c r="F1554" s="72" t="s">
        <v>70</v>
      </c>
      <c r="G1554" s="72" t="s">
        <v>71</v>
      </c>
      <c r="H1554" s="72" t="s">
        <v>72</v>
      </c>
    </row>
    <row r="1555" spans="1:8" x14ac:dyDescent="0.25">
      <c r="A1555" s="43" t="s">
        <v>613</v>
      </c>
      <c r="B1555" s="43" t="s">
        <v>73</v>
      </c>
      <c r="C1555" s="46">
        <v>89</v>
      </c>
      <c r="D1555" s="46">
        <v>2792081.1671425994</v>
      </c>
      <c r="E1555" s="43">
        <v>362970.55172853795</v>
      </c>
      <c r="F1555" s="43" t="s">
        <v>70</v>
      </c>
      <c r="G1555" s="43" t="s">
        <v>71</v>
      </c>
      <c r="H1555" s="43" t="s">
        <v>72</v>
      </c>
    </row>
    <row r="1556" spans="1:8" x14ac:dyDescent="0.25">
      <c r="A1556" s="72" t="s">
        <v>3302</v>
      </c>
      <c r="B1556" s="72" t="s">
        <v>102</v>
      </c>
      <c r="C1556" s="73">
        <v>89</v>
      </c>
      <c r="D1556" s="73">
        <v>1984527.3159338331</v>
      </c>
      <c r="E1556" s="72">
        <v>99226.365796691665</v>
      </c>
      <c r="F1556" s="72" t="s">
        <v>70</v>
      </c>
      <c r="G1556" s="72" t="s">
        <v>71</v>
      </c>
      <c r="H1556" s="72" t="s">
        <v>72</v>
      </c>
    </row>
    <row r="1557" spans="1:8" x14ac:dyDescent="0.25">
      <c r="A1557" s="43" t="s">
        <v>3303</v>
      </c>
      <c r="B1557" s="43" t="s">
        <v>102</v>
      </c>
      <c r="C1557" s="46">
        <v>89</v>
      </c>
      <c r="D1557" s="46">
        <v>1984527.3159338331</v>
      </c>
      <c r="E1557" s="43">
        <v>99226.365796691665</v>
      </c>
      <c r="F1557" s="43" t="s">
        <v>70</v>
      </c>
      <c r="G1557" s="43" t="s">
        <v>71</v>
      </c>
      <c r="H1557" s="43" t="s">
        <v>72</v>
      </c>
    </row>
    <row r="1558" spans="1:8" x14ac:dyDescent="0.25">
      <c r="A1558" s="43" t="s">
        <v>2809</v>
      </c>
      <c r="B1558" s="43" t="s">
        <v>323</v>
      </c>
      <c r="C1558" s="46">
        <v>89</v>
      </c>
      <c r="D1558" s="46">
        <v>2167750.8075635713</v>
      </c>
      <c r="E1558" s="43">
        <v>130065.04845381431</v>
      </c>
      <c r="F1558" s="43" t="s">
        <v>70</v>
      </c>
      <c r="G1558" s="43" t="s">
        <v>71</v>
      </c>
      <c r="H1558" s="43" t="s">
        <v>72</v>
      </c>
    </row>
    <row r="1559" spans="1:8" x14ac:dyDescent="0.25">
      <c r="A1559" s="43" t="s">
        <v>1593</v>
      </c>
      <c r="B1559" s="43" t="s">
        <v>323</v>
      </c>
      <c r="C1559" s="46">
        <v>89</v>
      </c>
      <c r="D1559" s="46">
        <v>2502732.4191376031</v>
      </c>
      <c r="E1559" s="43">
        <v>225245.91772238427</v>
      </c>
      <c r="F1559" s="43" t="s">
        <v>70</v>
      </c>
      <c r="G1559" s="43" t="s">
        <v>71</v>
      </c>
      <c r="H1559" s="43" t="s">
        <v>72</v>
      </c>
    </row>
    <row r="1560" spans="1:8" x14ac:dyDescent="0.25">
      <c r="A1560" s="72" t="s">
        <v>2342</v>
      </c>
      <c r="B1560" s="72" t="s">
        <v>74</v>
      </c>
      <c r="C1560" s="73">
        <v>89</v>
      </c>
      <c r="D1560" s="73">
        <v>2300986.0622872487</v>
      </c>
      <c r="E1560" s="72">
        <v>161069.0243601074</v>
      </c>
      <c r="F1560" s="72" t="s">
        <v>70</v>
      </c>
      <c r="G1560" s="72" t="s">
        <v>71</v>
      </c>
      <c r="H1560" s="72" t="s">
        <v>72</v>
      </c>
    </row>
    <row r="1561" spans="1:8" x14ac:dyDescent="0.25">
      <c r="A1561" s="72" t="s">
        <v>3304</v>
      </c>
      <c r="B1561" s="72" t="s">
        <v>85</v>
      </c>
      <c r="C1561" s="73">
        <v>89</v>
      </c>
      <c r="D1561" s="73">
        <v>1984527.3159338331</v>
      </c>
      <c r="E1561" s="72">
        <v>99226.365796691665</v>
      </c>
      <c r="F1561" s="72" t="s">
        <v>70</v>
      </c>
      <c r="G1561" s="72" t="s">
        <v>71</v>
      </c>
      <c r="H1561" s="72" t="s">
        <v>72</v>
      </c>
    </row>
    <row r="1562" spans="1:8" x14ac:dyDescent="0.25">
      <c r="A1562" s="72" t="s">
        <v>792</v>
      </c>
      <c r="B1562" s="72" t="s">
        <v>69</v>
      </c>
      <c r="C1562" s="73">
        <v>89</v>
      </c>
      <c r="D1562" s="73">
        <v>2728526.281903144</v>
      </c>
      <c r="E1562" s="72">
        <v>327423.15382837731</v>
      </c>
      <c r="F1562" s="72" t="s">
        <v>70</v>
      </c>
      <c r="G1562" s="72" t="s">
        <v>71</v>
      </c>
      <c r="H1562" s="72" t="s">
        <v>72</v>
      </c>
    </row>
    <row r="1563" spans="1:8" x14ac:dyDescent="0.25">
      <c r="A1563" s="43" t="s">
        <v>407</v>
      </c>
      <c r="B1563" s="43" t="s">
        <v>323</v>
      </c>
      <c r="C1563" s="46">
        <v>89</v>
      </c>
      <c r="D1563" s="46">
        <v>2300986.0622872487</v>
      </c>
      <c r="E1563" s="43">
        <v>161069.0243601074</v>
      </c>
      <c r="F1563" s="43" t="s">
        <v>70</v>
      </c>
      <c r="G1563" s="43" t="s">
        <v>71</v>
      </c>
      <c r="H1563" s="43" t="s">
        <v>72</v>
      </c>
    </row>
    <row r="1564" spans="1:8" x14ac:dyDescent="0.25">
      <c r="A1564" s="43" t="s">
        <v>4314</v>
      </c>
      <c r="B1564" s="43" t="s">
        <v>75</v>
      </c>
      <c r="C1564" s="46">
        <v>88</v>
      </c>
      <c r="D1564" s="46">
        <v>1825133.9188362344</v>
      </c>
      <c r="E1564" s="43">
        <v>54754.017565087044</v>
      </c>
      <c r="F1564" s="43" t="s">
        <v>106</v>
      </c>
      <c r="G1564" s="43" t="s">
        <v>71</v>
      </c>
      <c r="H1564" s="43" t="s">
        <v>72</v>
      </c>
    </row>
    <row r="1565" spans="1:8" x14ac:dyDescent="0.25">
      <c r="A1565" s="72" t="s">
        <v>2830</v>
      </c>
      <c r="B1565" s="72" t="s">
        <v>211</v>
      </c>
      <c r="C1565" s="73">
        <v>88</v>
      </c>
      <c r="D1565" s="73">
        <v>2142104.1940597962</v>
      </c>
      <c r="E1565" s="72">
        <v>128526.25164358779</v>
      </c>
      <c r="F1565" s="72" t="s">
        <v>70</v>
      </c>
      <c r="G1565" s="72" t="s">
        <v>71</v>
      </c>
      <c r="H1565" s="72" t="s">
        <v>72</v>
      </c>
    </row>
    <row r="1566" spans="1:8" x14ac:dyDescent="0.25">
      <c r="A1566" s="43" t="s">
        <v>3573</v>
      </c>
      <c r="B1566" s="43" t="s">
        <v>93</v>
      </c>
      <c r="C1566" s="46">
        <v>88</v>
      </c>
      <c r="D1566" s="46">
        <v>2109763.3156240103</v>
      </c>
      <c r="E1566" s="43">
        <v>84390.532624960411</v>
      </c>
      <c r="F1566" s="43" t="s">
        <v>87</v>
      </c>
      <c r="G1566" s="43" t="s">
        <v>71</v>
      </c>
      <c r="H1566" s="43" t="s">
        <v>88</v>
      </c>
    </row>
    <row r="1567" spans="1:8" x14ac:dyDescent="0.25">
      <c r="A1567" s="43" t="s">
        <v>1621</v>
      </c>
      <c r="B1567" s="43" t="s">
        <v>85</v>
      </c>
      <c r="C1567" s="46">
        <v>88</v>
      </c>
      <c r="D1567" s="46">
        <v>2473321.9673015359</v>
      </c>
      <c r="E1567" s="43">
        <v>222598.97705713823</v>
      </c>
      <c r="F1567" s="43" t="s">
        <v>70</v>
      </c>
      <c r="G1567" s="43" t="s">
        <v>71</v>
      </c>
      <c r="H1567" s="43" t="s">
        <v>72</v>
      </c>
    </row>
    <row r="1568" spans="1:8" x14ac:dyDescent="0.25">
      <c r="A1568" s="72" t="s">
        <v>567</v>
      </c>
      <c r="B1568" s="72" t="s">
        <v>85</v>
      </c>
      <c r="C1568" s="73">
        <v>88</v>
      </c>
      <c r="D1568" s="73">
        <v>2847761.4136701766</v>
      </c>
      <c r="E1568" s="72">
        <v>370208.98377712298</v>
      </c>
      <c r="F1568" s="72" t="s">
        <v>78</v>
      </c>
      <c r="G1568" s="72" t="s">
        <v>71</v>
      </c>
      <c r="H1568" s="72" t="s">
        <v>72</v>
      </c>
    </row>
    <row r="1569" spans="1:8" x14ac:dyDescent="0.25">
      <c r="A1569" s="43" t="s">
        <v>3319</v>
      </c>
      <c r="B1569" s="43" t="s">
        <v>323</v>
      </c>
      <c r="C1569" s="46">
        <v>88</v>
      </c>
      <c r="D1569" s="46">
        <v>1960939.3933472461</v>
      </c>
      <c r="E1569" s="43">
        <v>98046.969667362311</v>
      </c>
      <c r="F1569" s="43" t="s">
        <v>70</v>
      </c>
      <c r="G1569" s="43" t="s">
        <v>71</v>
      </c>
      <c r="H1569" s="43" t="s">
        <v>72</v>
      </c>
    </row>
    <row r="1570" spans="1:8" x14ac:dyDescent="0.25">
      <c r="A1570" s="72" t="s">
        <v>1622</v>
      </c>
      <c r="B1570" s="72" t="s">
        <v>107</v>
      </c>
      <c r="C1570" s="73">
        <v>88</v>
      </c>
      <c r="D1570" s="73">
        <v>2473321.9673015359</v>
      </c>
      <c r="E1570" s="72">
        <v>222598.97705713823</v>
      </c>
      <c r="F1570" s="72" t="s">
        <v>70</v>
      </c>
      <c r="G1570" s="72" t="s">
        <v>71</v>
      </c>
      <c r="H1570" s="72" t="s">
        <v>72</v>
      </c>
    </row>
    <row r="1571" spans="1:8" x14ac:dyDescent="0.25">
      <c r="A1571" s="43" t="s">
        <v>2831</v>
      </c>
      <c r="B1571" s="43" t="s">
        <v>102</v>
      </c>
      <c r="C1571" s="46">
        <v>88</v>
      </c>
      <c r="D1571" s="46">
        <v>2142104.1940597962</v>
      </c>
      <c r="E1571" s="43">
        <v>128526.25164358779</v>
      </c>
      <c r="F1571" s="43" t="s">
        <v>70</v>
      </c>
      <c r="G1571" s="43" t="s">
        <v>71</v>
      </c>
      <c r="H1571" s="43" t="s">
        <v>72</v>
      </c>
    </row>
    <row r="1572" spans="1:8" x14ac:dyDescent="0.25">
      <c r="A1572" s="43" t="s">
        <v>1623</v>
      </c>
      <c r="B1572" s="43" t="s">
        <v>73</v>
      </c>
      <c r="C1572" s="46">
        <v>88</v>
      </c>
      <c r="D1572" s="46">
        <v>2473321.9673015359</v>
      </c>
      <c r="E1572" s="43">
        <v>222598.97705713823</v>
      </c>
      <c r="F1572" s="43" t="s">
        <v>70</v>
      </c>
      <c r="G1572" s="43" t="s">
        <v>71</v>
      </c>
      <c r="H1572" s="43" t="s">
        <v>72</v>
      </c>
    </row>
    <row r="1573" spans="1:8" x14ac:dyDescent="0.25">
      <c r="A1573" s="43" t="s">
        <v>820</v>
      </c>
      <c r="B1573" s="43" t="s">
        <v>73</v>
      </c>
      <c r="C1573" s="46">
        <v>88</v>
      </c>
      <c r="D1573" s="46">
        <v>2696578.8203730821</v>
      </c>
      <c r="E1573" s="43">
        <v>323589.4584447699</v>
      </c>
      <c r="F1573" s="43" t="s">
        <v>70</v>
      </c>
      <c r="G1573" s="43" t="s">
        <v>71</v>
      </c>
      <c r="H1573" s="43" t="s">
        <v>72</v>
      </c>
    </row>
    <row r="1574" spans="1:8" x14ac:dyDescent="0.25">
      <c r="A1574" s="72" t="s">
        <v>3282</v>
      </c>
      <c r="B1574" s="72" t="s">
        <v>73</v>
      </c>
      <c r="C1574" s="73">
        <v>88</v>
      </c>
      <c r="D1574" s="73">
        <v>1998873.4093657441</v>
      </c>
      <c r="E1574" s="72">
        <v>99943.670468287208</v>
      </c>
      <c r="F1574" s="72" t="s">
        <v>106</v>
      </c>
      <c r="G1574" s="72" t="s">
        <v>71</v>
      </c>
      <c r="H1574" s="72" t="s">
        <v>72</v>
      </c>
    </row>
    <row r="1575" spans="1:8" x14ac:dyDescent="0.25">
      <c r="A1575" s="72" t="s">
        <v>3320</v>
      </c>
      <c r="B1575" s="72" t="s">
        <v>110</v>
      </c>
      <c r="C1575" s="73">
        <v>88</v>
      </c>
      <c r="D1575" s="73">
        <v>1960939.3933472461</v>
      </c>
      <c r="E1575" s="72">
        <v>98046.969667362311</v>
      </c>
      <c r="F1575" s="72" t="s">
        <v>70</v>
      </c>
      <c r="G1575" s="72" t="s">
        <v>71</v>
      </c>
      <c r="H1575" s="72" t="s">
        <v>72</v>
      </c>
    </row>
    <row r="1576" spans="1:8" x14ac:dyDescent="0.25">
      <c r="A1576" s="72" t="s">
        <v>1927</v>
      </c>
      <c r="B1576" s="72" t="s">
        <v>105</v>
      </c>
      <c r="C1576" s="73">
        <v>88</v>
      </c>
      <c r="D1576" s="73">
        <v>2161520.4838832994</v>
      </c>
      <c r="E1576" s="72">
        <v>194536.84354949693</v>
      </c>
      <c r="F1576" s="72" t="s">
        <v>106</v>
      </c>
      <c r="G1576" s="72" t="s">
        <v>71</v>
      </c>
      <c r="H1576" s="72" t="s">
        <v>72</v>
      </c>
    </row>
    <row r="1577" spans="1:8" x14ac:dyDescent="0.25">
      <c r="A1577" s="72" t="s">
        <v>2832</v>
      </c>
      <c r="B1577" s="72" t="s">
        <v>323</v>
      </c>
      <c r="C1577" s="73">
        <v>88</v>
      </c>
      <c r="D1577" s="73">
        <v>2142104.1940597962</v>
      </c>
      <c r="E1577" s="72">
        <v>128526.25164358779</v>
      </c>
      <c r="F1577" s="72" t="s">
        <v>70</v>
      </c>
      <c r="G1577" s="72" t="s">
        <v>71</v>
      </c>
      <c r="H1577" s="72" t="s">
        <v>72</v>
      </c>
    </row>
    <row r="1578" spans="1:8" x14ac:dyDescent="0.25">
      <c r="A1578" s="72" t="s">
        <v>1624</v>
      </c>
      <c r="B1578" s="72" t="s">
        <v>102</v>
      </c>
      <c r="C1578" s="73">
        <v>88</v>
      </c>
      <c r="D1578" s="73">
        <v>2473321.9673015359</v>
      </c>
      <c r="E1578" s="72">
        <v>222598.97705713823</v>
      </c>
      <c r="F1578" s="72" t="s">
        <v>70</v>
      </c>
      <c r="G1578" s="72" t="s">
        <v>71</v>
      </c>
      <c r="H1578" s="72" t="s">
        <v>72</v>
      </c>
    </row>
    <row r="1579" spans="1:8" x14ac:dyDescent="0.25">
      <c r="A1579" s="43" t="s">
        <v>595</v>
      </c>
      <c r="B1579" s="43" t="s">
        <v>73</v>
      </c>
      <c r="C1579" s="46">
        <v>88</v>
      </c>
      <c r="D1579" s="46">
        <v>2812594.7059139246</v>
      </c>
      <c r="E1579" s="43">
        <v>365637.31176881021</v>
      </c>
      <c r="F1579" s="43" t="s">
        <v>87</v>
      </c>
      <c r="G1579" s="43" t="s">
        <v>71</v>
      </c>
      <c r="H1579" s="43" t="s">
        <v>88</v>
      </c>
    </row>
    <row r="1580" spans="1:8" x14ac:dyDescent="0.25">
      <c r="A1580" s="72" t="s">
        <v>1978</v>
      </c>
      <c r="B1580" s="72" t="s">
        <v>97</v>
      </c>
      <c r="C1580" s="73">
        <v>88</v>
      </c>
      <c r="D1580" s="73">
        <v>2381152.5817536009</v>
      </c>
      <c r="E1580" s="72">
        <v>190492.20654028808</v>
      </c>
      <c r="F1580" s="72" t="s">
        <v>70</v>
      </c>
      <c r="G1580" s="72" t="s">
        <v>71</v>
      </c>
      <c r="H1580" s="72" t="s">
        <v>72</v>
      </c>
    </row>
    <row r="1581" spans="1:8" x14ac:dyDescent="0.25">
      <c r="A1581" s="72" t="s">
        <v>972</v>
      </c>
      <c r="B1581" s="72" t="s">
        <v>75</v>
      </c>
      <c r="C1581" s="73">
        <v>88</v>
      </c>
      <c r="D1581" s="73">
        <v>2713779.8659184016</v>
      </c>
      <c r="E1581" s="72">
        <v>298515.78525102424</v>
      </c>
      <c r="F1581" s="72" t="s">
        <v>78</v>
      </c>
      <c r="G1581" s="72" t="s">
        <v>71</v>
      </c>
      <c r="H1581" s="72" t="s">
        <v>72</v>
      </c>
    </row>
    <row r="1582" spans="1:8" x14ac:dyDescent="0.25">
      <c r="A1582" s="72" t="s">
        <v>760</v>
      </c>
      <c r="B1582" s="72" t="s">
        <v>77</v>
      </c>
      <c r="C1582" s="73">
        <v>88</v>
      </c>
      <c r="D1582" s="73">
        <v>2768755.0449084495</v>
      </c>
      <c r="E1582" s="72">
        <v>332250.60538901394</v>
      </c>
      <c r="F1582" s="72" t="s">
        <v>87</v>
      </c>
      <c r="G1582" s="72" t="s">
        <v>71</v>
      </c>
      <c r="H1582" s="72" t="s">
        <v>88</v>
      </c>
    </row>
    <row r="1583" spans="1:8" x14ac:dyDescent="0.25">
      <c r="A1583" s="72" t="s">
        <v>3740</v>
      </c>
      <c r="B1583" s="72" t="s">
        <v>75</v>
      </c>
      <c r="C1583" s="73">
        <v>88</v>
      </c>
      <c r="D1583" s="73">
        <v>1930268.3251107691</v>
      </c>
      <c r="E1583" s="72">
        <v>77210.73300443076</v>
      </c>
      <c r="F1583" s="72" t="s">
        <v>106</v>
      </c>
      <c r="G1583" s="72" t="s">
        <v>71</v>
      </c>
      <c r="H1583" s="72" t="s">
        <v>72</v>
      </c>
    </row>
    <row r="1584" spans="1:8" x14ac:dyDescent="0.25">
      <c r="A1584" s="72" t="s">
        <v>2546</v>
      </c>
      <c r="B1584" s="72" t="s">
        <v>252</v>
      </c>
      <c r="C1584" s="73">
        <v>88</v>
      </c>
      <c r="D1584" s="73">
        <v>2093614.7134176611</v>
      </c>
      <c r="E1584" s="72">
        <v>146553.02993923626</v>
      </c>
      <c r="F1584" s="72" t="s">
        <v>106</v>
      </c>
      <c r="G1584" s="72" t="s">
        <v>71</v>
      </c>
      <c r="H1584" s="72" t="s">
        <v>72</v>
      </c>
    </row>
    <row r="1585" spans="1:8" x14ac:dyDescent="0.25">
      <c r="A1585" s="43" t="s">
        <v>1625</v>
      </c>
      <c r="B1585" s="43" t="s">
        <v>103</v>
      </c>
      <c r="C1585" s="46">
        <v>88</v>
      </c>
      <c r="D1585" s="46">
        <v>2473321.9673015359</v>
      </c>
      <c r="E1585" s="43">
        <v>222598.97705713823</v>
      </c>
      <c r="F1585" s="43" t="s">
        <v>70</v>
      </c>
      <c r="G1585" s="43" t="s">
        <v>71</v>
      </c>
      <c r="H1585" s="43" t="s">
        <v>72</v>
      </c>
    </row>
    <row r="1586" spans="1:8" x14ac:dyDescent="0.25">
      <c r="A1586" s="43" t="s">
        <v>2369</v>
      </c>
      <c r="B1586" s="43" t="s">
        <v>74</v>
      </c>
      <c r="C1586" s="46">
        <v>88</v>
      </c>
      <c r="D1586" s="46">
        <v>2273842.4234494991</v>
      </c>
      <c r="E1586" s="43">
        <v>159168.96964146491</v>
      </c>
      <c r="F1586" s="43" t="s">
        <v>70</v>
      </c>
      <c r="G1586" s="43" t="s">
        <v>71</v>
      </c>
      <c r="H1586" s="43" t="s">
        <v>72</v>
      </c>
    </row>
    <row r="1587" spans="1:8" x14ac:dyDescent="0.25">
      <c r="A1587" s="43" t="s">
        <v>1979</v>
      </c>
      <c r="B1587" s="43" t="s">
        <v>85</v>
      </c>
      <c r="C1587" s="46">
        <v>88</v>
      </c>
      <c r="D1587" s="46">
        <v>2381152.5817536009</v>
      </c>
      <c r="E1587" s="43">
        <v>190492.20654028808</v>
      </c>
      <c r="F1587" s="43" t="s">
        <v>70</v>
      </c>
      <c r="G1587" s="43" t="s">
        <v>71</v>
      </c>
      <c r="H1587" s="43" t="s">
        <v>72</v>
      </c>
    </row>
    <row r="1588" spans="1:8" x14ac:dyDescent="0.25">
      <c r="A1588" s="43" t="s">
        <v>3321</v>
      </c>
      <c r="B1588" s="43" t="s">
        <v>85</v>
      </c>
      <c r="C1588" s="46">
        <v>88</v>
      </c>
      <c r="D1588" s="46">
        <v>1960939.3933472461</v>
      </c>
      <c r="E1588" s="43">
        <v>98046.969667362311</v>
      </c>
      <c r="F1588" s="43" t="s">
        <v>70</v>
      </c>
      <c r="G1588" s="43" t="s">
        <v>71</v>
      </c>
      <c r="H1588" s="43" t="s">
        <v>72</v>
      </c>
    </row>
    <row r="1589" spans="1:8" x14ac:dyDescent="0.25">
      <c r="A1589" s="72" t="s">
        <v>3050</v>
      </c>
      <c r="B1589" s="72" t="s">
        <v>93</v>
      </c>
      <c r="C1589" s="73">
        <v>88</v>
      </c>
      <c r="D1589" s="73">
        <v>2272992.1920172996</v>
      </c>
      <c r="E1589" s="72">
        <v>113649.60960086499</v>
      </c>
      <c r="F1589" s="72" t="s">
        <v>87</v>
      </c>
      <c r="G1589" s="72" t="s">
        <v>71</v>
      </c>
      <c r="H1589" s="72" t="s">
        <v>88</v>
      </c>
    </row>
    <row r="1590" spans="1:8" x14ac:dyDescent="0.25">
      <c r="A1590" s="72" t="s">
        <v>1235</v>
      </c>
      <c r="B1590" s="72" t="s">
        <v>93</v>
      </c>
      <c r="C1590" s="73">
        <v>87</v>
      </c>
      <c r="D1590" s="73">
        <v>2638180.0957299774</v>
      </c>
      <c r="E1590" s="72">
        <v>263818.00957299775</v>
      </c>
      <c r="F1590" s="72" t="s">
        <v>87</v>
      </c>
      <c r="G1590" s="72" t="s">
        <v>71</v>
      </c>
      <c r="H1590" s="72" t="s">
        <v>88</v>
      </c>
    </row>
    <row r="1591" spans="1:8" x14ac:dyDescent="0.25">
      <c r="A1591" s="72" t="s">
        <v>1658</v>
      </c>
      <c r="B1591" s="72" t="s">
        <v>73</v>
      </c>
      <c r="C1591" s="73">
        <v>87</v>
      </c>
      <c r="D1591" s="73">
        <v>2443942.0094435089</v>
      </c>
      <c r="E1591" s="72">
        <v>219954.78084991578</v>
      </c>
      <c r="F1591" s="72" t="s">
        <v>70</v>
      </c>
      <c r="G1591" s="72" t="s">
        <v>71</v>
      </c>
      <c r="H1591" s="72" t="s">
        <v>72</v>
      </c>
    </row>
    <row r="1592" spans="1:8" x14ac:dyDescent="0.25">
      <c r="A1592" s="43" t="s">
        <v>1236</v>
      </c>
      <c r="B1592" s="43" t="s">
        <v>93</v>
      </c>
      <c r="C1592" s="46">
        <v>87</v>
      </c>
      <c r="D1592" s="46">
        <v>2638180.0957299774</v>
      </c>
      <c r="E1592" s="43">
        <v>263818.00957299775</v>
      </c>
      <c r="F1592" s="43" t="s">
        <v>87</v>
      </c>
      <c r="G1592" s="43" t="s">
        <v>71</v>
      </c>
      <c r="H1592" s="43" t="s">
        <v>88</v>
      </c>
    </row>
    <row r="1593" spans="1:8" x14ac:dyDescent="0.25">
      <c r="A1593" s="72" t="s">
        <v>1002</v>
      </c>
      <c r="B1593" s="72" t="s">
        <v>73</v>
      </c>
      <c r="C1593" s="73">
        <v>87</v>
      </c>
      <c r="D1593" s="73">
        <v>2689337.9176931358</v>
      </c>
      <c r="E1593" s="72">
        <v>295827.17094624497</v>
      </c>
      <c r="F1593" s="72" t="s">
        <v>87</v>
      </c>
      <c r="G1593" s="72" t="s">
        <v>71</v>
      </c>
      <c r="H1593" s="72" t="s">
        <v>88</v>
      </c>
    </row>
    <row r="1594" spans="1:8" x14ac:dyDescent="0.25">
      <c r="A1594" s="72" t="s">
        <v>2612</v>
      </c>
      <c r="B1594" s="72" t="s">
        <v>93</v>
      </c>
      <c r="C1594" s="73">
        <v>87</v>
      </c>
      <c r="D1594" s="73">
        <v>2357243.0588902174</v>
      </c>
      <c r="E1594" s="72">
        <v>141434.58353341304</v>
      </c>
      <c r="F1594" s="72" t="s">
        <v>87</v>
      </c>
      <c r="G1594" s="72" t="s">
        <v>71</v>
      </c>
      <c r="H1594" s="72" t="s">
        <v>88</v>
      </c>
    </row>
    <row r="1595" spans="1:8" x14ac:dyDescent="0.25">
      <c r="A1595" s="72" t="s">
        <v>1404</v>
      </c>
      <c r="B1595" s="72" t="s">
        <v>1405</v>
      </c>
      <c r="C1595" s="73">
        <v>87</v>
      </c>
      <c r="D1595" s="73">
        <v>2453416.5597193725</v>
      </c>
      <c r="E1595" s="72">
        <v>245341.65597193726</v>
      </c>
      <c r="F1595" s="72" t="s">
        <v>84</v>
      </c>
      <c r="G1595" s="72" t="s">
        <v>71</v>
      </c>
      <c r="H1595" s="72" t="s">
        <v>72</v>
      </c>
    </row>
    <row r="1596" spans="1:8" x14ac:dyDescent="0.25">
      <c r="A1596" s="43" t="s">
        <v>2782</v>
      </c>
      <c r="B1596" s="43" t="s">
        <v>77</v>
      </c>
      <c r="C1596" s="46">
        <v>87</v>
      </c>
      <c r="D1596" s="46">
        <v>2187781.4219202939</v>
      </c>
      <c r="E1596" s="43">
        <v>131266.88531521766</v>
      </c>
      <c r="F1596" s="43" t="s">
        <v>78</v>
      </c>
      <c r="G1596" s="43" t="s">
        <v>71</v>
      </c>
      <c r="H1596" s="43" t="s">
        <v>72</v>
      </c>
    </row>
    <row r="1597" spans="1:8" x14ac:dyDescent="0.25">
      <c r="A1597" s="72" t="s">
        <v>1074</v>
      </c>
      <c r="B1597" s="72" t="s">
        <v>101</v>
      </c>
      <c r="C1597" s="73">
        <v>87</v>
      </c>
      <c r="D1597" s="73">
        <v>2597679.3479294167</v>
      </c>
      <c r="E1597" s="72">
        <v>285744.72827223589</v>
      </c>
      <c r="F1597" s="72" t="s">
        <v>70</v>
      </c>
      <c r="G1597" s="72" t="s">
        <v>71</v>
      </c>
      <c r="H1597" s="72" t="s">
        <v>72</v>
      </c>
    </row>
    <row r="1598" spans="1:8" x14ac:dyDescent="0.25">
      <c r="A1598" s="43" t="s">
        <v>2613</v>
      </c>
      <c r="B1598" s="43" t="s">
        <v>101</v>
      </c>
      <c r="C1598" s="46">
        <v>87</v>
      </c>
      <c r="D1598" s="46">
        <v>2357243.0588902174</v>
      </c>
      <c r="E1598" s="43">
        <v>141434.58353341304</v>
      </c>
      <c r="F1598" s="43" t="s">
        <v>87</v>
      </c>
      <c r="G1598" s="43" t="s">
        <v>71</v>
      </c>
      <c r="H1598" s="43" t="s">
        <v>88</v>
      </c>
    </row>
    <row r="1599" spans="1:8" x14ac:dyDescent="0.25">
      <c r="A1599" s="43" t="s">
        <v>3077</v>
      </c>
      <c r="B1599" s="43" t="s">
        <v>93</v>
      </c>
      <c r="C1599" s="46">
        <v>87</v>
      </c>
      <c r="D1599" s="46">
        <v>2246065.9662444922</v>
      </c>
      <c r="E1599" s="43">
        <v>112303.29831222462</v>
      </c>
      <c r="F1599" s="43" t="s">
        <v>87</v>
      </c>
      <c r="G1599" s="43" t="s">
        <v>71</v>
      </c>
      <c r="H1599" s="43" t="s">
        <v>88</v>
      </c>
    </row>
    <row r="1600" spans="1:8" x14ac:dyDescent="0.25">
      <c r="A1600" s="72" t="s">
        <v>1445</v>
      </c>
      <c r="B1600" s="72" t="s">
        <v>75</v>
      </c>
      <c r="C1600" s="73">
        <v>87</v>
      </c>
      <c r="D1600" s="73">
        <v>2188867.7693047021</v>
      </c>
      <c r="E1600" s="72">
        <v>240775.45462351726</v>
      </c>
      <c r="F1600" s="72" t="s">
        <v>106</v>
      </c>
      <c r="G1600" s="72" t="s">
        <v>71</v>
      </c>
      <c r="H1600" s="72" t="s">
        <v>72</v>
      </c>
    </row>
    <row r="1601" spans="1:8" x14ac:dyDescent="0.25">
      <c r="A1601" s="43" t="s">
        <v>1997</v>
      </c>
      <c r="B1601" s="43" t="s">
        <v>107</v>
      </c>
      <c r="C1601" s="46">
        <v>87</v>
      </c>
      <c r="D1601" s="46">
        <v>2352820.0032768003</v>
      </c>
      <c r="E1601" s="43">
        <v>188225.60026214403</v>
      </c>
      <c r="F1601" s="43" t="s">
        <v>70</v>
      </c>
      <c r="G1601" s="43" t="s">
        <v>71</v>
      </c>
      <c r="H1601" s="43" t="s">
        <v>72</v>
      </c>
    </row>
    <row r="1602" spans="1:8" x14ac:dyDescent="0.25">
      <c r="A1602" s="43" t="s">
        <v>3771</v>
      </c>
      <c r="B1602" s="43" t="s">
        <v>257</v>
      </c>
      <c r="C1602" s="46">
        <v>87</v>
      </c>
      <c r="D1602" s="46">
        <v>1907069.0915259048</v>
      </c>
      <c r="E1602" s="43">
        <v>76282.763661036195</v>
      </c>
      <c r="F1602" s="43" t="s">
        <v>106</v>
      </c>
      <c r="G1602" s="43" t="s">
        <v>71</v>
      </c>
      <c r="H1602" s="43" t="s">
        <v>72</v>
      </c>
    </row>
    <row r="1603" spans="1:8" x14ac:dyDescent="0.25">
      <c r="A1603" s="72" t="s">
        <v>475</v>
      </c>
      <c r="B1603" s="72" t="s">
        <v>85</v>
      </c>
      <c r="C1603" s="73">
        <v>87</v>
      </c>
      <c r="D1603" s="73">
        <v>2784898.0608035284</v>
      </c>
      <c r="E1603" s="72">
        <v>389885.72851249395</v>
      </c>
      <c r="F1603" s="72" t="s">
        <v>70</v>
      </c>
      <c r="G1603" s="72" t="s">
        <v>71</v>
      </c>
      <c r="H1603" s="72" t="s">
        <v>72</v>
      </c>
    </row>
    <row r="1604" spans="1:8" x14ac:dyDescent="0.25">
      <c r="A1604" s="72" t="s">
        <v>1337</v>
      </c>
      <c r="B1604" s="72" t="s">
        <v>97</v>
      </c>
      <c r="C1604" s="73">
        <v>87</v>
      </c>
      <c r="D1604" s="73">
        <v>2524674.3023369219</v>
      </c>
      <c r="E1604" s="72">
        <v>252467.4302336922</v>
      </c>
      <c r="F1604" s="72" t="s">
        <v>70</v>
      </c>
      <c r="G1604" s="72" t="s">
        <v>71</v>
      </c>
      <c r="H1604" s="72" t="s">
        <v>72</v>
      </c>
    </row>
    <row r="1605" spans="1:8" x14ac:dyDescent="0.25">
      <c r="A1605" s="43" t="s">
        <v>1659</v>
      </c>
      <c r="B1605" s="43" t="s">
        <v>73</v>
      </c>
      <c r="C1605" s="46">
        <v>87</v>
      </c>
      <c r="D1605" s="46">
        <v>2443942.0094435089</v>
      </c>
      <c r="E1605" s="43">
        <v>219954.78084991578</v>
      </c>
      <c r="F1605" s="43" t="s">
        <v>70</v>
      </c>
      <c r="G1605" s="43" t="s">
        <v>71</v>
      </c>
      <c r="H1605" s="43" t="s">
        <v>72</v>
      </c>
    </row>
    <row r="1606" spans="1:8" x14ac:dyDescent="0.25">
      <c r="A1606" s="72" t="s">
        <v>1998</v>
      </c>
      <c r="B1606" s="72" t="s">
        <v>211</v>
      </c>
      <c r="C1606" s="73">
        <v>87</v>
      </c>
      <c r="D1606" s="73">
        <v>2352820.0032768003</v>
      </c>
      <c r="E1606" s="72">
        <v>188225.60026214403</v>
      </c>
      <c r="F1606" s="72" t="s">
        <v>70</v>
      </c>
      <c r="G1606" s="72" t="s">
        <v>71</v>
      </c>
      <c r="H1606" s="72" t="s">
        <v>72</v>
      </c>
    </row>
    <row r="1607" spans="1:8" x14ac:dyDescent="0.25">
      <c r="A1607" s="43" t="s">
        <v>453</v>
      </c>
      <c r="B1607" s="43" t="s">
        <v>383</v>
      </c>
      <c r="C1607" s="46">
        <v>87</v>
      </c>
      <c r="D1607" s="46">
        <v>2873533.8320749337</v>
      </c>
      <c r="E1607" s="43">
        <v>402294.73649049067</v>
      </c>
      <c r="F1607" s="43" t="s">
        <v>78</v>
      </c>
      <c r="G1607" s="43" t="s">
        <v>71</v>
      </c>
      <c r="H1607" s="43" t="s">
        <v>72</v>
      </c>
    </row>
    <row r="1608" spans="1:8" x14ac:dyDescent="0.25">
      <c r="A1608" s="43" t="s">
        <v>476</v>
      </c>
      <c r="B1608" s="43" t="s">
        <v>105</v>
      </c>
      <c r="C1608" s="46">
        <v>87</v>
      </c>
      <c r="D1608" s="46">
        <v>2784898.0608035284</v>
      </c>
      <c r="E1608" s="43">
        <v>389885.72851249395</v>
      </c>
      <c r="F1608" s="43" t="s">
        <v>70</v>
      </c>
      <c r="G1608" s="43" t="s">
        <v>71</v>
      </c>
      <c r="H1608" s="43" t="s">
        <v>72</v>
      </c>
    </row>
    <row r="1609" spans="1:8" x14ac:dyDescent="0.25">
      <c r="A1609" s="43" t="s">
        <v>465</v>
      </c>
      <c r="B1609" s="43" t="s">
        <v>73</v>
      </c>
      <c r="C1609" s="46">
        <v>87</v>
      </c>
      <c r="D1609" s="46">
        <v>2811148.1157015148</v>
      </c>
      <c r="E1609" s="43">
        <v>393560.73619821202</v>
      </c>
      <c r="F1609" s="43" t="s">
        <v>84</v>
      </c>
      <c r="G1609" s="43" t="s">
        <v>71</v>
      </c>
      <c r="H1609" s="43" t="s">
        <v>72</v>
      </c>
    </row>
    <row r="1610" spans="1:8" x14ac:dyDescent="0.25">
      <c r="A1610" s="43" t="s">
        <v>658</v>
      </c>
      <c r="B1610" s="43" t="s">
        <v>211</v>
      </c>
      <c r="C1610" s="46">
        <v>87</v>
      </c>
      <c r="D1610" s="46">
        <v>2726788.5383922127</v>
      </c>
      <c r="E1610" s="43">
        <v>354482.50999098766</v>
      </c>
      <c r="F1610" s="43" t="s">
        <v>70</v>
      </c>
      <c r="G1610" s="43" t="s">
        <v>71</v>
      </c>
      <c r="H1610" s="43" t="s">
        <v>72</v>
      </c>
    </row>
    <row r="1611" spans="1:8" x14ac:dyDescent="0.25">
      <c r="A1611" s="43" t="s">
        <v>3337</v>
      </c>
      <c r="B1611" s="43" t="s">
        <v>97</v>
      </c>
      <c r="C1611" s="46">
        <v>87</v>
      </c>
      <c r="D1611" s="46">
        <v>1937381.9647386998</v>
      </c>
      <c r="E1611" s="43">
        <v>96869.098236934995</v>
      </c>
      <c r="F1611" s="43" t="s">
        <v>70</v>
      </c>
      <c r="G1611" s="43" t="s">
        <v>71</v>
      </c>
      <c r="H1611" s="43" t="s">
        <v>72</v>
      </c>
    </row>
    <row r="1612" spans="1:8" x14ac:dyDescent="0.25">
      <c r="A1612" s="43" t="s">
        <v>2231</v>
      </c>
      <c r="B1612" s="43" t="s">
        <v>112</v>
      </c>
      <c r="C1612" s="46">
        <v>87</v>
      </c>
      <c r="D1612" s="46">
        <v>2104375.4690977978</v>
      </c>
      <c r="E1612" s="43">
        <v>168350.03752782382</v>
      </c>
      <c r="F1612" s="43" t="s">
        <v>106</v>
      </c>
      <c r="G1612" s="43" t="s">
        <v>71</v>
      </c>
      <c r="H1612" s="43" t="s">
        <v>72</v>
      </c>
    </row>
    <row r="1613" spans="1:8" x14ac:dyDescent="0.25">
      <c r="A1613" s="72" t="s">
        <v>3072</v>
      </c>
      <c r="B1613" s="72" t="s">
        <v>77</v>
      </c>
      <c r="C1613" s="73">
        <v>87</v>
      </c>
      <c r="D1613" s="73">
        <v>1874594.7432918805</v>
      </c>
      <c r="E1613" s="72">
        <v>112475.68459751282</v>
      </c>
      <c r="F1613" s="72" t="s">
        <v>84</v>
      </c>
      <c r="G1613" s="72" t="s">
        <v>71</v>
      </c>
      <c r="H1613" s="72" t="s">
        <v>72</v>
      </c>
    </row>
    <row r="1614" spans="1:8" x14ac:dyDescent="0.25">
      <c r="A1614" s="43" t="s">
        <v>318</v>
      </c>
      <c r="B1614" s="43" t="s">
        <v>97</v>
      </c>
      <c r="C1614" s="46">
        <v>87</v>
      </c>
      <c r="D1614" s="46">
        <v>2597679.3479294167</v>
      </c>
      <c r="E1614" s="43">
        <v>285744.72827223589</v>
      </c>
      <c r="F1614" s="43" t="s">
        <v>70</v>
      </c>
      <c r="G1614" s="43" t="s">
        <v>71</v>
      </c>
      <c r="H1614" s="43" t="s">
        <v>72</v>
      </c>
    </row>
    <row r="1615" spans="1:8" x14ac:dyDescent="0.25">
      <c r="A1615" s="43" t="s">
        <v>1999</v>
      </c>
      <c r="B1615" s="43" t="s">
        <v>243</v>
      </c>
      <c r="C1615" s="46">
        <v>87</v>
      </c>
      <c r="D1615" s="46">
        <v>2352820.0032768003</v>
      </c>
      <c r="E1615" s="43">
        <v>188225.60026214403</v>
      </c>
      <c r="F1615" s="43" t="s">
        <v>70</v>
      </c>
      <c r="G1615" s="43" t="s">
        <v>71</v>
      </c>
      <c r="H1615" s="43" t="s">
        <v>72</v>
      </c>
    </row>
    <row r="1616" spans="1:8" x14ac:dyDescent="0.25">
      <c r="A1616" s="72" t="s">
        <v>2390</v>
      </c>
      <c r="B1616" s="72" t="s">
        <v>85</v>
      </c>
      <c r="C1616" s="73">
        <v>87</v>
      </c>
      <c r="D1616" s="73">
        <v>2246729.2785897912</v>
      </c>
      <c r="E1616" s="72">
        <v>157271.04950128536</v>
      </c>
      <c r="F1616" s="72" t="s">
        <v>70</v>
      </c>
      <c r="G1616" s="72" t="s">
        <v>71</v>
      </c>
      <c r="H1616" s="72" t="s">
        <v>72</v>
      </c>
    </row>
    <row r="1617" spans="1:8" x14ac:dyDescent="0.25">
      <c r="A1617" s="72" t="s">
        <v>477</v>
      </c>
      <c r="B1617" s="72" t="s">
        <v>73</v>
      </c>
      <c r="C1617" s="73">
        <v>87</v>
      </c>
      <c r="D1617" s="73">
        <v>2784898.0608035284</v>
      </c>
      <c r="E1617" s="72">
        <v>389885.72851249395</v>
      </c>
      <c r="F1617" s="72" t="s">
        <v>70</v>
      </c>
      <c r="G1617" s="72" t="s">
        <v>71</v>
      </c>
      <c r="H1617" s="72" t="s">
        <v>72</v>
      </c>
    </row>
    <row r="1618" spans="1:8" x14ac:dyDescent="0.25">
      <c r="A1618" s="72" t="s">
        <v>477</v>
      </c>
      <c r="B1618" s="72" t="s">
        <v>107</v>
      </c>
      <c r="C1618" s="73">
        <v>87</v>
      </c>
      <c r="D1618" s="73">
        <v>2352820.0032768003</v>
      </c>
      <c r="E1618" s="72">
        <v>188225.60026214403</v>
      </c>
      <c r="F1618" s="72" t="s">
        <v>70</v>
      </c>
      <c r="G1618" s="72" t="s">
        <v>71</v>
      </c>
      <c r="H1618" s="72" t="s">
        <v>72</v>
      </c>
    </row>
    <row r="1619" spans="1:8" x14ac:dyDescent="0.25">
      <c r="A1619" s="72" t="s">
        <v>532</v>
      </c>
      <c r="B1619" s="72" t="s">
        <v>89</v>
      </c>
      <c r="C1619" s="73">
        <v>87</v>
      </c>
      <c r="D1619" s="73">
        <v>2521796.5451934459</v>
      </c>
      <c r="E1619" s="72">
        <v>378269.48177901685</v>
      </c>
      <c r="F1619" s="72" t="s">
        <v>95</v>
      </c>
      <c r="G1619" s="72" t="s">
        <v>96</v>
      </c>
      <c r="H1619" s="72" t="s">
        <v>88</v>
      </c>
    </row>
    <row r="1620" spans="1:8" x14ac:dyDescent="0.25">
      <c r="A1620" s="72" t="s">
        <v>1660</v>
      </c>
      <c r="B1620" s="72" t="s">
        <v>74</v>
      </c>
      <c r="C1620" s="73">
        <v>87</v>
      </c>
      <c r="D1620" s="73">
        <v>2443942.0094435089</v>
      </c>
      <c r="E1620" s="72">
        <v>219954.78084991578</v>
      </c>
      <c r="F1620" s="72" t="s">
        <v>70</v>
      </c>
      <c r="G1620" s="72" t="s">
        <v>71</v>
      </c>
      <c r="H1620" s="72" t="s">
        <v>72</v>
      </c>
    </row>
    <row r="1621" spans="1:8" x14ac:dyDescent="0.25">
      <c r="A1621" s="72" t="s">
        <v>659</v>
      </c>
      <c r="B1621" s="72" t="s">
        <v>85</v>
      </c>
      <c r="C1621" s="73">
        <v>87</v>
      </c>
      <c r="D1621" s="73">
        <v>2726788.5383922127</v>
      </c>
      <c r="E1621" s="72">
        <v>354482.50999098766</v>
      </c>
      <c r="F1621" s="72" t="s">
        <v>70</v>
      </c>
      <c r="G1621" s="72" t="s">
        <v>71</v>
      </c>
      <c r="H1621" s="72" t="s">
        <v>72</v>
      </c>
    </row>
    <row r="1622" spans="1:8" x14ac:dyDescent="0.25">
      <c r="A1622" s="43" t="s">
        <v>3073</v>
      </c>
      <c r="B1622" s="43" t="s">
        <v>83</v>
      </c>
      <c r="C1622" s="46">
        <v>87</v>
      </c>
      <c r="D1622" s="46">
        <v>1874594.7432918805</v>
      </c>
      <c r="E1622" s="43">
        <v>112475.68459751282</v>
      </c>
      <c r="F1622" s="43" t="s">
        <v>84</v>
      </c>
      <c r="G1622" s="43" t="s">
        <v>71</v>
      </c>
      <c r="H1622" s="43" t="s">
        <v>72</v>
      </c>
    </row>
    <row r="1623" spans="1:8" x14ac:dyDescent="0.25">
      <c r="A1623" s="72" t="s">
        <v>1691</v>
      </c>
      <c r="B1623" s="72" t="s">
        <v>119</v>
      </c>
      <c r="C1623" s="73">
        <v>86</v>
      </c>
      <c r="D1623" s="73">
        <v>2414592.5038339831</v>
      </c>
      <c r="E1623" s="72">
        <v>217313.32534505846</v>
      </c>
      <c r="F1623" s="72" t="s">
        <v>70</v>
      </c>
      <c r="G1623" s="72" t="s">
        <v>71</v>
      </c>
      <c r="H1623" s="72" t="s">
        <v>72</v>
      </c>
    </row>
    <row r="1624" spans="1:8" x14ac:dyDescent="0.25">
      <c r="A1624" s="43" t="s">
        <v>498</v>
      </c>
      <c r="B1624" s="43" t="s">
        <v>97</v>
      </c>
      <c r="C1624" s="46">
        <v>86</v>
      </c>
      <c r="D1624" s="46">
        <v>2751629.5201208987</v>
      </c>
      <c r="E1624" s="43">
        <v>385228.13281692576</v>
      </c>
      <c r="F1624" s="43" t="s">
        <v>70</v>
      </c>
      <c r="G1624" s="43" t="s">
        <v>71</v>
      </c>
      <c r="H1624" s="43" t="s">
        <v>72</v>
      </c>
    </row>
    <row r="1625" spans="1:8" x14ac:dyDescent="0.25">
      <c r="A1625" s="43" t="s">
        <v>1364</v>
      </c>
      <c r="B1625" s="43" t="s">
        <v>179</v>
      </c>
      <c r="C1625" s="46">
        <v>86</v>
      </c>
      <c r="D1625" s="46">
        <v>2494396.8393378169</v>
      </c>
      <c r="E1625" s="43">
        <v>249439.68393378169</v>
      </c>
      <c r="F1625" s="43" t="s">
        <v>70</v>
      </c>
      <c r="G1625" s="43" t="s">
        <v>71</v>
      </c>
      <c r="H1625" s="43" t="s">
        <v>72</v>
      </c>
    </row>
    <row r="1626" spans="1:8" x14ac:dyDescent="0.25">
      <c r="A1626" s="72" t="s">
        <v>2023</v>
      </c>
      <c r="B1626" s="72" t="s">
        <v>102</v>
      </c>
      <c r="C1626" s="73">
        <v>86</v>
      </c>
      <c r="D1626" s="73">
        <v>2324517.8770485013</v>
      </c>
      <c r="E1626" s="72">
        <v>185961.43016388011</v>
      </c>
      <c r="F1626" s="72" t="s">
        <v>70</v>
      </c>
      <c r="G1626" s="72" t="s">
        <v>71</v>
      </c>
      <c r="H1626" s="72" t="s">
        <v>72</v>
      </c>
    </row>
    <row r="1627" spans="1:8" x14ac:dyDescent="0.25">
      <c r="A1627" s="43" t="s">
        <v>1242</v>
      </c>
      <c r="B1627" s="43" t="s">
        <v>75</v>
      </c>
      <c r="C1627" s="46">
        <v>86</v>
      </c>
      <c r="D1627" s="46">
        <v>2185294.6312384848</v>
      </c>
      <c r="E1627" s="43">
        <v>262235.35574861814</v>
      </c>
      <c r="F1627" s="43" t="s">
        <v>106</v>
      </c>
      <c r="G1627" s="43" t="s">
        <v>71</v>
      </c>
      <c r="H1627" s="43" t="s">
        <v>72</v>
      </c>
    </row>
    <row r="1628" spans="1:8" x14ac:dyDescent="0.25">
      <c r="A1628" s="72" t="s">
        <v>871</v>
      </c>
      <c r="B1628" s="72" t="s">
        <v>211</v>
      </c>
      <c r="C1628" s="73">
        <v>86</v>
      </c>
      <c r="D1628" s="73">
        <v>2632775.33751754</v>
      </c>
      <c r="E1628" s="72">
        <v>315933.04050210485</v>
      </c>
      <c r="F1628" s="72" t="s">
        <v>70</v>
      </c>
      <c r="G1628" s="72" t="s">
        <v>71</v>
      </c>
      <c r="H1628" s="72" t="s">
        <v>72</v>
      </c>
    </row>
    <row r="1629" spans="1:8" x14ac:dyDescent="0.25">
      <c r="A1629" s="43" t="s">
        <v>1479</v>
      </c>
      <c r="B1629" s="43" t="s">
        <v>554</v>
      </c>
      <c r="C1629" s="46">
        <v>86</v>
      </c>
      <c r="D1629" s="46">
        <v>2162459.9659233834</v>
      </c>
      <c r="E1629" s="43">
        <v>237870.59625157219</v>
      </c>
      <c r="F1629" s="43" t="s">
        <v>106</v>
      </c>
      <c r="G1629" s="43" t="s">
        <v>71</v>
      </c>
      <c r="H1629" s="43" t="s">
        <v>72</v>
      </c>
    </row>
    <row r="1630" spans="1:8" x14ac:dyDescent="0.25">
      <c r="A1630" s="43" t="s">
        <v>872</v>
      </c>
      <c r="B1630" s="43" t="s">
        <v>112</v>
      </c>
      <c r="C1630" s="46">
        <v>86</v>
      </c>
      <c r="D1630" s="46">
        <v>2632775.33751754</v>
      </c>
      <c r="E1630" s="43">
        <v>315933.04050210485</v>
      </c>
      <c r="F1630" s="43" t="s">
        <v>70</v>
      </c>
      <c r="G1630" s="43" t="s">
        <v>71</v>
      </c>
      <c r="H1630" s="43" t="s">
        <v>72</v>
      </c>
    </row>
    <row r="1631" spans="1:8" x14ac:dyDescent="0.25">
      <c r="A1631" s="72" t="s">
        <v>873</v>
      </c>
      <c r="B1631" s="72" t="s">
        <v>229</v>
      </c>
      <c r="C1631" s="73">
        <v>86</v>
      </c>
      <c r="D1631" s="73">
        <v>2632775.33751754</v>
      </c>
      <c r="E1631" s="72">
        <v>315933.04050210485</v>
      </c>
      <c r="F1631" s="72" t="s">
        <v>70</v>
      </c>
      <c r="G1631" s="72" t="s">
        <v>71</v>
      </c>
      <c r="H1631" s="72" t="s">
        <v>72</v>
      </c>
    </row>
    <row r="1632" spans="1:8" x14ac:dyDescent="0.25">
      <c r="A1632" s="72" t="s">
        <v>2410</v>
      </c>
      <c r="B1632" s="72" t="s">
        <v>73</v>
      </c>
      <c r="C1632" s="73">
        <v>86</v>
      </c>
      <c r="D1632" s="73">
        <v>2219646.5859785834</v>
      </c>
      <c r="E1632" s="72">
        <v>155375.26101850084</v>
      </c>
      <c r="F1632" s="72" t="s">
        <v>70</v>
      </c>
      <c r="G1632" s="72" t="s">
        <v>71</v>
      </c>
      <c r="H1632" s="72" t="s">
        <v>72</v>
      </c>
    </row>
    <row r="1633" spans="1:8" x14ac:dyDescent="0.25">
      <c r="A1633" s="72" t="s">
        <v>1243</v>
      </c>
      <c r="B1633" s="72" t="s">
        <v>93</v>
      </c>
      <c r="C1633" s="73">
        <v>86</v>
      </c>
      <c r="D1633" s="73">
        <v>2185294.6312384848</v>
      </c>
      <c r="E1633" s="72">
        <v>262235.35574861814</v>
      </c>
      <c r="F1633" s="72" t="s">
        <v>106</v>
      </c>
      <c r="G1633" s="72" t="s">
        <v>71</v>
      </c>
      <c r="H1633" s="72" t="s">
        <v>72</v>
      </c>
    </row>
    <row r="1634" spans="1:8" x14ac:dyDescent="0.25">
      <c r="A1634" s="72" t="s">
        <v>817</v>
      </c>
      <c r="B1634" s="72" t="s">
        <v>77</v>
      </c>
      <c r="C1634" s="73">
        <v>86</v>
      </c>
      <c r="D1634" s="73">
        <v>2703661.3257859885</v>
      </c>
      <c r="E1634" s="72">
        <v>324439.35909431858</v>
      </c>
      <c r="F1634" s="72" t="s">
        <v>87</v>
      </c>
      <c r="G1634" s="72" t="s">
        <v>71</v>
      </c>
      <c r="H1634" s="72" t="s">
        <v>88</v>
      </c>
    </row>
    <row r="1635" spans="1:8" x14ac:dyDescent="0.25">
      <c r="A1635" s="43" t="s">
        <v>674</v>
      </c>
      <c r="B1635" s="43" t="s">
        <v>211</v>
      </c>
      <c r="C1635" s="46">
        <v>86</v>
      </c>
      <c r="D1635" s="46">
        <v>2694187.9232545407</v>
      </c>
      <c r="E1635" s="43">
        <v>350244.43002309027</v>
      </c>
      <c r="F1635" s="43" t="s">
        <v>70</v>
      </c>
      <c r="G1635" s="43" t="s">
        <v>71</v>
      </c>
      <c r="H1635" s="43" t="s">
        <v>72</v>
      </c>
    </row>
    <row r="1636" spans="1:8" x14ac:dyDescent="0.25">
      <c r="A1636" s="72" t="s">
        <v>1984</v>
      </c>
      <c r="B1636" s="72" t="s">
        <v>234</v>
      </c>
      <c r="C1636" s="73">
        <v>86</v>
      </c>
      <c r="D1636" s="73">
        <v>2109896.7812977475</v>
      </c>
      <c r="E1636" s="72">
        <v>189890.71031679728</v>
      </c>
      <c r="F1636" s="72" t="s">
        <v>106</v>
      </c>
      <c r="G1636" s="72" t="s">
        <v>71</v>
      </c>
      <c r="H1636" s="72" t="s">
        <v>72</v>
      </c>
    </row>
    <row r="1637" spans="1:8" x14ac:dyDescent="0.25">
      <c r="A1637" s="43" t="s">
        <v>3359</v>
      </c>
      <c r="B1637" s="43" t="s">
        <v>73</v>
      </c>
      <c r="C1637" s="46">
        <v>86</v>
      </c>
      <c r="D1637" s="46">
        <v>1913854.9883786545</v>
      </c>
      <c r="E1637" s="43">
        <v>95692.749418932726</v>
      </c>
      <c r="F1637" s="43" t="s">
        <v>70</v>
      </c>
      <c r="G1637" s="43" t="s">
        <v>71</v>
      </c>
      <c r="H1637" s="43" t="s">
        <v>72</v>
      </c>
    </row>
    <row r="1638" spans="1:8" x14ac:dyDescent="0.25">
      <c r="A1638" s="72" t="s">
        <v>3360</v>
      </c>
      <c r="B1638" s="72" t="s">
        <v>112</v>
      </c>
      <c r="C1638" s="73">
        <v>86</v>
      </c>
      <c r="D1638" s="73">
        <v>1913854.9883786545</v>
      </c>
      <c r="E1638" s="72">
        <v>95692.749418932726</v>
      </c>
      <c r="F1638" s="72" t="s">
        <v>70</v>
      </c>
      <c r="G1638" s="72" t="s">
        <v>71</v>
      </c>
      <c r="H1638" s="72" t="s">
        <v>72</v>
      </c>
    </row>
    <row r="1639" spans="1:8" x14ac:dyDescent="0.25">
      <c r="A1639" s="43" t="s">
        <v>1692</v>
      </c>
      <c r="B1639" s="43" t="s">
        <v>112</v>
      </c>
      <c r="C1639" s="46">
        <v>86</v>
      </c>
      <c r="D1639" s="46">
        <v>2414592.5038339831</v>
      </c>
      <c r="E1639" s="43">
        <v>217313.32534505846</v>
      </c>
      <c r="F1639" s="43" t="s">
        <v>70</v>
      </c>
      <c r="G1639" s="43" t="s">
        <v>71</v>
      </c>
      <c r="H1639" s="43" t="s">
        <v>72</v>
      </c>
    </row>
    <row r="1640" spans="1:8" x14ac:dyDescent="0.25">
      <c r="A1640" s="43" t="s">
        <v>2411</v>
      </c>
      <c r="B1640" s="43" t="s">
        <v>112</v>
      </c>
      <c r="C1640" s="46">
        <v>86</v>
      </c>
      <c r="D1640" s="46">
        <v>2219646.5859785834</v>
      </c>
      <c r="E1640" s="43">
        <v>155375.26101850084</v>
      </c>
      <c r="F1640" s="43" t="s">
        <v>70</v>
      </c>
      <c r="G1640" s="43" t="s">
        <v>71</v>
      </c>
      <c r="H1640" s="43" t="s">
        <v>72</v>
      </c>
    </row>
    <row r="1641" spans="1:8" x14ac:dyDescent="0.25">
      <c r="A1641" s="72" t="s">
        <v>2412</v>
      </c>
      <c r="B1641" s="72" t="s">
        <v>75</v>
      </c>
      <c r="C1641" s="73">
        <v>86</v>
      </c>
      <c r="D1641" s="73">
        <v>2219646.5859785834</v>
      </c>
      <c r="E1641" s="72">
        <v>155375.26101850084</v>
      </c>
      <c r="F1641" s="72" t="s">
        <v>70</v>
      </c>
      <c r="G1641" s="72" t="s">
        <v>71</v>
      </c>
      <c r="H1641" s="72" t="s">
        <v>72</v>
      </c>
    </row>
    <row r="1642" spans="1:8" x14ac:dyDescent="0.25">
      <c r="A1642" s="43" t="s">
        <v>1096</v>
      </c>
      <c r="B1642" s="43" t="s">
        <v>73</v>
      </c>
      <c r="C1642" s="46">
        <v>86</v>
      </c>
      <c r="D1642" s="46">
        <v>2566562.7464752248</v>
      </c>
      <c r="E1642" s="43">
        <v>282321.90211227478</v>
      </c>
      <c r="F1642" s="43" t="s">
        <v>70</v>
      </c>
      <c r="G1642" s="43" t="s">
        <v>71</v>
      </c>
      <c r="H1642" s="43" t="s">
        <v>72</v>
      </c>
    </row>
    <row r="1643" spans="1:8" x14ac:dyDescent="0.25">
      <c r="A1643" s="43" t="s">
        <v>3361</v>
      </c>
      <c r="B1643" s="43" t="s">
        <v>85</v>
      </c>
      <c r="C1643" s="46">
        <v>86</v>
      </c>
      <c r="D1643" s="46">
        <v>1913854.9883786545</v>
      </c>
      <c r="E1643" s="43">
        <v>95692.749418932726</v>
      </c>
      <c r="F1643" s="43" t="s">
        <v>70</v>
      </c>
      <c r="G1643" s="43" t="s">
        <v>71</v>
      </c>
      <c r="H1643" s="43" t="s">
        <v>72</v>
      </c>
    </row>
    <row r="1644" spans="1:8" x14ac:dyDescent="0.25">
      <c r="A1644" s="43" t="s">
        <v>2024</v>
      </c>
      <c r="B1644" s="43" t="s">
        <v>252</v>
      </c>
      <c r="C1644" s="46">
        <v>86</v>
      </c>
      <c r="D1644" s="46">
        <v>2324517.8770485013</v>
      </c>
      <c r="E1644" s="43">
        <v>185961.43016388011</v>
      </c>
      <c r="F1644" s="43" t="s">
        <v>70</v>
      </c>
      <c r="G1644" s="43" t="s">
        <v>71</v>
      </c>
      <c r="H1644" s="43" t="s">
        <v>72</v>
      </c>
    </row>
    <row r="1645" spans="1:8" x14ac:dyDescent="0.25">
      <c r="A1645" s="43" t="s">
        <v>2847</v>
      </c>
      <c r="B1645" s="43" t="s">
        <v>2848</v>
      </c>
      <c r="C1645" s="46">
        <v>86</v>
      </c>
      <c r="D1645" s="46">
        <v>1599166.3461728294</v>
      </c>
      <c r="E1645" s="43">
        <v>127933.30769382633</v>
      </c>
      <c r="F1645" s="43" t="s">
        <v>95</v>
      </c>
      <c r="G1645" s="43" t="s">
        <v>96</v>
      </c>
      <c r="H1645" s="43" t="s">
        <v>88</v>
      </c>
    </row>
    <row r="1646" spans="1:8" x14ac:dyDescent="0.25">
      <c r="A1646" s="72" t="s">
        <v>2228</v>
      </c>
      <c r="B1646" s="72" t="s">
        <v>202</v>
      </c>
      <c r="C1646" s="73">
        <v>86</v>
      </c>
      <c r="D1646" s="73">
        <v>2415556.8951998902</v>
      </c>
      <c r="E1646" s="72">
        <v>169088.9826639923</v>
      </c>
      <c r="F1646" s="72" t="s">
        <v>87</v>
      </c>
      <c r="G1646" s="72" t="s">
        <v>71</v>
      </c>
      <c r="H1646" s="72" t="s">
        <v>88</v>
      </c>
    </row>
    <row r="1647" spans="1:8" x14ac:dyDescent="0.25">
      <c r="A1647" s="43" t="s">
        <v>2229</v>
      </c>
      <c r="B1647" s="43" t="s">
        <v>73</v>
      </c>
      <c r="C1647" s="46">
        <v>86</v>
      </c>
      <c r="D1647" s="46">
        <v>2415556.8951998902</v>
      </c>
      <c r="E1647" s="43">
        <v>169088.9826639923</v>
      </c>
      <c r="F1647" s="43" t="s">
        <v>87</v>
      </c>
      <c r="G1647" s="43" t="s">
        <v>71</v>
      </c>
      <c r="H1647" s="43" t="s">
        <v>88</v>
      </c>
    </row>
    <row r="1648" spans="1:8" x14ac:dyDescent="0.25">
      <c r="A1648" s="43" t="s">
        <v>484</v>
      </c>
      <c r="B1648" s="43" t="s">
        <v>115</v>
      </c>
      <c r="C1648" s="46">
        <v>86</v>
      </c>
      <c r="D1648" s="46">
        <v>2777310.4290582393</v>
      </c>
      <c r="E1648" s="43">
        <v>388823.46006815345</v>
      </c>
      <c r="F1648" s="43" t="s">
        <v>84</v>
      </c>
      <c r="G1648" s="43" t="s">
        <v>71</v>
      </c>
      <c r="H1648" s="43" t="s">
        <v>72</v>
      </c>
    </row>
    <row r="1649" spans="1:8" x14ac:dyDescent="0.25">
      <c r="A1649" s="43" t="s">
        <v>874</v>
      </c>
      <c r="B1649" s="43" t="s">
        <v>74</v>
      </c>
      <c r="C1649" s="46">
        <v>86</v>
      </c>
      <c r="D1649" s="46">
        <v>2632775.33751754</v>
      </c>
      <c r="E1649" s="43">
        <v>315933.04050210485</v>
      </c>
      <c r="F1649" s="43" t="s">
        <v>70</v>
      </c>
      <c r="G1649" s="43" t="s">
        <v>71</v>
      </c>
      <c r="H1649" s="43" t="s">
        <v>72</v>
      </c>
    </row>
    <row r="1650" spans="1:8" x14ac:dyDescent="0.25">
      <c r="A1650" s="72" t="s">
        <v>1480</v>
      </c>
      <c r="B1650" s="72" t="s">
        <v>127</v>
      </c>
      <c r="C1650" s="73">
        <v>86</v>
      </c>
      <c r="D1650" s="73">
        <v>2162459.9659233834</v>
      </c>
      <c r="E1650" s="72">
        <v>237870.59625157219</v>
      </c>
      <c r="F1650" s="72" t="s">
        <v>106</v>
      </c>
      <c r="G1650" s="72" t="s">
        <v>71</v>
      </c>
      <c r="H1650" s="72" t="s">
        <v>72</v>
      </c>
    </row>
    <row r="1651" spans="1:8" x14ac:dyDescent="0.25">
      <c r="A1651" s="43" t="s">
        <v>2257</v>
      </c>
      <c r="B1651" s="43" t="s">
        <v>73</v>
      </c>
      <c r="C1651" s="46">
        <v>85</v>
      </c>
      <c r="D1651" s="46">
        <v>2386399.1615788653</v>
      </c>
      <c r="E1651" s="43">
        <v>167047.94131052055</v>
      </c>
      <c r="F1651" s="43" t="s">
        <v>87</v>
      </c>
      <c r="G1651" s="43" t="s">
        <v>71</v>
      </c>
      <c r="H1651" s="43" t="s">
        <v>88</v>
      </c>
    </row>
    <row r="1652" spans="1:8" x14ac:dyDescent="0.25">
      <c r="A1652" s="43" t="s">
        <v>1397</v>
      </c>
      <c r="B1652" s="43" t="s">
        <v>73</v>
      </c>
      <c r="C1652" s="46">
        <v>85</v>
      </c>
      <c r="D1652" s="46">
        <v>2464149.7869087649</v>
      </c>
      <c r="E1652" s="43">
        <v>246414.97869087651</v>
      </c>
      <c r="F1652" s="43" t="s">
        <v>70</v>
      </c>
      <c r="G1652" s="43" t="s">
        <v>71</v>
      </c>
      <c r="H1652" s="43" t="s">
        <v>72</v>
      </c>
    </row>
    <row r="1653" spans="1:8" x14ac:dyDescent="0.25">
      <c r="A1653" s="43" t="s">
        <v>2897</v>
      </c>
      <c r="B1653" s="43" t="s">
        <v>211</v>
      </c>
      <c r="C1653" s="46">
        <v>85</v>
      </c>
      <c r="D1653" s="46">
        <v>2065347.1505496486</v>
      </c>
      <c r="E1653" s="43">
        <v>123920.82903297893</v>
      </c>
      <c r="F1653" s="43" t="s">
        <v>70</v>
      </c>
      <c r="G1653" s="43" t="s">
        <v>71</v>
      </c>
      <c r="H1653" s="43" t="s">
        <v>72</v>
      </c>
    </row>
    <row r="1654" spans="1:8" x14ac:dyDescent="0.25">
      <c r="A1654" s="43" t="s">
        <v>1124</v>
      </c>
      <c r="B1654" s="43" t="s">
        <v>107</v>
      </c>
      <c r="C1654" s="46">
        <v>85</v>
      </c>
      <c r="D1654" s="46">
        <v>2535476.5555910873</v>
      </c>
      <c r="E1654" s="43">
        <v>278902.42111501965</v>
      </c>
      <c r="F1654" s="43" t="s">
        <v>70</v>
      </c>
      <c r="G1654" s="43" t="s">
        <v>71</v>
      </c>
      <c r="H1654" s="43" t="s">
        <v>72</v>
      </c>
    </row>
    <row r="1655" spans="1:8" x14ac:dyDescent="0.25">
      <c r="A1655" s="72" t="s">
        <v>2614</v>
      </c>
      <c r="B1655" s="72" t="s">
        <v>75</v>
      </c>
      <c r="C1655" s="73">
        <v>85</v>
      </c>
      <c r="D1655" s="73">
        <v>2018539.8207000541</v>
      </c>
      <c r="E1655" s="72">
        <v>141297.78744900378</v>
      </c>
      <c r="F1655" s="72" t="s">
        <v>106</v>
      </c>
      <c r="G1655" s="72" t="s">
        <v>71</v>
      </c>
      <c r="H1655" s="72" t="s">
        <v>72</v>
      </c>
    </row>
    <row r="1656" spans="1:8" x14ac:dyDescent="0.25">
      <c r="A1656" s="43" t="s">
        <v>3382</v>
      </c>
      <c r="B1656" s="43" t="s">
        <v>97</v>
      </c>
      <c r="C1656" s="46">
        <v>85</v>
      </c>
      <c r="D1656" s="46">
        <v>1890358.4225886627</v>
      </c>
      <c r="E1656" s="43">
        <v>94517.921129433147</v>
      </c>
      <c r="F1656" s="43" t="s">
        <v>70</v>
      </c>
      <c r="G1656" s="43" t="s">
        <v>71</v>
      </c>
      <c r="H1656" s="43" t="s">
        <v>72</v>
      </c>
    </row>
    <row r="1657" spans="1:8" x14ac:dyDescent="0.25">
      <c r="A1657" s="72" t="s">
        <v>1056</v>
      </c>
      <c r="B1657" s="72" t="s">
        <v>77</v>
      </c>
      <c r="C1657" s="73">
        <v>85</v>
      </c>
      <c r="D1657" s="73">
        <v>2625373.485749159</v>
      </c>
      <c r="E1657" s="72">
        <v>288791.08343240753</v>
      </c>
      <c r="F1657" s="72" t="s">
        <v>87</v>
      </c>
      <c r="G1657" s="72" t="s">
        <v>71</v>
      </c>
      <c r="H1657" s="72" t="s">
        <v>88</v>
      </c>
    </row>
    <row r="1658" spans="1:8" x14ac:dyDescent="0.25">
      <c r="A1658" s="72" t="s">
        <v>1709</v>
      </c>
      <c r="B1658" s="72" t="s">
        <v>97</v>
      </c>
      <c r="C1658" s="73">
        <v>85</v>
      </c>
      <c r="D1658" s="73">
        <v>2385273.4087945111</v>
      </c>
      <c r="E1658" s="72">
        <v>214674.606791506</v>
      </c>
      <c r="F1658" s="72" t="s">
        <v>70</v>
      </c>
      <c r="G1658" s="72" t="s">
        <v>71</v>
      </c>
      <c r="H1658" s="72" t="s">
        <v>72</v>
      </c>
    </row>
    <row r="1659" spans="1:8" x14ac:dyDescent="0.25">
      <c r="A1659" s="43" t="s">
        <v>1908</v>
      </c>
      <c r="B1659" s="43" t="s">
        <v>93</v>
      </c>
      <c r="C1659" s="46">
        <v>85</v>
      </c>
      <c r="D1659" s="46">
        <v>2457979.051841693</v>
      </c>
      <c r="E1659" s="43">
        <v>196638.32414733546</v>
      </c>
      <c r="F1659" s="43" t="s">
        <v>87</v>
      </c>
      <c r="G1659" s="43" t="s">
        <v>71</v>
      </c>
      <c r="H1659" s="43" t="s">
        <v>88</v>
      </c>
    </row>
    <row r="1660" spans="1:8" x14ac:dyDescent="0.25">
      <c r="A1660" s="72" t="s">
        <v>3383</v>
      </c>
      <c r="B1660" s="72" t="s">
        <v>97</v>
      </c>
      <c r="C1660" s="73">
        <v>85</v>
      </c>
      <c r="D1660" s="73">
        <v>1890358.4225886627</v>
      </c>
      <c r="E1660" s="72">
        <v>94517.921129433147</v>
      </c>
      <c r="F1660" s="72" t="s">
        <v>70</v>
      </c>
      <c r="G1660" s="72" t="s">
        <v>71</v>
      </c>
      <c r="H1660" s="72" t="s">
        <v>72</v>
      </c>
    </row>
    <row r="1661" spans="1:8" x14ac:dyDescent="0.25">
      <c r="A1661" s="72" t="s">
        <v>2432</v>
      </c>
      <c r="B1661" s="72" t="s">
        <v>160</v>
      </c>
      <c r="C1661" s="73">
        <v>85</v>
      </c>
      <c r="D1661" s="73">
        <v>2192594.30393743</v>
      </c>
      <c r="E1661" s="72">
        <v>153481.60127562008</v>
      </c>
      <c r="F1661" s="72" t="s">
        <v>70</v>
      </c>
      <c r="G1661" s="72" t="s">
        <v>71</v>
      </c>
      <c r="H1661" s="72" t="s">
        <v>72</v>
      </c>
    </row>
    <row r="1662" spans="1:8" x14ac:dyDescent="0.25">
      <c r="A1662" s="43" t="s">
        <v>2433</v>
      </c>
      <c r="B1662" s="43" t="s">
        <v>97</v>
      </c>
      <c r="C1662" s="46">
        <v>85</v>
      </c>
      <c r="D1662" s="46">
        <v>2192594.30393743</v>
      </c>
      <c r="E1662" s="43">
        <v>153481.60127562008</v>
      </c>
      <c r="F1662" s="43" t="s">
        <v>70</v>
      </c>
      <c r="G1662" s="43" t="s">
        <v>71</v>
      </c>
      <c r="H1662" s="43" t="s">
        <v>72</v>
      </c>
    </row>
    <row r="1663" spans="1:8" x14ac:dyDescent="0.25">
      <c r="A1663" s="43" t="s">
        <v>888</v>
      </c>
      <c r="B1663" s="43" t="s">
        <v>97</v>
      </c>
      <c r="C1663" s="46">
        <v>85</v>
      </c>
      <c r="D1663" s="46">
        <v>2600919.2327840724</v>
      </c>
      <c r="E1663" s="43">
        <v>312110.30793408875</v>
      </c>
      <c r="F1663" s="43" t="s">
        <v>70</v>
      </c>
      <c r="G1663" s="43" t="s">
        <v>71</v>
      </c>
      <c r="H1663" s="43" t="s">
        <v>72</v>
      </c>
    </row>
    <row r="1664" spans="1:8" x14ac:dyDescent="0.25">
      <c r="A1664" s="43" t="s">
        <v>515</v>
      </c>
      <c r="B1664" s="43" t="s">
        <v>103</v>
      </c>
      <c r="C1664" s="46">
        <v>85</v>
      </c>
      <c r="D1664" s="46">
        <v>2718391.3900083234</v>
      </c>
      <c r="E1664" s="43">
        <v>380574.79460116522</v>
      </c>
      <c r="F1664" s="43" t="s">
        <v>70</v>
      </c>
      <c r="G1664" s="43" t="s">
        <v>71</v>
      </c>
      <c r="H1664" s="43" t="s">
        <v>72</v>
      </c>
    </row>
    <row r="1665" spans="1:8" x14ac:dyDescent="0.25">
      <c r="A1665" s="72" t="s">
        <v>516</v>
      </c>
      <c r="B1665" s="72" t="s">
        <v>97</v>
      </c>
      <c r="C1665" s="73">
        <v>85</v>
      </c>
      <c r="D1665" s="73">
        <v>2718391.3900083234</v>
      </c>
      <c r="E1665" s="72">
        <v>380574.79460116522</v>
      </c>
      <c r="F1665" s="72" t="s">
        <v>70</v>
      </c>
      <c r="G1665" s="72" t="s">
        <v>71</v>
      </c>
      <c r="H1665" s="72" t="s">
        <v>72</v>
      </c>
    </row>
    <row r="1666" spans="1:8" x14ac:dyDescent="0.25">
      <c r="A1666" s="72" t="s">
        <v>2898</v>
      </c>
      <c r="B1666" s="72" t="s">
        <v>102</v>
      </c>
      <c r="C1666" s="73">
        <v>85</v>
      </c>
      <c r="D1666" s="73">
        <v>2065347.1505496486</v>
      </c>
      <c r="E1666" s="72">
        <v>123920.82903297893</v>
      </c>
      <c r="F1666" s="72" t="s">
        <v>70</v>
      </c>
      <c r="G1666" s="72" t="s">
        <v>71</v>
      </c>
      <c r="H1666" s="72" t="s">
        <v>72</v>
      </c>
    </row>
    <row r="1667" spans="1:8" x14ac:dyDescent="0.25">
      <c r="A1667" s="43" t="s">
        <v>423</v>
      </c>
      <c r="B1667" s="43" t="s">
        <v>83</v>
      </c>
      <c r="C1667" s="46">
        <v>85</v>
      </c>
      <c r="D1667" s="46">
        <v>2817753.8062332552</v>
      </c>
      <c r="E1667" s="43">
        <v>422663.07093498827</v>
      </c>
      <c r="F1667" s="43" t="s">
        <v>84</v>
      </c>
      <c r="G1667" s="43" t="s">
        <v>71</v>
      </c>
      <c r="H1667" s="43" t="s">
        <v>72</v>
      </c>
    </row>
    <row r="1668" spans="1:8" x14ac:dyDescent="0.25">
      <c r="A1668" s="43" t="s">
        <v>1710</v>
      </c>
      <c r="B1668" s="43" t="s">
        <v>211</v>
      </c>
      <c r="C1668" s="46">
        <v>85</v>
      </c>
      <c r="D1668" s="46">
        <v>2385273.4087945111</v>
      </c>
      <c r="E1668" s="43">
        <v>214674.606791506</v>
      </c>
      <c r="F1668" s="43" t="s">
        <v>70</v>
      </c>
      <c r="G1668" s="43" t="s">
        <v>71</v>
      </c>
      <c r="H1668" s="43" t="s">
        <v>72</v>
      </c>
    </row>
    <row r="1669" spans="1:8" x14ac:dyDescent="0.25">
      <c r="A1669" s="43" t="s">
        <v>517</v>
      </c>
      <c r="B1669" s="43" t="s">
        <v>112</v>
      </c>
      <c r="C1669" s="46">
        <v>85</v>
      </c>
      <c r="D1669" s="46">
        <v>2718391.3900083234</v>
      </c>
      <c r="E1669" s="43">
        <v>380574.79460116522</v>
      </c>
      <c r="F1669" s="43" t="s">
        <v>70</v>
      </c>
      <c r="G1669" s="43" t="s">
        <v>71</v>
      </c>
      <c r="H1669" s="43" t="s">
        <v>72</v>
      </c>
    </row>
    <row r="1670" spans="1:8" x14ac:dyDescent="0.25">
      <c r="A1670" s="72" t="s">
        <v>1280</v>
      </c>
      <c r="B1670" s="72" t="s">
        <v>112</v>
      </c>
      <c r="C1670" s="73">
        <v>85</v>
      </c>
      <c r="D1670" s="73">
        <v>2158651.75247338</v>
      </c>
      <c r="E1670" s="72">
        <v>259038.2102968056</v>
      </c>
      <c r="F1670" s="72" t="s">
        <v>106</v>
      </c>
      <c r="G1670" s="72" t="s">
        <v>71</v>
      </c>
      <c r="H1670" s="72" t="s">
        <v>72</v>
      </c>
    </row>
    <row r="1671" spans="1:8" x14ac:dyDescent="0.25">
      <c r="A1671" s="72" t="s">
        <v>1062</v>
      </c>
      <c r="B1671" s="72" t="s">
        <v>265</v>
      </c>
      <c r="C1671" s="73">
        <v>85</v>
      </c>
      <c r="D1671" s="73">
        <v>2616919.8612187384</v>
      </c>
      <c r="E1671" s="72">
        <v>287861.18473406124</v>
      </c>
      <c r="F1671" s="72" t="s">
        <v>78</v>
      </c>
      <c r="G1671" s="72" t="s">
        <v>71</v>
      </c>
      <c r="H1671" s="72" t="s">
        <v>72</v>
      </c>
    </row>
    <row r="1672" spans="1:8" x14ac:dyDescent="0.25">
      <c r="A1672" s="43" t="s">
        <v>3113</v>
      </c>
      <c r="B1672" s="43" t="s">
        <v>202</v>
      </c>
      <c r="C1672" s="46">
        <v>85</v>
      </c>
      <c r="D1672" s="46">
        <v>2192291.6941039325</v>
      </c>
      <c r="E1672" s="43">
        <v>109614.58470519663</v>
      </c>
      <c r="F1672" s="43" t="s">
        <v>87</v>
      </c>
      <c r="G1672" s="43" t="s">
        <v>71</v>
      </c>
      <c r="H1672" s="43" t="s">
        <v>88</v>
      </c>
    </row>
    <row r="1673" spans="1:8" x14ac:dyDescent="0.25">
      <c r="A1673" s="72" t="s">
        <v>2434</v>
      </c>
      <c r="B1673" s="72" t="s">
        <v>102</v>
      </c>
      <c r="C1673" s="73">
        <v>85</v>
      </c>
      <c r="D1673" s="73">
        <v>2192594.30393743</v>
      </c>
      <c r="E1673" s="72">
        <v>153481.60127562008</v>
      </c>
      <c r="F1673" s="72" t="s">
        <v>70</v>
      </c>
      <c r="G1673" s="72" t="s">
        <v>71</v>
      </c>
      <c r="H1673" s="72" t="s">
        <v>72</v>
      </c>
    </row>
    <row r="1674" spans="1:8" x14ac:dyDescent="0.25">
      <c r="A1674" s="43" t="s">
        <v>544</v>
      </c>
      <c r="B1674" s="43" t="s">
        <v>229</v>
      </c>
      <c r="C1674" s="46">
        <v>84</v>
      </c>
      <c r="D1674" s="46">
        <v>2685183.6288383906</v>
      </c>
      <c r="E1674" s="43">
        <v>375925.70803737466</v>
      </c>
      <c r="F1674" s="43" t="s">
        <v>70</v>
      </c>
      <c r="G1674" s="43" t="s">
        <v>71</v>
      </c>
      <c r="H1674" s="43" t="s">
        <v>72</v>
      </c>
    </row>
    <row r="1675" spans="1:8" x14ac:dyDescent="0.25">
      <c r="A1675" s="72" t="s">
        <v>1151</v>
      </c>
      <c r="B1675" s="72" t="s">
        <v>119</v>
      </c>
      <c r="C1675" s="73">
        <v>84</v>
      </c>
      <c r="D1675" s="73">
        <v>2504420.7336495928</v>
      </c>
      <c r="E1675" s="72">
        <v>275486.28070145525</v>
      </c>
      <c r="F1675" s="72" t="s">
        <v>70</v>
      </c>
      <c r="G1675" s="72" t="s">
        <v>71</v>
      </c>
      <c r="H1675" s="72" t="s">
        <v>72</v>
      </c>
    </row>
    <row r="1676" spans="1:8" x14ac:dyDescent="0.25">
      <c r="A1676" s="43" t="s">
        <v>1152</v>
      </c>
      <c r="B1676" s="43" t="s">
        <v>119</v>
      </c>
      <c r="C1676" s="46">
        <v>84</v>
      </c>
      <c r="D1676" s="46">
        <v>2504420.7336495928</v>
      </c>
      <c r="E1676" s="43">
        <v>275486.28070145525</v>
      </c>
      <c r="F1676" s="43" t="s">
        <v>70</v>
      </c>
      <c r="G1676" s="43" t="s">
        <v>71</v>
      </c>
      <c r="H1676" s="43" t="s">
        <v>72</v>
      </c>
    </row>
    <row r="1677" spans="1:8" x14ac:dyDescent="0.25">
      <c r="A1677" s="72" t="s">
        <v>545</v>
      </c>
      <c r="B1677" s="72" t="s">
        <v>119</v>
      </c>
      <c r="C1677" s="73">
        <v>84</v>
      </c>
      <c r="D1677" s="73">
        <v>2685183.6288383906</v>
      </c>
      <c r="E1677" s="72">
        <v>375925.70803737466</v>
      </c>
      <c r="F1677" s="72" t="s">
        <v>70</v>
      </c>
      <c r="G1677" s="72" t="s">
        <v>71</v>
      </c>
      <c r="H1677" s="72" t="s">
        <v>72</v>
      </c>
    </row>
    <row r="1678" spans="1:8" x14ac:dyDescent="0.25">
      <c r="A1678" s="72" t="s">
        <v>2080</v>
      </c>
      <c r="B1678" s="72" t="s">
        <v>119</v>
      </c>
      <c r="C1678" s="73">
        <v>84</v>
      </c>
      <c r="D1678" s="73">
        <v>2268004.8146746531</v>
      </c>
      <c r="E1678" s="72">
        <v>181440.38517397226</v>
      </c>
      <c r="F1678" s="72" t="s">
        <v>70</v>
      </c>
      <c r="G1678" s="72" t="s">
        <v>71</v>
      </c>
      <c r="H1678" s="72" t="s">
        <v>72</v>
      </c>
    </row>
    <row r="1679" spans="1:8" x14ac:dyDescent="0.25">
      <c r="A1679" s="72" t="s">
        <v>3391</v>
      </c>
      <c r="B1679" s="72" t="s">
        <v>102</v>
      </c>
      <c r="C1679" s="73">
        <v>84</v>
      </c>
      <c r="D1679" s="73">
        <v>1866892.2257413147</v>
      </c>
      <c r="E1679" s="72">
        <v>93344.611287065738</v>
      </c>
      <c r="F1679" s="72" t="s">
        <v>70</v>
      </c>
      <c r="G1679" s="72" t="s">
        <v>71</v>
      </c>
      <c r="H1679" s="72" t="s">
        <v>72</v>
      </c>
    </row>
    <row r="1680" spans="1:8" x14ac:dyDescent="0.25">
      <c r="A1680" s="43" t="s">
        <v>682</v>
      </c>
      <c r="B1680" s="43" t="s">
        <v>73</v>
      </c>
      <c r="C1680" s="46">
        <v>84</v>
      </c>
      <c r="D1680" s="46">
        <v>2680518.7135464698</v>
      </c>
      <c r="E1680" s="43">
        <v>348467.4327610411</v>
      </c>
      <c r="F1680" s="43" t="s">
        <v>87</v>
      </c>
      <c r="G1680" s="43" t="s">
        <v>71</v>
      </c>
      <c r="H1680" s="43" t="s">
        <v>88</v>
      </c>
    </row>
    <row r="1681" spans="1:8" x14ac:dyDescent="0.25">
      <c r="A1681" s="72" t="s">
        <v>683</v>
      </c>
      <c r="B1681" s="72" t="s">
        <v>77</v>
      </c>
      <c r="C1681" s="73">
        <v>84</v>
      </c>
      <c r="D1681" s="73">
        <v>2680518.7135464698</v>
      </c>
      <c r="E1681" s="72">
        <v>348467.4327610411</v>
      </c>
      <c r="F1681" s="72" t="s">
        <v>87</v>
      </c>
      <c r="G1681" s="72" t="s">
        <v>71</v>
      </c>
      <c r="H1681" s="72" t="s">
        <v>88</v>
      </c>
    </row>
    <row r="1682" spans="1:8" x14ac:dyDescent="0.25">
      <c r="A1682" s="72" t="s">
        <v>863</v>
      </c>
      <c r="B1682" s="72" t="s">
        <v>252</v>
      </c>
      <c r="C1682" s="73">
        <v>84</v>
      </c>
      <c r="D1682" s="73">
        <v>2638671.7644048794</v>
      </c>
      <c r="E1682" s="72">
        <v>316640.6117285855</v>
      </c>
      <c r="F1682" s="72" t="s">
        <v>87</v>
      </c>
      <c r="G1682" s="72" t="s">
        <v>71</v>
      </c>
      <c r="H1682" s="72" t="s">
        <v>88</v>
      </c>
    </row>
    <row r="1683" spans="1:8" x14ac:dyDescent="0.25">
      <c r="A1683" s="43" t="s">
        <v>910</v>
      </c>
      <c r="B1683" s="43" t="s">
        <v>73</v>
      </c>
      <c r="C1683" s="46">
        <v>84</v>
      </c>
      <c r="D1683" s="46">
        <v>2569093.4969932488</v>
      </c>
      <c r="E1683" s="43">
        <v>308291.21963918989</v>
      </c>
      <c r="F1683" s="43" t="s">
        <v>70</v>
      </c>
      <c r="G1683" s="43" t="s">
        <v>71</v>
      </c>
      <c r="H1683" s="43" t="s">
        <v>72</v>
      </c>
    </row>
    <row r="1684" spans="1:8" x14ac:dyDescent="0.25">
      <c r="A1684" s="72" t="s">
        <v>2914</v>
      </c>
      <c r="B1684" s="72" t="s">
        <v>303</v>
      </c>
      <c r="C1684" s="73">
        <v>84</v>
      </c>
      <c r="D1684" s="73">
        <v>2039822.262785112</v>
      </c>
      <c r="E1684" s="72">
        <v>122389.33576710675</v>
      </c>
      <c r="F1684" s="72" t="s">
        <v>70</v>
      </c>
      <c r="G1684" s="72" t="s">
        <v>71</v>
      </c>
      <c r="H1684" s="72" t="s">
        <v>72</v>
      </c>
    </row>
    <row r="1685" spans="1:8" x14ac:dyDescent="0.25">
      <c r="A1685" s="43" t="s">
        <v>1322</v>
      </c>
      <c r="B1685" s="43" t="s">
        <v>77</v>
      </c>
      <c r="C1685" s="46">
        <v>84</v>
      </c>
      <c r="D1685" s="46">
        <v>2544036.5392518216</v>
      </c>
      <c r="E1685" s="43">
        <v>254403.65392518218</v>
      </c>
      <c r="F1685" s="43" t="s">
        <v>87</v>
      </c>
      <c r="G1685" s="43" t="s">
        <v>71</v>
      </c>
      <c r="H1685" s="43" t="s">
        <v>88</v>
      </c>
    </row>
    <row r="1686" spans="1:8" x14ac:dyDescent="0.25">
      <c r="A1686" s="43" t="s">
        <v>1418</v>
      </c>
      <c r="B1686" s="43" t="s">
        <v>85</v>
      </c>
      <c r="C1686" s="46">
        <v>84</v>
      </c>
      <c r="D1686" s="46">
        <v>2433933.1034223572</v>
      </c>
      <c r="E1686" s="43">
        <v>243393.31034223572</v>
      </c>
      <c r="F1686" s="43" t="s">
        <v>70</v>
      </c>
      <c r="G1686" s="43" t="s">
        <v>71</v>
      </c>
      <c r="H1686" s="43" t="s">
        <v>72</v>
      </c>
    </row>
    <row r="1687" spans="1:8" x14ac:dyDescent="0.25">
      <c r="A1687" s="72" t="s">
        <v>1079</v>
      </c>
      <c r="B1687" s="72" t="s">
        <v>176</v>
      </c>
      <c r="C1687" s="73">
        <v>84</v>
      </c>
      <c r="D1687" s="73">
        <v>2593430.2983886637</v>
      </c>
      <c r="E1687" s="72">
        <v>285277.33282275306</v>
      </c>
      <c r="F1687" s="72" t="s">
        <v>87</v>
      </c>
      <c r="G1687" s="72" t="s">
        <v>71</v>
      </c>
      <c r="H1687" s="72" t="s">
        <v>88</v>
      </c>
    </row>
    <row r="1688" spans="1:8" x14ac:dyDescent="0.25">
      <c r="A1688" s="43" t="s">
        <v>1744</v>
      </c>
      <c r="B1688" s="43" t="s">
        <v>74</v>
      </c>
      <c r="C1688" s="46">
        <v>84</v>
      </c>
      <c r="D1688" s="46">
        <v>2355984.6826976817</v>
      </c>
      <c r="E1688" s="43">
        <v>212038.62144279134</v>
      </c>
      <c r="F1688" s="43" t="s">
        <v>70</v>
      </c>
      <c r="G1688" s="43" t="s">
        <v>71</v>
      </c>
      <c r="H1688" s="43" t="s">
        <v>72</v>
      </c>
    </row>
    <row r="1689" spans="1:8" x14ac:dyDescent="0.25">
      <c r="A1689" s="72" t="s">
        <v>2327</v>
      </c>
      <c r="B1689" s="72" t="s">
        <v>85</v>
      </c>
      <c r="C1689" s="73">
        <v>84</v>
      </c>
      <c r="D1689" s="73">
        <v>2028156.8670810659</v>
      </c>
      <c r="E1689" s="72">
        <v>162252.54936648527</v>
      </c>
      <c r="F1689" s="72" t="s">
        <v>106</v>
      </c>
      <c r="G1689" s="72" t="s">
        <v>71</v>
      </c>
      <c r="H1689" s="72" t="s">
        <v>72</v>
      </c>
    </row>
    <row r="1690" spans="1:8" x14ac:dyDescent="0.25">
      <c r="A1690" s="72" t="s">
        <v>1419</v>
      </c>
      <c r="B1690" s="72" t="s">
        <v>367</v>
      </c>
      <c r="C1690" s="73">
        <v>84</v>
      </c>
      <c r="D1690" s="73">
        <v>2433933.1034223572</v>
      </c>
      <c r="E1690" s="72">
        <v>243393.31034223572</v>
      </c>
      <c r="F1690" s="72" t="s">
        <v>70</v>
      </c>
      <c r="G1690" s="72" t="s">
        <v>71</v>
      </c>
      <c r="H1690" s="72" t="s">
        <v>72</v>
      </c>
    </row>
    <row r="1691" spans="1:8" x14ac:dyDescent="0.25">
      <c r="A1691" s="43" t="s">
        <v>3826</v>
      </c>
      <c r="B1691" s="43" t="s">
        <v>367</v>
      </c>
      <c r="C1691" s="46">
        <v>84</v>
      </c>
      <c r="D1691" s="46">
        <v>1837654.157701307</v>
      </c>
      <c r="E1691" s="43">
        <v>73506.166308052285</v>
      </c>
      <c r="F1691" s="43" t="s">
        <v>106</v>
      </c>
      <c r="G1691" s="43" t="s">
        <v>71</v>
      </c>
      <c r="H1691" s="43" t="s">
        <v>72</v>
      </c>
    </row>
    <row r="1692" spans="1:8" x14ac:dyDescent="0.25">
      <c r="A1692" s="72" t="s">
        <v>911</v>
      </c>
      <c r="B1692" s="72" t="s">
        <v>85</v>
      </c>
      <c r="C1692" s="73">
        <v>84</v>
      </c>
      <c r="D1692" s="73">
        <v>2569093.4969932488</v>
      </c>
      <c r="E1692" s="72">
        <v>308291.21963918989</v>
      </c>
      <c r="F1692" s="72" t="s">
        <v>70</v>
      </c>
      <c r="G1692" s="72" t="s">
        <v>71</v>
      </c>
      <c r="H1692" s="72" t="s">
        <v>72</v>
      </c>
    </row>
    <row r="1693" spans="1:8" x14ac:dyDescent="0.25">
      <c r="A1693" s="72" t="s">
        <v>1083</v>
      </c>
      <c r="B1693" s="72" t="s">
        <v>93</v>
      </c>
      <c r="C1693" s="73">
        <v>84</v>
      </c>
      <c r="D1693" s="73">
        <v>2584704.3148615989</v>
      </c>
      <c r="E1693" s="72">
        <v>284317.47463477589</v>
      </c>
      <c r="F1693" s="72" t="s">
        <v>78</v>
      </c>
      <c r="G1693" s="72" t="s">
        <v>71</v>
      </c>
      <c r="H1693" s="72" t="s">
        <v>72</v>
      </c>
    </row>
    <row r="1694" spans="1:8" x14ac:dyDescent="0.25">
      <c r="A1694" s="43" t="s">
        <v>2081</v>
      </c>
      <c r="B1694" s="43" t="s">
        <v>97</v>
      </c>
      <c r="C1694" s="46">
        <v>84</v>
      </c>
      <c r="D1694" s="46">
        <v>2268004.8146746531</v>
      </c>
      <c r="E1694" s="43">
        <v>181440.38517397226</v>
      </c>
      <c r="F1694" s="43" t="s">
        <v>70</v>
      </c>
      <c r="G1694" s="43" t="s">
        <v>71</v>
      </c>
      <c r="H1694" s="43" t="s">
        <v>72</v>
      </c>
    </row>
    <row r="1695" spans="1:8" x14ac:dyDescent="0.25">
      <c r="A1695" s="43" t="s">
        <v>864</v>
      </c>
      <c r="B1695" s="43" t="s">
        <v>73</v>
      </c>
      <c r="C1695" s="46">
        <v>84</v>
      </c>
      <c r="D1695" s="46">
        <v>2638671.7644048794</v>
      </c>
      <c r="E1695" s="43">
        <v>316640.6117285855</v>
      </c>
      <c r="F1695" s="43" t="s">
        <v>87</v>
      </c>
      <c r="G1695" s="43" t="s">
        <v>71</v>
      </c>
      <c r="H1695" s="43" t="s">
        <v>88</v>
      </c>
    </row>
    <row r="1696" spans="1:8" x14ac:dyDescent="0.25">
      <c r="A1696" s="43" t="s">
        <v>708</v>
      </c>
      <c r="B1696" s="43" t="s">
        <v>77</v>
      </c>
      <c r="C1696" s="46">
        <v>84</v>
      </c>
      <c r="D1696" s="46">
        <v>2629077.8830619478</v>
      </c>
      <c r="E1696" s="43">
        <v>341780.12479805324</v>
      </c>
      <c r="F1696" s="43" t="s">
        <v>70</v>
      </c>
      <c r="G1696" s="43" t="s">
        <v>71</v>
      </c>
      <c r="H1696" s="43" t="s">
        <v>72</v>
      </c>
    </row>
    <row r="1697" spans="1:8" x14ac:dyDescent="0.25">
      <c r="A1697" s="72" t="s">
        <v>2082</v>
      </c>
      <c r="B1697" s="72" t="s">
        <v>75</v>
      </c>
      <c r="C1697" s="73">
        <v>84</v>
      </c>
      <c r="D1697" s="73">
        <v>2268004.8146746531</v>
      </c>
      <c r="E1697" s="72">
        <v>181440.38517397226</v>
      </c>
      <c r="F1697" s="72" t="s">
        <v>70</v>
      </c>
      <c r="G1697" s="72" t="s">
        <v>71</v>
      </c>
      <c r="H1697" s="72" t="s">
        <v>72</v>
      </c>
    </row>
    <row r="1698" spans="1:8" x14ac:dyDescent="0.25">
      <c r="A1698" s="43" t="s">
        <v>2915</v>
      </c>
      <c r="B1698" s="43" t="s">
        <v>112</v>
      </c>
      <c r="C1698" s="46">
        <v>84</v>
      </c>
      <c r="D1698" s="46">
        <v>2039822.262785112</v>
      </c>
      <c r="E1698" s="43">
        <v>122389.33576710675</v>
      </c>
      <c r="F1698" s="43" t="s">
        <v>70</v>
      </c>
      <c r="G1698" s="43" t="s">
        <v>71</v>
      </c>
      <c r="H1698" s="43" t="s">
        <v>72</v>
      </c>
    </row>
    <row r="1699" spans="1:8" x14ac:dyDescent="0.25">
      <c r="A1699" s="72" t="s">
        <v>1608</v>
      </c>
      <c r="B1699" s="72" t="s">
        <v>73</v>
      </c>
      <c r="C1699" s="73">
        <v>84</v>
      </c>
      <c r="D1699" s="73">
        <v>2489422.6638238067</v>
      </c>
      <c r="E1699" s="72">
        <v>224048.03974414259</v>
      </c>
      <c r="F1699" s="72" t="s">
        <v>87</v>
      </c>
      <c r="G1699" s="72" t="s">
        <v>71</v>
      </c>
      <c r="H1699" s="72" t="s">
        <v>88</v>
      </c>
    </row>
    <row r="1700" spans="1:8" x14ac:dyDescent="0.25">
      <c r="A1700" s="72" t="s">
        <v>2459</v>
      </c>
      <c r="B1700" s="72" t="s">
        <v>97</v>
      </c>
      <c r="C1700" s="73">
        <v>84</v>
      </c>
      <c r="D1700" s="73">
        <v>2165572.3908389201</v>
      </c>
      <c r="E1700" s="72">
        <v>151590.06735872439</v>
      </c>
      <c r="F1700" s="72" t="s">
        <v>70</v>
      </c>
      <c r="G1700" s="72" t="s">
        <v>71</v>
      </c>
      <c r="H1700" s="72" t="s">
        <v>72</v>
      </c>
    </row>
    <row r="1701" spans="1:8" x14ac:dyDescent="0.25">
      <c r="A1701" s="72" t="s">
        <v>709</v>
      </c>
      <c r="B1701" s="72" t="s">
        <v>211</v>
      </c>
      <c r="C1701" s="73">
        <v>84</v>
      </c>
      <c r="D1701" s="73">
        <v>2629077.8830619478</v>
      </c>
      <c r="E1701" s="72">
        <v>341780.12479805324</v>
      </c>
      <c r="F1701" s="72" t="s">
        <v>70</v>
      </c>
      <c r="G1701" s="72" t="s">
        <v>71</v>
      </c>
      <c r="H1701" s="72" t="s">
        <v>72</v>
      </c>
    </row>
    <row r="1702" spans="1:8" x14ac:dyDescent="0.25">
      <c r="A1702" s="43" t="s">
        <v>546</v>
      </c>
      <c r="B1702" s="43" t="s">
        <v>211</v>
      </c>
      <c r="C1702" s="46">
        <v>84</v>
      </c>
      <c r="D1702" s="46">
        <v>2685183.6288383906</v>
      </c>
      <c r="E1702" s="43">
        <v>375925.70803737466</v>
      </c>
      <c r="F1702" s="43" t="s">
        <v>70</v>
      </c>
      <c r="G1702" s="43" t="s">
        <v>71</v>
      </c>
      <c r="H1702" s="43" t="s">
        <v>72</v>
      </c>
    </row>
    <row r="1703" spans="1:8" x14ac:dyDescent="0.25">
      <c r="A1703" s="72" t="s">
        <v>2916</v>
      </c>
      <c r="B1703" s="72" t="s">
        <v>102</v>
      </c>
      <c r="C1703" s="73">
        <v>84</v>
      </c>
      <c r="D1703" s="73">
        <v>2039822.262785112</v>
      </c>
      <c r="E1703" s="72">
        <v>122389.33576710675</v>
      </c>
      <c r="F1703" s="72" t="s">
        <v>70</v>
      </c>
      <c r="G1703" s="72" t="s">
        <v>71</v>
      </c>
      <c r="H1703" s="72" t="s">
        <v>72</v>
      </c>
    </row>
    <row r="1704" spans="1:8" x14ac:dyDescent="0.25">
      <c r="A1704" s="43" t="s">
        <v>1420</v>
      </c>
      <c r="B1704" s="43" t="s">
        <v>110</v>
      </c>
      <c r="C1704" s="46">
        <v>84</v>
      </c>
      <c r="D1704" s="46">
        <v>2433933.1034223572</v>
      </c>
      <c r="E1704" s="43">
        <v>243393.31034223572</v>
      </c>
      <c r="F1704" s="43" t="s">
        <v>70</v>
      </c>
      <c r="G1704" s="43" t="s">
        <v>71</v>
      </c>
      <c r="H1704" s="43" t="s">
        <v>72</v>
      </c>
    </row>
    <row r="1705" spans="1:8" x14ac:dyDescent="0.25">
      <c r="A1705" s="43" t="s">
        <v>2083</v>
      </c>
      <c r="B1705" s="43" t="s">
        <v>110</v>
      </c>
      <c r="C1705" s="46">
        <v>84</v>
      </c>
      <c r="D1705" s="46">
        <v>2268004.8146746531</v>
      </c>
      <c r="E1705" s="43">
        <v>181440.38517397226</v>
      </c>
      <c r="F1705" s="43" t="s">
        <v>70</v>
      </c>
      <c r="G1705" s="43" t="s">
        <v>71</v>
      </c>
      <c r="H1705" s="43" t="s">
        <v>72</v>
      </c>
    </row>
    <row r="1706" spans="1:8" x14ac:dyDescent="0.25">
      <c r="A1706" s="43" t="s">
        <v>4389</v>
      </c>
      <c r="B1706" s="43" t="s">
        <v>105</v>
      </c>
      <c r="C1706" s="46">
        <v>84</v>
      </c>
      <c r="D1706" s="46">
        <v>1737298.5880756143</v>
      </c>
      <c r="E1706" s="43">
        <v>52118.95764226844</v>
      </c>
      <c r="F1706" s="43" t="s">
        <v>106</v>
      </c>
      <c r="G1706" s="43" t="s">
        <v>71</v>
      </c>
      <c r="H1706" s="43" t="s">
        <v>72</v>
      </c>
    </row>
    <row r="1707" spans="1:8" x14ac:dyDescent="0.25">
      <c r="A1707" s="43" t="s">
        <v>2460</v>
      </c>
      <c r="B1707" s="43" t="s">
        <v>97</v>
      </c>
      <c r="C1707" s="46">
        <v>84</v>
      </c>
      <c r="D1707" s="46">
        <v>2165572.3908389201</v>
      </c>
      <c r="E1707" s="43">
        <v>151590.06735872439</v>
      </c>
      <c r="F1707" s="43" t="s">
        <v>70</v>
      </c>
      <c r="G1707" s="43" t="s">
        <v>71</v>
      </c>
      <c r="H1707" s="43" t="s">
        <v>72</v>
      </c>
    </row>
    <row r="1708" spans="1:8" x14ac:dyDescent="0.25">
      <c r="A1708" s="43" t="s">
        <v>1782</v>
      </c>
      <c r="B1708" s="43" t="s">
        <v>73</v>
      </c>
      <c r="C1708" s="46">
        <v>84</v>
      </c>
      <c r="D1708" s="46">
        <v>2085352.403456352</v>
      </c>
      <c r="E1708" s="43">
        <v>208535.24034563522</v>
      </c>
      <c r="F1708" s="43" t="s">
        <v>106</v>
      </c>
      <c r="G1708" s="43" t="s">
        <v>71</v>
      </c>
      <c r="H1708" s="43" t="s">
        <v>72</v>
      </c>
    </row>
    <row r="1709" spans="1:8" x14ac:dyDescent="0.25">
      <c r="A1709" s="43" t="s">
        <v>3392</v>
      </c>
      <c r="B1709" s="43" t="s">
        <v>112</v>
      </c>
      <c r="C1709" s="46">
        <v>84</v>
      </c>
      <c r="D1709" s="46">
        <v>1866892.2257413147</v>
      </c>
      <c r="E1709" s="43">
        <v>93344.611287065738</v>
      </c>
      <c r="F1709" s="43" t="s">
        <v>70</v>
      </c>
      <c r="G1709" s="43" t="s">
        <v>71</v>
      </c>
      <c r="H1709" s="43" t="s">
        <v>72</v>
      </c>
    </row>
    <row r="1710" spans="1:8" x14ac:dyDescent="0.25">
      <c r="A1710" s="72" t="s">
        <v>1323</v>
      </c>
      <c r="B1710" s="72" t="s">
        <v>202</v>
      </c>
      <c r="C1710" s="73">
        <v>84</v>
      </c>
      <c r="D1710" s="73">
        <v>2544036.5392518216</v>
      </c>
      <c r="E1710" s="72">
        <v>254403.65392518218</v>
      </c>
      <c r="F1710" s="72" t="s">
        <v>87</v>
      </c>
      <c r="G1710" s="72" t="s">
        <v>71</v>
      </c>
      <c r="H1710" s="72" t="s">
        <v>88</v>
      </c>
    </row>
    <row r="1711" spans="1:8" x14ac:dyDescent="0.25">
      <c r="A1711" s="72" t="s">
        <v>547</v>
      </c>
      <c r="B1711" s="72" t="s">
        <v>102</v>
      </c>
      <c r="C1711" s="73">
        <v>84</v>
      </c>
      <c r="D1711" s="73">
        <v>2685183.6288383906</v>
      </c>
      <c r="E1711" s="72">
        <v>375925.70803737466</v>
      </c>
      <c r="F1711" s="72" t="s">
        <v>70</v>
      </c>
      <c r="G1711" s="72" t="s">
        <v>71</v>
      </c>
      <c r="H1711" s="72" t="s">
        <v>72</v>
      </c>
    </row>
    <row r="1712" spans="1:8" x14ac:dyDescent="0.25">
      <c r="A1712" s="72" t="s">
        <v>3393</v>
      </c>
      <c r="B1712" s="72" t="s">
        <v>97</v>
      </c>
      <c r="C1712" s="73">
        <v>84</v>
      </c>
      <c r="D1712" s="73">
        <v>1866892.2257413147</v>
      </c>
      <c r="E1712" s="72">
        <v>93344.611287065738</v>
      </c>
      <c r="F1712" s="72" t="s">
        <v>70</v>
      </c>
      <c r="G1712" s="72" t="s">
        <v>71</v>
      </c>
      <c r="H1712" s="72" t="s">
        <v>72</v>
      </c>
    </row>
    <row r="1713" spans="1:8" x14ac:dyDescent="0.25">
      <c r="A1713" s="43" t="s">
        <v>3133</v>
      </c>
      <c r="B1713" s="43" t="s">
        <v>83</v>
      </c>
      <c r="C1713" s="46">
        <v>84</v>
      </c>
      <c r="D1713" s="46">
        <v>1805487.9715728282</v>
      </c>
      <c r="E1713" s="43">
        <v>108329.27829436969</v>
      </c>
      <c r="F1713" s="43" t="s">
        <v>84</v>
      </c>
      <c r="G1713" s="43" t="s">
        <v>71</v>
      </c>
      <c r="H1713" s="43" t="s">
        <v>72</v>
      </c>
    </row>
    <row r="1714" spans="1:8" x14ac:dyDescent="0.25">
      <c r="A1714" s="43" t="s">
        <v>3394</v>
      </c>
      <c r="B1714" s="43" t="s">
        <v>93</v>
      </c>
      <c r="C1714" s="46">
        <v>84</v>
      </c>
      <c r="D1714" s="46">
        <v>1866892.2257413147</v>
      </c>
      <c r="E1714" s="43">
        <v>93344.611287065738</v>
      </c>
      <c r="F1714" s="43" t="s">
        <v>70</v>
      </c>
      <c r="G1714" s="43" t="s">
        <v>71</v>
      </c>
      <c r="H1714" s="43" t="s">
        <v>72</v>
      </c>
    </row>
    <row r="1715" spans="1:8" x14ac:dyDescent="0.25">
      <c r="A1715" s="43" t="s">
        <v>548</v>
      </c>
      <c r="B1715" s="43" t="s">
        <v>102</v>
      </c>
      <c r="C1715" s="46">
        <v>84</v>
      </c>
      <c r="D1715" s="46">
        <v>2685183.6288383906</v>
      </c>
      <c r="E1715" s="43">
        <v>375925.70803737466</v>
      </c>
      <c r="F1715" s="43" t="s">
        <v>70</v>
      </c>
      <c r="G1715" s="43" t="s">
        <v>71</v>
      </c>
      <c r="H1715" s="43" t="s">
        <v>72</v>
      </c>
    </row>
    <row r="1716" spans="1:8" x14ac:dyDescent="0.25">
      <c r="A1716" s="43" t="s">
        <v>710</v>
      </c>
      <c r="B1716" s="43" t="s">
        <v>102</v>
      </c>
      <c r="C1716" s="46">
        <v>84</v>
      </c>
      <c r="D1716" s="46">
        <v>2629077.8830619478</v>
      </c>
      <c r="E1716" s="43">
        <v>341780.12479805324</v>
      </c>
      <c r="F1716" s="43" t="s">
        <v>70</v>
      </c>
      <c r="G1716" s="43" t="s">
        <v>71</v>
      </c>
      <c r="H1716" s="43" t="s">
        <v>72</v>
      </c>
    </row>
    <row r="1717" spans="1:8" x14ac:dyDescent="0.25">
      <c r="A1717" s="43" t="s">
        <v>1452</v>
      </c>
      <c r="B1717" s="43" t="s">
        <v>119</v>
      </c>
      <c r="C1717" s="46">
        <v>83</v>
      </c>
      <c r="D1717" s="46">
        <v>2403746.7473021578</v>
      </c>
      <c r="E1717" s="43">
        <v>240374.6747302158</v>
      </c>
      <c r="F1717" s="43" t="s">
        <v>70</v>
      </c>
      <c r="G1717" s="43" t="s">
        <v>71</v>
      </c>
      <c r="H1717" s="43" t="s">
        <v>72</v>
      </c>
    </row>
    <row r="1718" spans="1:8" x14ac:dyDescent="0.25">
      <c r="A1718" s="72" t="s">
        <v>2952</v>
      </c>
      <c r="B1718" s="72" t="s">
        <v>211</v>
      </c>
      <c r="C1718" s="73">
        <v>83</v>
      </c>
      <c r="D1718" s="73">
        <v>2014327.7023867855</v>
      </c>
      <c r="E1718" s="72">
        <v>120859.66214320716</v>
      </c>
      <c r="F1718" s="72" t="s">
        <v>70</v>
      </c>
      <c r="G1718" s="72" t="s">
        <v>71</v>
      </c>
      <c r="H1718" s="72" t="s">
        <v>72</v>
      </c>
    </row>
    <row r="1719" spans="1:8" x14ac:dyDescent="0.25">
      <c r="A1719" s="43" t="s">
        <v>1807</v>
      </c>
      <c r="B1719" s="43" t="s">
        <v>77</v>
      </c>
      <c r="C1719" s="46">
        <v>83</v>
      </c>
      <c r="D1719" s="46">
        <v>2059326.0544942764</v>
      </c>
      <c r="E1719" s="43">
        <v>205932.60544942765</v>
      </c>
      <c r="F1719" s="43" t="s">
        <v>106</v>
      </c>
      <c r="G1719" s="43" t="s">
        <v>71</v>
      </c>
      <c r="H1719" s="43" t="s">
        <v>72</v>
      </c>
    </row>
    <row r="1720" spans="1:8" x14ac:dyDescent="0.25">
      <c r="A1720" s="43" t="s">
        <v>2953</v>
      </c>
      <c r="B1720" s="43" t="s">
        <v>97</v>
      </c>
      <c r="C1720" s="46">
        <v>83</v>
      </c>
      <c r="D1720" s="46">
        <v>2014327.7023867855</v>
      </c>
      <c r="E1720" s="43">
        <v>120859.66214320716</v>
      </c>
      <c r="F1720" s="43" t="s">
        <v>70</v>
      </c>
      <c r="G1720" s="43" t="s">
        <v>71</v>
      </c>
      <c r="H1720" s="43" t="s">
        <v>72</v>
      </c>
    </row>
    <row r="1721" spans="1:8" x14ac:dyDescent="0.25">
      <c r="A1721" s="43" t="s">
        <v>3029</v>
      </c>
      <c r="B1721" s="43" t="s">
        <v>367</v>
      </c>
      <c r="C1721" s="46">
        <v>83</v>
      </c>
      <c r="D1721" s="46">
        <v>1928482.5146736645</v>
      </c>
      <c r="E1721" s="43">
        <v>115708.95088041988</v>
      </c>
      <c r="F1721" s="43" t="s">
        <v>106</v>
      </c>
      <c r="G1721" s="43" t="s">
        <v>71</v>
      </c>
      <c r="H1721" s="43" t="s">
        <v>72</v>
      </c>
    </row>
    <row r="1722" spans="1:8" x14ac:dyDescent="0.25">
      <c r="A1722" s="72" t="s">
        <v>2954</v>
      </c>
      <c r="B1722" s="72" t="s">
        <v>85</v>
      </c>
      <c r="C1722" s="73">
        <v>83</v>
      </c>
      <c r="D1722" s="73">
        <v>2014327.7023867855</v>
      </c>
      <c r="E1722" s="72">
        <v>120859.66214320716</v>
      </c>
      <c r="F1722" s="72" t="s">
        <v>70</v>
      </c>
      <c r="G1722" s="72" t="s">
        <v>71</v>
      </c>
      <c r="H1722" s="72" t="s">
        <v>72</v>
      </c>
    </row>
    <row r="1723" spans="1:8" x14ac:dyDescent="0.25">
      <c r="A1723" s="72" t="s">
        <v>3414</v>
      </c>
      <c r="B1723" s="72" t="s">
        <v>85</v>
      </c>
      <c r="C1723" s="73">
        <v>83</v>
      </c>
      <c r="D1723" s="73">
        <v>1843456.3562601756</v>
      </c>
      <c r="E1723" s="72">
        <v>92172.817813008791</v>
      </c>
      <c r="F1723" s="72" t="s">
        <v>70</v>
      </c>
      <c r="G1723" s="72" t="s">
        <v>71</v>
      </c>
      <c r="H1723" s="72" t="s">
        <v>72</v>
      </c>
    </row>
    <row r="1724" spans="1:8" x14ac:dyDescent="0.25">
      <c r="A1724" s="43" t="s">
        <v>700</v>
      </c>
      <c r="B1724" s="43" t="s">
        <v>204</v>
      </c>
      <c r="C1724" s="46">
        <v>83</v>
      </c>
      <c r="D1724" s="46">
        <v>2647564.7377391718</v>
      </c>
      <c r="E1724" s="43">
        <v>344183.41590609233</v>
      </c>
      <c r="F1724" s="43" t="s">
        <v>87</v>
      </c>
      <c r="G1724" s="43" t="s">
        <v>71</v>
      </c>
      <c r="H1724" s="43" t="s">
        <v>88</v>
      </c>
    </row>
    <row r="1725" spans="1:8" x14ac:dyDescent="0.25">
      <c r="A1725" s="43" t="s">
        <v>1350</v>
      </c>
      <c r="B1725" s="43" t="s">
        <v>77</v>
      </c>
      <c r="C1725" s="46">
        <v>83</v>
      </c>
      <c r="D1725" s="46">
        <v>2512707.3512337455</v>
      </c>
      <c r="E1725" s="43">
        <v>251270.73512337456</v>
      </c>
      <c r="F1725" s="43" t="s">
        <v>87</v>
      </c>
      <c r="G1725" s="43" t="s">
        <v>71</v>
      </c>
      <c r="H1725" s="43" t="s">
        <v>88</v>
      </c>
    </row>
    <row r="1726" spans="1:8" x14ac:dyDescent="0.25">
      <c r="A1726" s="72" t="s">
        <v>1453</v>
      </c>
      <c r="B1726" s="72" t="s">
        <v>211</v>
      </c>
      <c r="C1726" s="73">
        <v>83</v>
      </c>
      <c r="D1726" s="73">
        <v>2403746.7473021578</v>
      </c>
      <c r="E1726" s="72">
        <v>240374.6747302158</v>
      </c>
      <c r="F1726" s="72" t="s">
        <v>70</v>
      </c>
      <c r="G1726" s="72" t="s">
        <v>71</v>
      </c>
      <c r="H1726" s="72" t="s">
        <v>72</v>
      </c>
    </row>
    <row r="1727" spans="1:8" x14ac:dyDescent="0.25">
      <c r="A1727" s="43" t="s">
        <v>2681</v>
      </c>
      <c r="B1727" s="43" t="s">
        <v>554</v>
      </c>
      <c r="C1727" s="46">
        <v>83</v>
      </c>
      <c r="D1727" s="46">
        <v>1968641.9408958999</v>
      </c>
      <c r="E1727" s="43">
        <v>137804.93586271297</v>
      </c>
      <c r="F1727" s="43" t="s">
        <v>106</v>
      </c>
      <c r="G1727" s="43" t="s">
        <v>71</v>
      </c>
      <c r="H1727" s="43" t="s">
        <v>72</v>
      </c>
    </row>
    <row r="1728" spans="1:8" x14ac:dyDescent="0.25">
      <c r="A1728" s="43" t="s">
        <v>1637</v>
      </c>
      <c r="B1728" s="43" t="s">
        <v>160</v>
      </c>
      <c r="C1728" s="46">
        <v>83</v>
      </c>
      <c r="D1728" s="46">
        <v>2458743.6409893977</v>
      </c>
      <c r="E1728" s="43">
        <v>221286.92768904578</v>
      </c>
      <c r="F1728" s="43" t="s">
        <v>87</v>
      </c>
      <c r="G1728" s="43" t="s">
        <v>71</v>
      </c>
      <c r="H1728" s="43" t="s">
        <v>88</v>
      </c>
    </row>
    <row r="1729" spans="1:8" x14ac:dyDescent="0.25">
      <c r="A1729" s="43" t="s">
        <v>934</v>
      </c>
      <c r="B1729" s="43" t="s">
        <v>110</v>
      </c>
      <c r="C1729" s="46">
        <v>83</v>
      </c>
      <c r="D1729" s="46">
        <v>2537298.0885686348</v>
      </c>
      <c r="E1729" s="43">
        <v>304475.77062823623</v>
      </c>
      <c r="F1729" s="43" t="s">
        <v>70</v>
      </c>
      <c r="G1729" s="43" t="s">
        <v>71</v>
      </c>
      <c r="H1729" s="43" t="s">
        <v>72</v>
      </c>
    </row>
    <row r="1730" spans="1:8" x14ac:dyDescent="0.25">
      <c r="A1730" s="72" t="s">
        <v>935</v>
      </c>
      <c r="B1730" s="72" t="s">
        <v>110</v>
      </c>
      <c r="C1730" s="73">
        <v>83</v>
      </c>
      <c r="D1730" s="73">
        <v>2537298.0885686348</v>
      </c>
      <c r="E1730" s="72">
        <v>304475.77062823623</v>
      </c>
      <c r="F1730" s="72" t="s">
        <v>70</v>
      </c>
      <c r="G1730" s="72" t="s">
        <v>71</v>
      </c>
      <c r="H1730" s="72" t="s">
        <v>72</v>
      </c>
    </row>
    <row r="1731" spans="1:8" x14ac:dyDescent="0.25">
      <c r="A1731" s="43" t="s">
        <v>2955</v>
      </c>
      <c r="B1731" s="43" t="s">
        <v>105</v>
      </c>
      <c r="C1731" s="46">
        <v>83</v>
      </c>
      <c r="D1731" s="46">
        <v>2014327.7023867855</v>
      </c>
      <c r="E1731" s="43">
        <v>120859.66214320716</v>
      </c>
      <c r="F1731" s="43" t="s">
        <v>70</v>
      </c>
      <c r="G1731" s="43" t="s">
        <v>71</v>
      </c>
      <c r="H1731" s="43" t="s">
        <v>72</v>
      </c>
    </row>
    <row r="1732" spans="1:8" x14ac:dyDescent="0.25">
      <c r="A1732" s="43" t="s">
        <v>2489</v>
      </c>
      <c r="B1732" s="43" t="s">
        <v>105</v>
      </c>
      <c r="C1732" s="46">
        <v>83</v>
      </c>
      <c r="D1732" s="46">
        <v>2138580.8051066189</v>
      </c>
      <c r="E1732" s="43">
        <v>149700.6563574633</v>
      </c>
      <c r="F1732" s="43" t="s">
        <v>70</v>
      </c>
      <c r="G1732" s="43" t="s">
        <v>71</v>
      </c>
      <c r="H1732" s="43" t="s">
        <v>72</v>
      </c>
    </row>
    <row r="1733" spans="1:8" x14ac:dyDescent="0.25">
      <c r="A1733" s="43" t="s">
        <v>564</v>
      </c>
      <c r="B1733" s="43" t="s">
        <v>97</v>
      </c>
      <c r="C1733" s="46">
        <v>83</v>
      </c>
      <c r="D1733" s="46">
        <v>2652006.1950346674</v>
      </c>
      <c r="E1733" s="43">
        <v>371280.8673048534</v>
      </c>
      <c r="F1733" s="43" t="s">
        <v>70</v>
      </c>
      <c r="G1733" s="43" t="s">
        <v>71</v>
      </c>
      <c r="H1733" s="43" t="s">
        <v>72</v>
      </c>
    </row>
    <row r="1734" spans="1:8" x14ac:dyDescent="0.25">
      <c r="A1734" s="72" t="s">
        <v>1174</v>
      </c>
      <c r="B1734" s="72" t="s">
        <v>97</v>
      </c>
      <c r="C1734" s="73">
        <v>83</v>
      </c>
      <c r="D1734" s="73">
        <v>2473395.2390743075</v>
      </c>
      <c r="E1734" s="72">
        <v>272073.47629817383</v>
      </c>
      <c r="F1734" s="72" t="s">
        <v>70</v>
      </c>
      <c r="G1734" s="72" t="s">
        <v>71</v>
      </c>
      <c r="H1734" s="72" t="s">
        <v>72</v>
      </c>
    </row>
    <row r="1735" spans="1:8" x14ac:dyDescent="0.25">
      <c r="A1735" s="72" t="s">
        <v>2110</v>
      </c>
      <c r="B1735" s="72" t="s">
        <v>97</v>
      </c>
      <c r="C1735" s="73">
        <v>83</v>
      </c>
      <c r="D1735" s="73">
        <v>2239793.7953252606</v>
      </c>
      <c r="E1735" s="72">
        <v>179183.50362602086</v>
      </c>
      <c r="F1735" s="72" t="s">
        <v>70</v>
      </c>
      <c r="G1735" s="72" t="s">
        <v>71</v>
      </c>
      <c r="H1735" s="72" t="s">
        <v>72</v>
      </c>
    </row>
    <row r="1736" spans="1:8" x14ac:dyDescent="0.25">
      <c r="A1736" s="43" t="s">
        <v>936</v>
      </c>
      <c r="B1736" s="43" t="s">
        <v>112</v>
      </c>
      <c r="C1736" s="46">
        <v>83</v>
      </c>
      <c r="D1736" s="46">
        <v>2537298.0885686348</v>
      </c>
      <c r="E1736" s="43">
        <v>304475.77062823623</v>
      </c>
      <c r="F1736" s="43" t="s">
        <v>70</v>
      </c>
      <c r="G1736" s="43" t="s">
        <v>71</v>
      </c>
      <c r="H1736" s="43" t="s">
        <v>72</v>
      </c>
    </row>
    <row r="1737" spans="1:8" x14ac:dyDescent="0.25">
      <c r="A1737" s="72" t="s">
        <v>1808</v>
      </c>
      <c r="B1737" s="72" t="s">
        <v>75</v>
      </c>
      <c r="C1737" s="73">
        <v>83</v>
      </c>
      <c r="D1737" s="73">
        <v>2059326.0544942764</v>
      </c>
      <c r="E1737" s="72">
        <v>205932.60544942765</v>
      </c>
      <c r="F1737" s="72" t="s">
        <v>106</v>
      </c>
      <c r="G1737" s="72" t="s">
        <v>71</v>
      </c>
      <c r="H1737" s="72" t="s">
        <v>72</v>
      </c>
    </row>
    <row r="1738" spans="1:8" x14ac:dyDescent="0.25">
      <c r="A1738" s="43" t="s">
        <v>2350</v>
      </c>
      <c r="B1738" s="43" t="s">
        <v>75</v>
      </c>
      <c r="C1738" s="46">
        <v>83</v>
      </c>
      <c r="D1738" s="46">
        <v>2002811.4173615531</v>
      </c>
      <c r="E1738" s="43">
        <v>160224.91338892424</v>
      </c>
      <c r="F1738" s="43" t="s">
        <v>106</v>
      </c>
      <c r="G1738" s="43" t="s">
        <v>71</v>
      </c>
      <c r="H1738" s="43" t="s">
        <v>72</v>
      </c>
    </row>
    <row r="1739" spans="1:8" x14ac:dyDescent="0.25">
      <c r="A1739" s="72" t="s">
        <v>565</v>
      </c>
      <c r="B1739" s="72" t="s">
        <v>85</v>
      </c>
      <c r="C1739" s="73">
        <v>83</v>
      </c>
      <c r="D1739" s="73">
        <v>2652006.1950346674</v>
      </c>
      <c r="E1739" s="72">
        <v>371280.8673048534</v>
      </c>
      <c r="F1739" s="72" t="s">
        <v>70</v>
      </c>
      <c r="G1739" s="72" t="s">
        <v>71</v>
      </c>
      <c r="H1739" s="72" t="s">
        <v>72</v>
      </c>
    </row>
    <row r="1740" spans="1:8" x14ac:dyDescent="0.25">
      <c r="A1740" s="72" t="s">
        <v>937</v>
      </c>
      <c r="B1740" s="72" t="s">
        <v>75</v>
      </c>
      <c r="C1740" s="73">
        <v>83</v>
      </c>
      <c r="D1740" s="73">
        <v>2537298.0885686348</v>
      </c>
      <c r="E1740" s="72">
        <v>304475.77062823623</v>
      </c>
      <c r="F1740" s="72" t="s">
        <v>70</v>
      </c>
      <c r="G1740" s="72" t="s">
        <v>71</v>
      </c>
      <c r="H1740" s="72" t="s">
        <v>72</v>
      </c>
    </row>
    <row r="1741" spans="1:8" x14ac:dyDescent="0.25">
      <c r="A1741" s="43" t="s">
        <v>566</v>
      </c>
      <c r="B1741" s="43" t="s">
        <v>210</v>
      </c>
      <c r="C1741" s="46">
        <v>83</v>
      </c>
      <c r="D1741" s="46">
        <v>2652006.1950346674</v>
      </c>
      <c r="E1741" s="43">
        <v>371280.8673048534</v>
      </c>
      <c r="F1741" s="43" t="s">
        <v>70</v>
      </c>
      <c r="G1741" s="43" t="s">
        <v>71</v>
      </c>
      <c r="H1741" s="43" t="s">
        <v>72</v>
      </c>
    </row>
    <row r="1742" spans="1:8" x14ac:dyDescent="0.25">
      <c r="A1742" s="43" t="s">
        <v>728</v>
      </c>
      <c r="B1742" s="43" t="s">
        <v>97</v>
      </c>
      <c r="C1742" s="46">
        <v>83</v>
      </c>
      <c r="D1742" s="46">
        <v>2596568.3748031827</v>
      </c>
      <c r="E1742" s="43">
        <v>337553.88872441376</v>
      </c>
      <c r="F1742" s="43" t="s">
        <v>70</v>
      </c>
      <c r="G1742" s="43" t="s">
        <v>71</v>
      </c>
      <c r="H1742" s="43" t="s">
        <v>72</v>
      </c>
    </row>
    <row r="1743" spans="1:8" x14ac:dyDescent="0.25">
      <c r="A1743" s="72" t="s">
        <v>756</v>
      </c>
      <c r="B1743" s="72" t="s">
        <v>119</v>
      </c>
      <c r="C1743" s="73">
        <v>82</v>
      </c>
      <c r="D1743" s="73">
        <v>2564089.1523851105</v>
      </c>
      <c r="E1743" s="72">
        <v>333331.58981006435</v>
      </c>
      <c r="F1743" s="72" t="s">
        <v>70</v>
      </c>
      <c r="G1743" s="72" t="s">
        <v>71</v>
      </c>
      <c r="H1743" s="72" t="s">
        <v>72</v>
      </c>
    </row>
    <row r="1744" spans="1:8" x14ac:dyDescent="0.25">
      <c r="A1744" s="72" t="s">
        <v>1798</v>
      </c>
      <c r="B1744" s="72" t="s">
        <v>97</v>
      </c>
      <c r="C1744" s="73">
        <v>82</v>
      </c>
      <c r="D1744" s="73">
        <v>2297498.1710771369</v>
      </c>
      <c r="E1744" s="72">
        <v>206774.8353969423</v>
      </c>
      <c r="F1744" s="72" t="s">
        <v>70</v>
      </c>
      <c r="G1744" s="72" t="s">
        <v>71</v>
      </c>
      <c r="H1744" s="72" t="s">
        <v>72</v>
      </c>
    </row>
    <row r="1745" spans="1:8" x14ac:dyDescent="0.25">
      <c r="A1745" s="43" t="s">
        <v>908</v>
      </c>
      <c r="B1745" s="43" t="s">
        <v>93</v>
      </c>
      <c r="C1745" s="46">
        <v>82</v>
      </c>
      <c r="D1745" s="46">
        <v>2573786.1166569912</v>
      </c>
      <c r="E1745" s="43">
        <v>308854.33399883891</v>
      </c>
      <c r="F1745" s="43" t="s">
        <v>87</v>
      </c>
      <c r="G1745" s="43" t="s">
        <v>71</v>
      </c>
      <c r="H1745" s="43" t="s">
        <v>88</v>
      </c>
    </row>
    <row r="1746" spans="1:8" x14ac:dyDescent="0.25">
      <c r="A1746" s="43" t="s">
        <v>2967</v>
      </c>
      <c r="B1746" s="43" t="s">
        <v>97</v>
      </c>
      <c r="C1746" s="46">
        <v>82</v>
      </c>
      <c r="D1746" s="46">
        <v>1988863.4278291522</v>
      </c>
      <c r="E1746" s="43">
        <v>119331.80566974916</v>
      </c>
      <c r="F1746" s="43" t="s">
        <v>70</v>
      </c>
      <c r="G1746" s="43" t="s">
        <v>71</v>
      </c>
      <c r="H1746" s="43" t="s">
        <v>72</v>
      </c>
    </row>
    <row r="1747" spans="1:8" x14ac:dyDescent="0.25">
      <c r="A1747" s="43" t="s">
        <v>1484</v>
      </c>
      <c r="B1747" s="43" t="s">
        <v>73</v>
      </c>
      <c r="C1747" s="46">
        <v>82</v>
      </c>
      <c r="D1747" s="46">
        <v>2373590.6770226527</v>
      </c>
      <c r="E1747" s="43">
        <v>237359.06770226528</v>
      </c>
      <c r="F1747" s="43" t="s">
        <v>70</v>
      </c>
      <c r="G1747" s="43" t="s">
        <v>71</v>
      </c>
      <c r="H1747" s="43" t="s">
        <v>72</v>
      </c>
    </row>
    <row r="1748" spans="1:8" x14ac:dyDescent="0.25">
      <c r="A1748" s="43" t="s">
        <v>2521</v>
      </c>
      <c r="B1748" s="43" t="s">
        <v>73</v>
      </c>
      <c r="C1748" s="46">
        <v>82</v>
      </c>
      <c r="D1748" s="46">
        <v>2111619.505215012</v>
      </c>
      <c r="E1748" s="43">
        <v>147813.36536505082</v>
      </c>
      <c r="F1748" s="43" t="s">
        <v>70</v>
      </c>
      <c r="G1748" s="43" t="s">
        <v>71</v>
      </c>
      <c r="H1748" s="43" t="s">
        <v>72</v>
      </c>
    </row>
    <row r="1749" spans="1:8" x14ac:dyDescent="0.25">
      <c r="A1749" s="43" t="s">
        <v>2125</v>
      </c>
      <c r="B1749" s="43" t="s">
        <v>97</v>
      </c>
      <c r="C1749" s="46">
        <v>82</v>
      </c>
      <c r="D1749" s="46">
        <v>2211613.061816561</v>
      </c>
      <c r="E1749" s="43">
        <v>176929.04494532489</v>
      </c>
      <c r="F1749" s="43" t="s">
        <v>70</v>
      </c>
      <c r="G1749" s="43" t="s">
        <v>71</v>
      </c>
      <c r="H1749" s="43" t="s">
        <v>72</v>
      </c>
    </row>
    <row r="1750" spans="1:8" x14ac:dyDescent="0.25">
      <c r="A1750" s="43" t="s">
        <v>3867</v>
      </c>
      <c r="B1750" s="43" t="s">
        <v>85</v>
      </c>
      <c r="C1750" s="46">
        <v>82</v>
      </c>
      <c r="D1750" s="46">
        <v>1791529.3270491392</v>
      </c>
      <c r="E1750" s="43">
        <v>71661.173081965564</v>
      </c>
      <c r="F1750" s="43" t="s">
        <v>106</v>
      </c>
      <c r="G1750" s="43" t="s">
        <v>71</v>
      </c>
      <c r="H1750" s="43" t="s">
        <v>72</v>
      </c>
    </row>
    <row r="1751" spans="1:8" x14ac:dyDescent="0.25">
      <c r="A1751" s="43" t="s">
        <v>963</v>
      </c>
      <c r="B1751" s="43" t="s">
        <v>211</v>
      </c>
      <c r="C1751" s="46">
        <v>82</v>
      </c>
      <c r="D1751" s="46">
        <v>2505532.9659847142</v>
      </c>
      <c r="E1751" s="43">
        <v>300663.95591816574</v>
      </c>
      <c r="F1751" s="43" t="s">
        <v>70</v>
      </c>
      <c r="G1751" s="43" t="s">
        <v>71</v>
      </c>
      <c r="H1751" s="43" t="s">
        <v>72</v>
      </c>
    </row>
    <row r="1752" spans="1:8" x14ac:dyDescent="0.25">
      <c r="A1752" s="72" t="s">
        <v>1485</v>
      </c>
      <c r="B1752" s="72" t="s">
        <v>85</v>
      </c>
      <c r="C1752" s="73">
        <v>82</v>
      </c>
      <c r="D1752" s="73">
        <v>2373590.6770226527</v>
      </c>
      <c r="E1752" s="72">
        <v>237359.06770226528</v>
      </c>
      <c r="F1752" s="72" t="s">
        <v>70</v>
      </c>
      <c r="G1752" s="72" t="s">
        <v>71</v>
      </c>
      <c r="H1752" s="72" t="s">
        <v>72</v>
      </c>
    </row>
    <row r="1753" spans="1:8" x14ac:dyDescent="0.25">
      <c r="A1753" s="72" t="s">
        <v>2126</v>
      </c>
      <c r="B1753" s="72" t="s">
        <v>85</v>
      </c>
      <c r="C1753" s="73">
        <v>82</v>
      </c>
      <c r="D1753" s="73">
        <v>2211613.061816561</v>
      </c>
      <c r="E1753" s="72">
        <v>176929.04494532489</v>
      </c>
      <c r="F1753" s="72" t="s">
        <v>70</v>
      </c>
      <c r="G1753" s="72" t="s">
        <v>71</v>
      </c>
      <c r="H1753" s="72" t="s">
        <v>72</v>
      </c>
    </row>
    <row r="1754" spans="1:8" x14ac:dyDescent="0.25">
      <c r="A1754" s="72" t="s">
        <v>3434</v>
      </c>
      <c r="B1754" s="72" t="s">
        <v>85</v>
      </c>
      <c r="C1754" s="73">
        <v>82</v>
      </c>
      <c r="D1754" s="73">
        <v>1820050.7726197306</v>
      </c>
      <c r="E1754" s="72">
        <v>91002.538630986528</v>
      </c>
      <c r="F1754" s="72" t="s">
        <v>70</v>
      </c>
      <c r="G1754" s="72" t="s">
        <v>71</v>
      </c>
      <c r="H1754" s="72" t="s">
        <v>72</v>
      </c>
    </row>
    <row r="1755" spans="1:8" x14ac:dyDescent="0.25">
      <c r="A1755" s="43" t="s">
        <v>2127</v>
      </c>
      <c r="B1755" s="43" t="s">
        <v>211</v>
      </c>
      <c r="C1755" s="46">
        <v>82</v>
      </c>
      <c r="D1755" s="46">
        <v>2211613.061816561</v>
      </c>
      <c r="E1755" s="43">
        <v>176929.04494532489</v>
      </c>
      <c r="F1755" s="43" t="s">
        <v>70</v>
      </c>
      <c r="G1755" s="43" t="s">
        <v>71</v>
      </c>
      <c r="H1755" s="43" t="s">
        <v>72</v>
      </c>
    </row>
    <row r="1756" spans="1:8" x14ac:dyDescent="0.25">
      <c r="A1756" s="72" t="s">
        <v>2128</v>
      </c>
      <c r="B1756" s="72" t="s">
        <v>97</v>
      </c>
      <c r="C1756" s="73">
        <v>82</v>
      </c>
      <c r="D1756" s="73">
        <v>2211613.061816561</v>
      </c>
      <c r="E1756" s="72">
        <v>176929.04494532489</v>
      </c>
      <c r="F1756" s="72" t="s">
        <v>70</v>
      </c>
      <c r="G1756" s="72" t="s">
        <v>71</v>
      </c>
      <c r="H1756" s="72" t="s">
        <v>72</v>
      </c>
    </row>
    <row r="1757" spans="1:8" x14ac:dyDescent="0.25">
      <c r="A1757" s="72" t="s">
        <v>1834</v>
      </c>
      <c r="B1757" s="72" t="s">
        <v>257</v>
      </c>
      <c r="C1757" s="73">
        <v>82</v>
      </c>
      <c r="D1757" s="73">
        <v>2033329.9955243028</v>
      </c>
      <c r="E1757" s="72">
        <v>203332.99955243029</v>
      </c>
      <c r="F1757" s="72" t="s">
        <v>106</v>
      </c>
      <c r="G1757" s="72" t="s">
        <v>71</v>
      </c>
      <c r="H1757" s="72" t="s">
        <v>72</v>
      </c>
    </row>
    <row r="1758" spans="1:8" x14ac:dyDescent="0.25">
      <c r="A1758" s="43" t="s">
        <v>1486</v>
      </c>
      <c r="B1758" s="43" t="s">
        <v>112</v>
      </c>
      <c r="C1758" s="46">
        <v>82</v>
      </c>
      <c r="D1758" s="46">
        <v>2373590.6770226527</v>
      </c>
      <c r="E1758" s="43">
        <v>237359.06770226528</v>
      </c>
      <c r="F1758" s="43" t="s">
        <v>70</v>
      </c>
      <c r="G1758" s="43" t="s">
        <v>71</v>
      </c>
      <c r="H1758" s="43" t="s">
        <v>72</v>
      </c>
    </row>
    <row r="1759" spans="1:8" x14ac:dyDescent="0.25">
      <c r="A1759" s="43" t="s">
        <v>3435</v>
      </c>
      <c r="B1759" s="43" t="s">
        <v>265</v>
      </c>
      <c r="C1759" s="46">
        <v>82</v>
      </c>
      <c r="D1759" s="46">
        <v>1820050.7726197306</v>
      </c>
      <c r="E1759" s="43">
        <v>91002.538630986528</v>
      </c>
      <c r="F1759" s="43" t="s">
        <v>70</v>
      </c>
      <c r="G1759" s="43" t="s">
        <v>71</v>
      </c>
      <c r="H1759" s="43" t="s">
        <v>72</v>
      </c>
    </row>
    <row r="1760" spans="1:8" x14ac:dyDescent="0.25">
      <c r="A1760" s="72" t="s">
        <v>964</v>
      </c>
      <c r="B1760" s="72" t="s">
        <v>73</v>
      </c>
      <c r="C1760" s="73">
        <v>82</v>
      </c>
      <c r="D1760" s="73">
        <v>2505532.9659847142</v>
      </c>
      <c r="E1760" s="72">
        <v>300663.95591816574</v>
      </c>
      <c r="F1760" s="72" t="s">
        <v>70</v>
      </c>
      <c r="G1760" s="72" t="s">
        <v>71</v>
      </c>
      <c r="H1760" s="72" t="s">
        <v>72</v>
      </c>
    </row>
    <row r="1761" spans="1:8" x14ac:dyDescent="0.25">
      <c r="A1761" s="72" t="s">
        <v>1206</v>
      </c>
      <c r="B1761" s="72" t="s">
        <v>97</v>
      </c>
      <c r="C1761" s="73">
        <v>82</v>
      </c>
      <c r="D1761" s="73">
        <v>2442400.0303397165</v>
      </c>
      <c r="E1761" s="72">
        <v>268664.00333736883</v>
      </c>
      <c r="F1761" s="72" t="s">
        <v>70</v>
      </c>
      <c r="G1761" s="72" t="s">
        <v>71</v>
      </c>
      <c r="H1761" s="72" t="s">
        <v>72</v>
      </c>
    </row>
    <row r="1762" spans="1:8" x14ac:dyDescent="0.25">
      <c r="A1762" s="43" t="s">
        <v>1835</v>
      </c>
      <c r="B1762" s="43" t="s">
        <v>105</v>
      </c>
      <c r="C1762" s="46">
        <v>82</v>
      </c>
      <c r="D1762" s="46">
        <v>2033329.9955243028</v>
      </c>
      <c r="E1762" s="43">
        <v>203332.99955243029</v>
      </c>
      <c r="F1762" s="43" t="s">
        <v>106</v>
      </c>
      <c r="G1762" s="43" t="s">
        <v>71</v>
      </c>
      <c r="H1762" s="43" t="s">
        <v>72</v>
      </c>
    </row>
    <row r="1763" spans="1:8" x14ac:dyDescent="0.25">
      <c r="A1763" s="72" t="s">
        <v>1487</v>
      </c>
      <c r="B1763" s="72" t="s">
        <v>97</v>
      </c>
      <c r="C1763" s="73">
        <v>82</v>
      </c>
      <c r="D1763" s="73">
        <v>2373590.6770226527</v>
      </c>
      <c r="E1763" s="72">
        <v>237359.06770226528</v>
      </c>
      <c r="F1763" s="72" t="s">
        <v>70</v>
      </c>
      <c r="G1763" s="72" t="s">
        <v>71</v>
      </c>
      <c r="H1763" s="72" t="s">
        <v>72</v>
      </c>
    </row>
    <row r="1764" spans="1:8" x14ac:dyDescent="0.25">
      <c r="A1764" s="43" t="s">
        <v>757</v>
      </c>
      <c r="B1764" s="43" t="s">
        <v>102</v>
      </c>
      <c r="C1764" s="46">
        <v>82</v>
      </c>
      <c r="D1764" s="46">
        <v>2564089.1523851105</v>
      </c>
      <c r="E1764" s="43">
        <v>333331.58981006435</v>
      </c>
      <c r="F1764" s="43" t="s">
        <v>70</v>
      </c>
      <c r="G1764" s="43" t="s">
        <v>71</v>
      </c>
      <c r="H1764" s="43" t="s">
        <v>72</v>
      </c>
    </row>
    <row r="1765" spans="1:8" x14ac:dyDescent="0.25">
      <c r="A1765" s="43" t="s">
        <v>1488</v>
      </c>
      <c r="B1765" s="43" t="s">
        <v>81</v>
      </c>
      <c r="C1765" s="46">
        <v>82</v>
      </c>
      <c r="D1765" s="46">
        <v>2373590.6770226527</v>
      </c>
      <c r="E1765" s="43">
        <v>237359.06770226528</v>
      </c>
      <c r="F1765" s="43" t="s">
        <v>70</v>
      </c>
      <c r="G1765" s="43" t="s">
        <v>71</v>
      </c>
      <c r="H1765" s="43" t="s">
        <v>72</v>
      </c>
    </row>
    <row r="1766" spans="1:8" x14ac:dyDescent="0.25">
      <c r="A1766" s="43" t="s">
        <v>965</v>
      </c>
      <c r="B1766" s="43" t="s">
        <v>97</v>
      </c>
      <c r="C1766" s="46">
        <v>82</v>
      </c>
      <c r="D1766" s="46">
        <v>2505532.9659847142</v>
      </c>
      <c r="E1766" s="43">
        <v>300663.95591816574</v>
      </c>
      <c r="F1766" s="43" t="s">
        <v>70</v>
      </c>
      <c r="G1766" s="43" t="s">
        <v>71</v>
      </c>
      <c r="H1766" s="43" t="s">
        <v>72</v>
      </c>
    </row>
    <row r="1767" spans="1:8" x14ac:dyDescent="0.25">
      <c r="A1767" s="72" t="s">
        <v>2522</v>
      </c>
      <c r="B1767" s="72" t="s">
        <v>243</v>
      </c>
      <c r="C1767" s="73">
        <v>82</v>
      </c>
      <c r="D1767" s="73">
        <v>2111619.505215012</v>
      </c>
      <c r="E1767" s="72">
        <v>147813.36536505082</v>
      </c>
      <c r="F1767" s="72" t="s">
        <v>70</v>
      </c>
      <c r="G1767" s="72" t="s">
        <v>71</v>
      </c>
      <c r="H1767" s="72" t="s">
        <v>72</v>
      </c>
    </row>
    <row r="1768" spans="1:8" x14ac:dyDescent="0.25">
      <c r="A1768" s="72" t="s">
        <v>1489</v>
      </c>
      <c r="B1768" s="72" t="s">
        <v>107</v>
      </c>
      <c r="C1768" s="73">
        <v>82</v>
      </c>
      <c r="D1768" s="73">
        <v>2373590.6770226527</v>
      </c>
      <c r="E1768" s="72">
        <v>237359.06770226528</v>
      </c>
      <c r="F1768" s="72" t="s">
        <v>70</v>
      </c>
      <c r="G1768" s="72" t="s">
        <v>71</v>
      </c>
      <c r="H1768" s="72" t="s">
        <v>72</v>
      </c>
    </row>
    <row r="1769" spans="1:8" x14ac:dyDescent="0.25">
      <c r="A1769" s="43" t="s">
        <v>2523</v>
      </c>
      <c r="B1769" s="43" t="s">
        <v>107</v>
      </c>
      <c r="C1769" s="46">
        <v>82</v>
      </c>
      <c r="D1769" s="46">
        <v>2111619.505215012</v>
      </c>
      <c r="E1769" s="43">
        <v>147813.36536505082</v>
      </c>
      <c r="F1769" s="43" t="s">
        <v>70</v>
      </c>
      <c r="G1769" s="43" t="s">
        <v>71</v>
      </c>
      <c r="H1769" s="43" t="s">
        <v>72</v>
      </c>
    </row>
    <row r="1770" spans="1:8" x14ac:dyDescent="0.25">
      <c r="A1770" s="43" t="s">
        <v>1490</v>
      </c>
      <c r="B1770" s="43" t="s">
        <v>77</v>
      </c>
      <c r="C1770" s="46">
        <v>82</v>
      </c>
      <c r="D1770" s="46">
        <v>2373590.6770226527</v>
      </c>
      <c r="E1770" s="43">
        <v>237359.06770226528</v>
      </c>
      <c r="F1770" s="43" t="s">
        <v>70</v>
      </c>
      <c r="G1770" s="43" t="s">
        <v>71</v>
      </c>
      <c r="H1770" s="43" t="s">
        <v>72</v>
      </c>
    </row>
    <row r="1771" spans="1:8" x14ac:dyDescent="0.25">
      <c r="A1771" s="72" t="s">
        <v>3868</v>
      </c>
      <c r="B1771" s="72" t="s">
        <v>77</v>
      </c>
      <c r="C1771" s="73">
        <v>82</v>
      </c>
      <c r="D1771" s="73">
        <v>1791529.3270491392</v>
      </c>
      <c r="E1771" s="72">
        <v>71661.173081965564</v>
      </c>
      <c r="F1771" s="72" t="s">
        <v>106</v>
      </c>
      <c r="G1771" s="72" t="s">
        <v>71</v>
      </c>
      <c r="H1771" s="72" t="s">
        <v>72</v>
      </c>
    </row>
    <row r="1772" spans="1:8" x14ac:dyDescent="0.25">
      <c r="A1772" s="72" t="s">
        <v>3436</v>
      </c>
      <c r="B1772" s="72" t="s">
        <v>107</v>
      </c>
      <c r="C1772" s="73">
        <v>82</v>
      </c>
      <c r="D1772" s="73">
        <v>1820050.7726197306</v>
      </c>
      <c r="E1772" s="72">
        <v>91002.538630986528</v>
      </c>
      <c r="F1772" s="72" t="s">
        <v>70</v>
      </c>
      <c r="G1772" s="72" t="s">
        <v>71</v>
      </c>
      <c r="H1772" s="72" t="s">
        <v>72</v>
      </c>
    </row>
    <row r="1773" spans="1:8" x14ac:dyDescent="0.25">
      <c r="A1773" s="72" t="s">
        <v>909</v>
      </c>
      <c r="B1773" s="72" t="s">
        <v>139</v>
      </c>
      <c r="C1773" s="73">
        <v>82</v>
      </c>
      <c r="D1773" s="73">
        <v>2573786.1166569912</v>
      </c>
      <c r="E1773" s="72">
        <v>308854.33399883891</v>
      </c>
      <c r="F1773" s="72" t="s">
        <v>87</v>
      </c>
      <c r="G1773" s="72" t="s">
        <v>71</v>
      </c>
      <c r="H1773" s="72" t="s">
        <v>88</v>
      </c>
    </row>
    <row r="1774" spans="1:8" x14ac:dyDescent="0.25">
      <c r="A1774" s="43" t="s">
        <v>2159</v>
      </c>
      <c r="B1774" s="43" t="s">
        <v>97</v>
      </c>
      <c r="C1774" s="46">
        <v>81</v>
      </c>
      <c r="D1774" s="46">
        <v>2183462.5726739001</v>
      </c>
      <c r="E1774" s="43">
        <v>174677.00581391199</v>
      </c>
      <c r="F1774" s="43" t="s">
        <v>70</v>
      </c>
      <c r="G1774" s="43" t="s">
        <v>71</v>
      </c>
      <c r="H1774" s="43" t="s">
        <v>72</v>
      </c>
    </row>
    <row r="1775" spans="1:8" x14ac:dyDescent="0.25">
      <c r="A1775" s="72" t="s">
        <v>991</v>
      </c>
      <c r="B1775" s="72" t="s">
        <v>119</v>
      </c>
      <c r="C1775" s="73">
        <v>81</v>
      </c>
      <c r="D1775" s="73">
        <v>2473798.0877668317</v>
      </c>
      <c r="E1775" s="72">
        <v>296855.77053201984</v>
      </c>
      <c r="F1775" s="72" t="s">
        <v>70</v>
      </c>
      <c r="G1775" s="72" t="s">
        <v>71</v>
      </c>
      <c r="H1775" s="72" t="s">
        <v>72</v>
      </c>
    </row>
    <row r="1776" spans="1:8" x14ac:dyDescent="0.25">
      <c r="A1776" s="72" t="s">
        <v>2552</v>
      </c>
      <c r="B1776" s="72" t="s">
        <v>139</v>
      </c>
      <c r="C1776" s="73">
        <v>81</v>
      </c>
      <c r="D1776" s="73">
        <v>2084688.4496894425</v>
      </c>
      <c r="E1776" s="72">
        <v>145928.19147826097</v>
      </c>
      <c r="F1776" s="72" t="s">
        <v>70</v>
      </c>
      <c r="G1776" s="72" t="s">
        <v>71</v>
      </c>
      <c r="H1776" s="72" t="s">
        <v>72</v>
      </c>
    </row>
    <row r="1777" spans="1:8" x14ac:dyDescent="0.25">
      <c r="A1777" s="72" t="s">
        <v>2938</v>
      </c>
      <c r="B1777" s="72" t="s">
        <v>211</v>
      </c>
      <c r="C1777" s="73">
        <v>81</v>
      </c>
      <c r="D1777" s="73">
        <v>2028640.7500550097</v>
      </c>
      <c r="E1777" s="72">
        <v>121718.44500330061</v>
      </c>
      <c r="F1777" s="72" t="s">
        <v>78</v>
      </c>
      <c r="G1777" s="72" t="s">
        <v>71</v>
      </c>
      <c r="H1777" s="72" t="s">
        <v>72</v>
      </c>
    </row>
    <row r="1778" spans="1:8" x14ac:dyDescent="0.25">
      <c r="A1778" s="43" t="s">
        <v>3425</v>
      </c>
      <c r="B1778" s="43" t="s">
        <v>89</v>
      </c>
      <c r="C1778" s="46">
        <v>81</v>
      </c>
      <c r="D1778" s="46">
        <v>1831660.1571808243</v>
      </c>
      <c r="E1778" s="43">
        <v>91583.007859041216</v>
      </c>
      <c r="F1778" s="43" t="s">
        <v>106</v>
      </c>
      <c r="G1778" s="43" t="s">
        <v>71</v>
      </c>
      <c r="H1778" s="43" t="s">
        <v>72</v>
      </c>
    </row>
    <row r="1779" spans="1:8" x14ac:dyDescent="0.25">
      <c r="A1779" s="72" t="s">
        <v>1822</v>
      </c>
      <c r="B1779" s="72" t="s">
        <v>74</v>
      </c>
      <c r="C1779" s="73">
        <v>81</v>
      </c>
      <c r="D1779" s="73">
        <v>2268300.3025532491</v>
      </c>
      <c r="E1779" s="72">
        <v>204147.02722979241</v>
      </c>
      <c r="F1779" s="72" t="s">
        <v>70</v>
      </c>
      <c r="G1779" s="72" t="s">
        <v>71</v>
      </c>
      <c r="H1779" s="72" t="s">
        <v>72</v>
      </c>
    </row>
    <row r="1780" spans="1:8" x14ac:dyDescent="0.25">
      <c r="A1780" s="43" t="s">
        <v>716</v>
      </c>
      <c r="B1780" s="43" t="s">
        <v>176</v>
      </c>
      <c r="C1780" s="46">
        <v>81</v>
      </c>
      <c r="D1780" s="46">
        <v>2611594.2031736858</v>
      </c>
      <c r="E1780" s="43">
        <v>339507.24641257914</v>
      </c>
      <c r="F1780" s="43" t="s">
        <v>78</v>
      </c>
      <c r="G1780" s="43" t="s">
        <v>71</v>
      </c>
      <c r="H1780" s="43" t="s">
        <v>72</v>
      </c>
    </row>
    <row r="1781" spans="1:8" x14ac:dyDescent="0.25">
      <c r="A1781" s="43" t="s">
        <v>4454</v>
      </c>
      <c r="B1781" s="43" t="s">
        <v>176</v>
      </c>
      <c r="C1781" s="46">
        <v>81</v>
      </c>
      <c r="D1781" s="46">
        <v>1671740.8533979799</v>
      </c>
      <c r="E1781" s="43">
        <v>50152.225601939404</v>
      </c>
      <c r="F1781" s="43" t="s">
        <v>106</v>
      </c>
      <c r="G1781" s="43" t="s">
        <v>71</v>
      </c>
      <c r="H1781" s="43" t="s">
        <v>72</v>
      </c>
    </row>
    <row r="1782" spans="1:8" x14ac:dyDescent="0.25">
      <c r="A1782" s="43" t="s">
        <v>932</v>
      </c>
      <c r="B1782" s="43" t="s">
        <v>97</v>
      </c>
      <c r="C1782" s="46">
        <v>81</v>
      </c>
      <c r="D1782" s="46">
        <v>2541382.1842515734</v>
      </c>
      <c r="E1782" s="43">
        <v>304965.86211018881</v>
      </c>
      <c r="F1782" s="43" t="s">
        <v>87</v>
      </c>
      <c r="G1782" s="43" t="s">
        <v>71</v>
      </c>
      <c r="H1782" s="43" t="s">
        <v>88</v>
      </c>
    </row>
    <row r="1783" spans="1:8" x14ac:dyDescent="0.25">
      <c r="A1783" s="43" t="s">
        <v>1823</v>
      </c>
      <c r="B1783" s="43" t="s">
        <v>85</v>
      </c>
      <c r="C1783" s="46">
        <v>81</v>
      </c>
      <c r="D1783" s="46">
        <v>2268300.3025532491</v>
      </c>
      <c r="E1783" s="43">
        <v>204147.02722979241</v>
      </c>
      <c r="F1783" s="43" t="s">
        <v>70</v>
      </c>
      <c r="G1783" s="43" t="s">
        <v>71</v>
      </c>
      <c r="H1783" s="43" t="s">
        <v>72</v>
      </c>
    </row>
    <row r="1784" spans="1:8" x14ac:dyDescent="0.25">
      <c r="A1784" s="72" t="s">
        <v>2370</v>
      </c>
      <c r="B1784" s="72" t="s">
        <v>77</v>
      </c>
      <c r="C1784" s="73">
        <v>81</v>
      </c>
      <c r="D1784" s="73">
        <v>2270028.0112576908</v>
      </c>
      <c r="E1784" s="72">
        <v>158901.96078803836</v>
      </c>
      <c r="F1784" s="72" t="s">
        <v>87</v>
      </c>
      <c r="G1784" s="72" t="s">
        <v>71</v>
      </c>
      <c r="H1784" s="72" t="s">
        <v>88</v>
      </c>
    </row>
    <row r="1785" spans="1:8" x14ac:dyDescent="0.25">
      <c r="A1785" s="72" t="s">
        <v>3730</v>
      </c>
      <c r="B1785" s="72" t="s">
        <v>73</v>
      </c>
      <c r="C1785" s="73">
        <v>81</v>
      </c>
      <c r="D1785" s="73">
        <v>1934810.2516147604</v>
      </c>
      <c r="E1785" s="72">
        <v>77392.410064590411</v>
      </c>
      <c r="F1785" s="72" t="s">
        <v>87</v>
      </c>
      <c r="G1785" s="72" t="s">
        <v>71</v>
      </c>
      <c r="H1785" s="72" t="s">
        <v>88</v>
      </c>
    </row>
    <row r="1786" spans="1:8" x14ac:dyDescent="0.25">
      <c r="A1786" s="72" t="s">
        <v>784</v>
      </c>
      <c r="B1786" s="72" t="s">
        <v>97</v>
      </c>
      <c r="C1786" s="73">
        <v>81</v>
      </c>
      <c r="D1786" s="73">
        <v>2531640.1743330769</v>
      </c>
      <c r="E1786" s="72">
        <v>329113.2226633</v>
      </c>
      <c r="F1786" s="72" t="s">
        <v>70</v>
      </c>
      <c r="G1786" s="72" t="s">
        <v>71</v>
      </c>
      <c r="H1786" s="72" t="s">
        <v>72</v>
      </c>
    </row>
    <row r="1787" spans="1:8" x14ac:dyDescent="0.25">
      <c r="A1787" s="72" t="s">
        <v>2998</v>
      </c>
      <c r="B1787" s="72" t="s">
        <v>211</v>
      </c>
      <c r="C1787" s="73">
        <v>81</v>
      </c>
      <c r="D1787" s="73">
        <v>1963429.3976375572</v>
      </c>
      <c r="E1787" s="72">
        <v>117805.76385825346</v>
      </c>
      <c r="F1787" s="72" t="s">
        <v>70</v>
      </c>
      <c r="G1787" s="72" t="s">
        <v>71</v>
      </c>
      <c r="H1787" s="72" t="s">
        <v>72</v>
      </c>
    </row>
    <row r="1788" spans="1:8" x14ac:dyDescent="0.25">
      <c r="A1788" s="43" t="s">
        <v>785</v>
      </c>
      <c r="B1788" s="43" t="s">
        <v>97</v>
      </c>
      <c r="C1788" s="46">
        <v>81</v>
      </c>
      <c r="D1788" s="46">
        <v>2531640.1743330769</v>
      </c>
      <c r="E1788" s="43">
        <v>329113.2226633</v>
      </c>
      <c r="F1788" s="43" t="s">
        <v>70</v>
      </c>
      <c r="G1788" s="43" t="s">
        <v>71</v>
      </c>
      <c r="H1788" s="43" t="s">
        <v>72</v>
      </c>
    </row>
    <row r="1789" spans="1:8" x14ac:dyDescent="0.25">
      <c r="A1789" s="43" t="s">
        <v>1226</v>
      </c>
      <c r="B1789" s="43" t="s">
        <v>97</v>
      </c>
      <c r="C1789" s="46">
        <v>81</v>
      </c>
      <c r="D1789" s="46">
        <v>2411435.0659711631</v>
      </c>
      <c r="E1789" s="43">
        <v>265257.85725682799</v>
      </c>
      <c r="F1789" s="43" t="s">
        <v>70</v>
      </c>
      <c r="G1789" s="43" t="s">
        <v>71</v>
      </c>
      <c r="H1789" s="43" t="s">
        <v>72</v>
      </c>
    </row>
    <row r="1790" spans="1:8" x14ac:dyDescent="0.25">
      <c r="A1790" s="43" t="s">
        <v>3459</v>
      </c>
      <c r="B1790" s="43" t="s">
        <v>73</v>
      </c>
      <c r="C1790" s="46">
        <v>81</v>
      </c>
      <c r="D1790" s="46">
        <v>1796675.4333453234</v>
      </c>
      <c r="E1790" s="43">
        <v>89833.771667266177</v>
      </c>
      <c r="F1790" s="43" t="s">
        <v>70</v>
      </c>
      <c r="G1790" s="43" t="s">
        <v>71</v>
      </c>
      <c r="H1790" s="43" t="s">
        <v>72</v>
      </c>
    </row>
    <row r="1791" spans="1:8" x14ac:dyDescent="0.25">
      <c r="A1791" s="43" t="s">
        <v>992</v>
      </c>
      <c r="B1791" s="43" t="s">
        <v>102</v>
      </c>
      <c r="C1791" s="46">
        <v>81</v>
      </c>
      <c r="D1791" s="46">
        <v>2473798.0877668317</v>
      </c>
      <c r="E1791" s="43">
        <v>296855.77053201984</v>
      </c>
      <c r="F1791" s="43" t="s">
        <v>70</v>
      </c>
      <c r="G1791" s="43" t="s">
        <v>71</v>
      </c>
      <c r="H1791" s="43" t="s">
        <v>72</v>
      </c>
    </row>
    <row r="1792" spans="1:8" x14ac:dyDescent="0.25">
      <c r="A1792" s="72" t="s">
        <v>933</v>
      </c>
      <c r="B1792" s="72" t="s">
        <v>69</v>
      </c>
      <c r="C1792" s="73">
        <v>81</v>
      </c>
      <c r="D1792" s="73">
        <v>2541382.1842515734</v>
      </c>
      <c r="E1792" s="72">
        <v>304965.86211018881</v>
      </c>
      <c r="F1792" s="72" t="s">
        <v>87</v>
      </c>
      <c r="G1792" s="72" t="s">
        <v>71</v>
      </c>
      <c r="H1792" s="72" t="s">
        <v>88</v>
      </c>
    </row>
    <row r="1793" spans="1:8" x14ac:dyDescent="0.25">
      <c r="A1793" s="43" t="s">
        <v>740</v>
      </c>
      <c r="B1793" s="43" t="s">
        <v>83</v>
      </c>
      <c r="C1793" s="46">
        <v>81</v>
      </c>
      <c r="D1793" s="46">
        <v>2581734.5994952498</v>
      </c>
      <c r="E1793" s="43">
        <v>335625.49793438247</v>
      </c>
      <c r="F1793" s="43" t="s">
        <v>87</v>
      </c>
      <c r="G1793" s="43" t="s">
        <v>71</v>
      </c>
      <c r="H1793" s="43" t="s">
        <v>88</v>
      </c>
    </row>
    <row r="1794" spans="1:8" x14ac:dyDescent="0.25">
      <c r="A1794" s="72" t="s">
        <v>3206</v>
      </c>
      <c r="B1794" s="72" t="s">
        <v>73</v>
      </c>
      <c r="C1794" s="73">
        <v>81</v>
      </c>
      <c r="D1794" s="73">
        <v>2085055.0128404016</v>
      </c>
      <c r="E1794" s="72">
        <v>104252.75064202008</v>
      </c>
      <c r="F1794" s="72" t="s">
        <v>87</v>
      </c>
      <c r="G1794" s="72" t="s">
        <v>71</v>
      </c>
      <c r="H1794" s="72" t="s">
        <v>88</v>
      </c>
    </row>
    <row r="1795" spans="1:8" x14ac:dyDescent="0.25">
      <c r="A1795" s="72" t="s">
        <v>741</v>
      </c>
      <c r="B1795" s="72" t="s">
        <v>742</v>
      </c>
      <c r="C1795" s="73">
        <v>81</v>
      </c>
      <c r="D1795" s="73">
        <v>2581734.5994952498</v>
      </c>
      <c r="E1795" s="72">
        <v>335625.49793438247</v>
      </c>
      <c r="F1795" s="72" t="s">
        <v>87</v>
      </c>
      <c r="G1795" s="72" t="s">
        <v>71</v>
      </c>
      <c r="H1795" s="72" t="s">
        <v>88</v>
      </c>
    </row>
    <row r="1796" spans="1:8" x14ac:dyDescent="0.25">
      <c r="A1796" s="72" t="s">
        <v>3902</v>
      </c>
      <c r="B1796" s="72" t="s">
        <v>105</v>
      </c>
      <c r="C1796" s="73">
        <v>81</v>
      </c>
      <c r="D1796" s="73">
        <v>1768512.2955370403</v>
      </c>
      <c r="E1796" s="72">
        <v>70740.491821481613</v>
      </c>
      <c r="F1796" s="72" t="s">
        <v>106</v>
      </c>
      <c r="G1796" s="72" t="s">
        <v>71</v>
      </c>
      <c r="H1796" s="72" t="s">
        <v>72</v>
      </c>
    </row>
    <row r="1797" spans="1:8" x14ac:dyDescent="0.25">
      <c r="A1797" s="72" t="s">
        <v>1227</v>
      </c>
      <c r="B1797" s="72" t="s">
        <v>112</v>
      </c>
      <c r="C1797" s="73">
        <v>81</v>
      </c>
      <c r="D1797" s="73">
        <v>2411435.0659711631</v>
      </c>
      <c r="E1797" s="72">
        <v>265257.85725682799</v>
      </c>
      <c r="F1797" s="72" t="s">
        <v>70</v>
      </c>
      <c r="G1797" s="72" t="s">
        <v>71</v>
      </c>
      <c r="H1797" s="72" t="s">
        <v>72</v>
      </c>
    </row>
    <row r="1798" spans="1:8" x14ac:dyDescent="0.25">
      <c r="A1798" s="43" t="s">
        <v>2999</v>
      </c>
      <c r="B1798" s="43" t="s">
        <v>112</v>
      </c>
      <c r="C1798" s="46">
        <v>81</v>
      </c>
      <c r="D1798" s="46">
        <v>1963429.3976375572</v>
      </c>
      <c r="E1798" s="43">
        <v>117805.76385825346</v>
      </c>
      <c r="F1798" s="43" t="s">
        <v>70</v>
      </c>
      <c r="G1798" s="43" t="s">
        <v>71</v>
      </c>
      <c r="H1798" s="43" t="s">
        <v>72</v>
      </c>
    </row>
    <row r="1799" spans="1:8" x14ac:dyDescent="0.25">
      <c r="A1799" s="72" t="s">
        <v>1512</v>
      </c>
      <c r="B1799" s="72" t="s">
        <v>105</v>
      </c>
      <c r="C1799" s="73">
        <v>81</v>
      </c>
      <c r="D1799" s="73">
        <v>2343464.8511091853</v>
      </c>
      <c r="E1799" s="72">
        <v>234346.48511091853</v>
      </c>
      <c r="F1799" s="72" t="s">
        <v>70</v>
      </c>
      <c r="G1799" s="72" t="s">
        <v>71</v>
      </c>
      <c r="H1799" s="72" t="s">
        <v>72</v>
      </c>
    </row>
    <row r="1800" spans="1:8" x14ac:dyDescent="0.25">
      <c r="A1800" s="72" t="s">
        <v>1824</v>
      </c>
      <c r="B1800" s="72" t="s">
        <v>102</v>
      </c>
      <c r="C1800" s="73">
        <v>81</v>
      </c>
      <c r="D1800" s="73">
        <v>2268300.3025532491</v>
      </c>
      <c r="E1800" s="72">
        <v>204147.02722979241</v>
      </c>
      <c r="F1800" s="72" t="s">
        <v>70</v>
      </c>
      <c r="G1800" s="72" t="s">
        <v>71</v>
      </c>
      <c r="H1800" s="72" t="s">
        <v>72</v>
      </c>
    </row>
    <row r="1801" spans="1:8" x14ac:dyDescent="0.25">
      <c r="A1801" s="43" t="s">
        <v>559</v>
      </c>
      <c r="B1801" s="43" t="s">
        <v>265</v>
      </c>
      <c r="C1801" s="46">
        <v>81</v>
      </c>
      <c r="D1801" s="46">
        <v>2667099.8905438124</v>
      </c>
      <c r="E1801" s="43">
        <v>373393.98467613372</v>
      </c>
      <c r="F1801" s="43" t="s">
        <v>78</v>
      </c>
      <c r="G1801" s="43" t="s">
        <v>71</v>
      </c>
      <c r="H1801" s="43" t="s">
        <v>72</v>
      </c>
    </row>
    <row r="1802" spans="1:8" x14ac:dyDescent="0.25">
      <c r="A1802" s="43" t="s">
        <v>2553</v>
      </c>
      <c r="B1802" s="43" t="s">
        <v>97</v>
      </c>
      <c r="C1802" s="46">
        <v>81</v>
      </c>
      <c r="D1802" s="46">
        <v>2084688.4496894425</v>
      </c>
      <c r="E1802" s="43">
        <v>145928.19147826097</v>
      </c>
      <c r="F1802" s="43" t="s">
        <v>70</v>
      </c>
      <c r="G1802" s="43" t="s">
        <v>71</v>
      </c>
      <c r="H1802" s="43" t="s">
        <v>72</v>
      </c>
    </row>
    <row r="1803" spans="1:8" x14ac:dyDescent="0.25">
      <c r="A1803" s="43" t="s">
        <v>2780</v>
      </c>
      <c r="B1803" s="43" t="s">
        <v>73</v>
      </c>
      <c r="C1803" s="46">
        <v>81</v>
      </c>
      <c r="D1803" s="46">
        <v>2188564.7197864223</v>
      </c>
      <c r="E1803" s="43">
        <v>131313.88318718533</v>
      </c>
      <c r="F1803" s="43" t="s">
        <v>87</v>
      </c>
      <c r="G1803" s="43" t="s">
        <v>71</v>
      </c>
      <c r="H1803" s="43" t="s">
        <v>88</v>
      </c>
    </row>
    <row r="1804" spans="1:8" x14ac:dyDescent="0.25">
      <c r="A1804" s="72" t="s">
        <v>622</v>
      </c>
      <c r="B1804" s="72" t="s">
        <v>97</v>
      </c>
      <c r="C1804" s="73">
        <v>81</v>
      </c>
      <c r="D1804" s="73">
        <v>2585742.1434746464</v>
      </c>
      <c r="E1804" s="72">
        <v>362003.90008645045</v>
      </c>
      <c r="F1804" s="72" t="s">
        <v>70</v>
      </c>
      <c r="G1804" s="72" t="s">
        <v>71</v>
      </c>
      <c r="H1804" s="72" t="s">
        <v>72</v>
      </c>
    </row>
    <row r="1805" spans="1:8" x14ac:dyDescent="0.25">
      <c r="A1805" s="72" t="s">
        <v>2554</v>
      </c>
      <c r="B1805" s="72" t="s">
        <v>102</v>
      </c>
      <c r="C1805" s="73">
        <v>81</v>
      </c>
      <c r="D1805" s="73">
        <v>2084688.4496894425</v>
      </c>
      <c r="E1805" s="72">
        <v>145928.19147826097</v>
      </c>
      <c r="F1805" s="72" t="s">
        <v>70</v>
      </c>
      <c r="G1805" s="72" t="s">
        <v>71</v>
      </c>
      <c r="H1805" s="72" t="s">
        <v>72</v>
      </c>
    </row>
    <row r="1806" spans="1:8" x14ac:dyDescent="0.25">
      <c r="A1806" s="72" t="s">
        <v>643</v>
      </c>
      <c r="B1806" s="72" t="s">
        <v>229</v>
      </c>
      <c r="C1806" s="73">
        <v>80</v>
      </c>
      <c r="D1806" s="73">
        <v>2552655.4428198379</v>
      </c>
      <c r="E1806" s="72">
        <v>357371.76199477725</v>
      </c>
      <c r="F1806" s="72" t="s">
        <v>70</v>
      </c>
      <c r="G1806" s="72" t="s">
        <v>71</v>
      </c>
      <c r="H1806" s="72" t="s">
        <v>72</v>
      </c>
    </row>
    <row r="1807" spans="1:8" x14ac:dyDescent="0.25">
      <c r="A1807" s="72" t="s">
        <v>3446</v>
      </c>
      <c r="B1807" s="72" t="s">
        <v>93</v>
      </c>
      <c r="C1807" s="73">
        <v>80</v>
      </c>
      <c r="D1807" s="73">
        <v>1807893.7101597593</v>
      </c>
      <c r="E1807" s="72">
        <v>90394.685507987975</v>
      </c>
      <c r="F1807" s="72" t="s">
        <v>106</v>
      </c>
      <c r="G1807" s="72" t="s">
        <v>71</v>
      </c>
      <c r="H1807" s="72" t="s">
        <v>72</v>
      </c>
    </row>
    <row r="1808" spans="1:8" x14ac:dyDescent="0.25">
      <c r="A1808" s="72" t="s">
        <v>2568</v>
      </c>
      <c r="B1808" s="72" t="s">
        <v>85</v>
      </c>
      <c r="C1808" s="73">
        <v>80</v>
      </c>
      <c r="D1808" s="73">
        <v>2057787.5971060563</v>
      </c>
      <c r="E1808" s="72">
        <v>144045.13179742394</v>
      </c>
      <c r="F1808" s="72" t="s">
        <v>70</v>
      </c>
      <c r="G1808" s="72" t="s">
        <v>71</v>
      </c>
      <c r="H1808" s="72" t="s">
        <v>72</v>
      </c>
    </row>
    <row r="1809" spans="1:8" x14ac:dyDescent="0.25">
      <c r="A1809" s="43" t="s">
        <v>1855</v>
      </c>
      <c r="B1809" s="43" t="s">
        <v>211</v>
      </c>
      <c r="C1809" s="46">
        <v>80</v>
      </c>
      <c r="D1809" s="46">
        <v>2239132.636971544</v>
      </c>
      <c r="E1809" s="43">
        <v>201521.93732743897</v>
      </c>
      <c r="F1809" s="43" t="s">
        <v>70</v>
      </c>
      <c r="G1809" s="43" t="s">
        <v>71</v>
      </c>
      <c r="H1809" s="43" t="s">
        <v>72</v>
      </c>
    </row>
    <row r="1810" spans="1:8" x14ac:dyDescent="0.25">
      <c r="A1810" s="43" t="s">
        <v>3447</v>
      </c>
      <c r="B1810" s="43" t="s">
        <v>77</v>
      </c>
      <c r="C1810" s="46">
        <v>80</v>
      </c>
      <c r="D1810" s="46">
        <v>1807893.7101597593</v>
      </c>
      <c r="E1810" s="43">
        <v>90394.685507987975</v>
      </c>
      <c r="F1810" s="43" t="s">
        <v>106</v>
      </c>
      <c r="G1810" s="43" t="s">
        <v>71</v>
      </c>
      <c r="H1810" s="43" t="s">
        <v>72</v>
      </c>
    </row>
    <row r="1811" spans="1:8" x14ac:dyDescent="0.25">
      <c r="A1811" s="43" t="s">
        <v>1730</v>
      </c>
      <c r="B1811" s="43" t="s">
        <v>77</v>
      </c>
      <c r="C1811" s="46">
        <v>80</v>
      </c>
      <c r="D1811" s="46">
        <v>2366862.1383921755</v>
      </c>
      <c r="E1811" s="43">
        <v>213017.59245529579</v>
      </c>
      <c r="F1811" s="43" t="s">
        <v>87</v>
      </c>
      <c r="G1811" s="43" t="s">
        <v>71</v>
      </c>
      <c r="H1811" s="43" t="s">
        <v>88</v>
      </c>
    </row>
    <row r="1812" spans="1:8" x14ac:dyDescent="0.25">
      <c r="A1812" s="43" t="s">
        <v>644</v>
      </c>
      <c r="B1812" s="43" t="s">
        <v>97</v>
      </c>
      <c r="C1812" s="46">
        <v>80</v>
      </c>
      <c r="D1812" s="46">
        <v>2552655.4428198379</v>
      </c>
      <c r="E1812" s="43">
        <v>357371.76199477725</v>
      </c>
      <c r="F1812" s="43" t="s">
        <v>70</v>
      </c>
      <c r="G1812" s="43" t="s">
        <v>71</v>
      </c>
      <c r="H1812" s="43" t="s">
        <v>72</v>
      </c>
    </row>
    <row r="1813" spans="1:8" x14ac:dyDescent="0.25">
      <c r="A1813" s="72" t="s">
        <v>1538</v>
      </c>
      <c r="B1813" s="72" t="s">
        <v>211</v>
      </c>
      <c r="C1813" s="73">
        <v>80</v>
      </c>
      <c r="D1813" s="73">
        <v>2313369.2281379011</v>
      </c>
      <c r="E1813" s="72">
        <v>231336.92281379012</v>
      </c>
      <c r="F1813" s="72" t="s">
        <v>70</v>
      </c>
      <c r="G1813" s="72" t="s">
        <v>71</v>
      </c>
      <c r="H1813" s="72" t="s">
        <v>72</v>
      </c>
    </row>
    <row r="1814" spans="1:8" x14ac:dyDescent="0.25">
      <c r="A1814" s="43" t="s">
        <v>1246</v>
      </c>
      <c r="B1814" s="43" t="s">
        <v>1247</v>
      </c>
      <c r="C1814" s="46">
        <v>80</v>
      </c>
      <c r="D1814" s="46">
        <v>2380500.304544792</v>
      </c>
      <c r="E1814" s="43">
        <v>261855.03349992717</v>
      </c>
      <c r="F1814" s="43" t="s">
        <v>70</v>
      </c>
      <c r="G1814" s="43" t="s">
        <v>71</v>
      </c>
      <c r="H1814" s="43" t="s">
        <v>72</v>
      </c>
    </row>
    <row r="1815" spans="1:8" x14ac:dyDescent="0.25">
      <c r="A1815" s="72" t="s">
        <v>3490</v>
      </c>
      <c r="B1815" s="72" t="s">
        <v>81</v>
      </c>
      <c r="C1815" s="73">
        <v>80</v>
      </c>
      <c r="D1815" s="73">
        <v>1773330.2970130988</v>
      </c>
      <c r="E1815" s="72">
        <v>88666.514850654945</v>
      </c>
      <c r="F1815" s="72" t="s">
        <v>70</v>
      </c>
      <c r="G1815" s="72" t="s">
        <v>71</v>
      </c>
      <c r="H1815" s="72" t="s">
        <v>72</v>
      </c>
    </row>
    <row r="1816" spans="1:8" x14ac:dyDescent="0.25">
      <c r="A1816" s="43" t="s">
        <v>2877</v>
      </c>
      <c r="B1816" s="43" t="s">
        <v>75</v>
      </c>
      <c r="C1816" s="46">
        <v>80</v>
      </c>
      <c r="D1816" s="46">
        <v>1745525.451746146</v>
      </c>
      <c r="E1816" s="43">
        <v>69821.018069845843</v>
      </c>
      <c r="F1816" s="43" t="s">
        <v>106</v>
      </c>
      <c r="G1816" s="43" t="s">
        <v>71</v>
      </c>
      <c r="H1816" s="43" t="s">
        <v>72</v>
      </c>
    </row>
    <row r="1817" spans="1:8" x14ac:dyDescent="0.25">
      <c r="A1817" s="72" t="s">
        <v>1856</v>
      </c>
      <c r="B1817" s="72" t="s">
        <v>85</v>
      </c>
      <c r="C1817" s="73">
        <v>80</v>
      </c>
      <c r="D1817" s="73">
        <v>2239132.636971544</v>
      </c>
      <c r="E1817" s="72">
        <v>201521.93732743897</v>
      </c>
      <c r="F1817" s="72" t="s">
        <v>70</v>
      </c>
      <c r="G1817" s="72" t="s">
        <v>71</v>
      </c>
      <c r="H1817" s="72" t="s">
        <v>72</v>
      </c>
    </row>
    <row r="1818" spans="1:8" x14ac:dyDescent="0.25">
      <c r="A1818" s="72" t="s">
        <v>2760</v>
      </c>
      <c r="B1818" s="72" t="s">
        <v>75</v>
      </c>
      <c r="C1818" s="73">
        <v>80</v>
      </c>
      <c r="D1818" s="73">
        <v>1894022.1683887746</v>
      </c>
      <c r="E1818" s="72">
        <v>132581.55178721421</v>
      </c>
      <c r="F1818" s="72" t="s">
        <v>106</v>
      </c>
      <c r="G1818" s="72" t="s">
        <v>71</v>
      </c>
      <c r="H1818" s="72" t="s">
        <v>72</v>
      </c>
    </row>
    <row r="1819" spans="1:8" x14ac:dyDescent="0.25">
      <c r="A1819" s="43" t="s">
        <v>4469</v>
      </c>
      <c r="B1819" s="43" t="s">
        <v>75</v>
      </c>
      <c r="C1819" s="46">
        <v>80</v>
      </c>
      <c r="D1819" s="46">
        <v>1649948.7187692956</v>
      </c>
      <c r="E1819" s="43">
        <v>49498.461563078876</v>
      </c>
      <c r="F1819" s="43" t="s">
        <v>106</v>
      </c>
      <c r="G1819" s="43" t="s">
        <v>71</v>
      </c>
      <c r="H1819" s="43" t="s">
        <v>72</v>
      </c>
    </row>
    <row r="1820" spans="1:8" x14ac:dyDescent="0.25">
      <c r="A1820" s="72" t="s">
        <v>1642</v>
      </c>
      <c r="B1820" s="72" t="s">
        <v>75</v>
      </c>
      <c r="C1820" s="73">
        <v>80</v>
      </c>
      <c r="D1820" s="73">
        <v>2004650.6726921666</v>
      </c>
      <c r="E1820" s="72">
        <v>220511.57399613835</v>
      </c>
      <c r="F1820" s="72" t="s">
        <v>106</v>
      </c>
      <c r="G1820" s="72" t="s">
        <v>71</v>
      </c>
      <c r="H1820" s="72" t="s">
        <v>72</v>
      </c>
    </row>
    <row r="1821" spans="1:8" x14ac:dyDescent="0.25">
      <c r="A1821" s="72" t="s">
        <v>2428</v>
      </c>
      <c r="B1821" s="72" t="s">
        <v>75</v>
      </c>
      <c r="C1821" s="73">
        <v>80</v>
      </c>
      <c r="D1821" s="73">
        <v>1926956.6035363921</v>
      </c>
      <c r="E1821" s="72">
        <v>154156.52828291137</v>
      </c>
      <c r="F1821" s="72" t="s">
        <v>106</v>
      </c>
      <c r="G1821" s="72" t="s">
        <v>71</v>
      </c>
      <c r="H1821" s="72" t="s">
        <v>72</v>
      </c>
    </row>
    <row r="1822" spans="1:8" x14ac:dyDescent="0.25">
      <c r="A1822" s="72" t="s">
        <v>3090</v>
      </c>
      <c r="B1822" s="72" t="s">
        <v>75</v>
      </c>
      <c r="C1822" s="73">
        <v>80</v>
      </c>
      <c r="D1822" s="73">
        <v>1855314.2876926444</v>
      </c>
      <c r="E1822" s="72">
        <v>111318.85726155869</v>
      </c>
      <c r="F1822" s="72" t="s">
        <v>106</v>
      </c>
      <c r="G1822" s="72" t="s">
        <v>71</v>
      </c>
      <c r="H1822" s="72" t="s">
        <v>72</v>
      </c>
    </row>
    <row r="1823" spans="1:8" x14ac:dyDescent="0.25">
      <c r="A1823" s="43" t="s">
        <v>2143</v>
      </c>
      <c r="B1823" s="43" t="s">
        <v>75</v>
      </c>
      <c r="C1823" s="46">
        <v>80</v>
      </c>
      <c r="D1823" s="46">
        <v>1955754.6869939007</v>
      </c>
      <c r="E1823" s="43">
        <v>176017.92182945105</v>
      </c>
      <c r="F1823" s="43" t="s">
        <v>106</v>
      </c>
      <c r="G1823" s="43" t="s">
        <v>71</v>
      </c>
      <c r="H1823" s="43" t="s">
        <v>72</v>
      </c>
    </row>
    <row r="1824" spans="1:8" x14ac:dyDescent="0.25">
      <c r="A1824" s="72" t="s">
        <v>3448</v>
      </c>
      <c r="B1824" s="72" t="s">
        <v>176</v>
      </c>
      <c r="C1824" s="73">
        <v>80</v>
      </c>
      <c r="D1824" s="73">
        <v>1807893.7101597593</v>
      </c>
      <c r="E1824" s="72">
        <v>90394.685507987975</v>
      </c>
      <c r="F1824" s="72" t="s">
        <v>106</v>
      </c>
      <c r="G1824" s="72" t="s">
        <v>71</v>
      </c>
      <c r="H1824" s="72" t="s">
        <v>72</v>
      </c>
    </row>
    <row r="1825" spans="1:8" x14ac:dyDescent="0.25">
      <c r="A1825" s="72" t="s">
        <v>1248</v>
      </c>
      <c r="B1825" s="72" t="s">
        <v>176</v>
      </c>
      <c r="C1825" s="73">
        <v>80</v>
      </c>
      <c r="D1825" s="73">
        <v>2380500.304544792</v>
      </c>
      <c r="E1825" s="72">
        <v>261855.03349992717</v>
      </c>
      <c r="F1825" s="72" t="s">
        <v>70</v>
      </c>
      <c r="G1825" s="72" t="s">
        <v>71</v>
      </c>
      <c r="H1825" s="72" t="s">
        <v>72</v>
      </c>
    </row>
    <row r="1826" spans="1:8" x14ac:dyDescent="0.25">
      <c r="A1826" s="43" t="s">
        <v>1603</v>
      </c>
      <c r="B1826" s="43" t="s">
        <v>176</v>
      </c>
      <c r="C1826" s="46">
        <v>80</v>
      </c>
      <c r="D1826" s="46">
        <v>2246113.4797268985</v>
      </c>
      <c r="E1826" s="43">
        <v>224611.34797268987</v>
      </c>
      <c r="F1826" s="43" t="s">
        <v>84</v>
      </c>
      <c r="G1826" s="43" t="s">
        <v>71</v>
      </c>
      <c r="H1826" s="43" t="s">
        <v>72</v>
      </c>
    </row>
    <row r="1827" spans="1:8" x14ac:dyDescent="0.25">
      <c r="A1827" s="72" t="s">
        <v>960</v>
      </c>
      <c r="B1827" s="72" t="s">
        <v>93</v>
      </c>
      <c r="C1827" s="73">
        <v>80</v>
      </c>
      <c r="D1827" s="73">
        <v>2509004.1389455786</v>
      </c>
      <c r="E1827" s="72">
        <v>301080.49667346943</v>
      </c>
      <c r="F1827" s="72" t="s">
        <v>87</v>
      </c>
      <c r="G1827" s="72" t="s">
        <v>71</v>
      </c>
      <c r="H1827" s="72" t="s">
        <v>88</v>
      </c>
    </row>
    <row r="1828" spans="1:8" x14ac:dyDescent="0.25">
      <c r="A1828" s="43" t="s">
        <v>946</v>
      </c>
      <c r="B1828" s="43" t="s">
        <v>81</v>
      </c>
      <c r="C1828" s="46">
        <v>80</v>
      </c>
      <c r="D1828" s="46">
        <v>2519387.4758826206</v>
      </c>
      <c r="E1828" s="43">
        <v>302326.49710591452</v>
      </c>
      <c r="F1828" s="43" t="s">
        <v>78</v>
      </c>
      <c r="G1828" s="43" t="s">
        <v>71</v>
      </c>
      <c r="H1828" s="43" t="s">
        <v>72</v>
      </c>
    </row>
    <row r="1829" spans="1:8" x14ac:dyDescent="0.25">
      <c r="A1829" s="43" t="s">
        <v>3019</v>
      </c>
      <c r="B1829" s="43" t="s">
        <v>97</v>
      </c>
      <c r="C1829" s="46">
        <v>80</v>
      </c>
      <c r="D1829" s="46">
        <v>1938025.5703881443</v>
      </c>
      <c r="E1829" s="43">
        <v>116281.53422328869</v>
      </c>
      <c r="F1829" s="43" t="s">
        <v>70</v>
      </c>
      <c r="G1829" s="43" t="s">
        <v>71</v>
      </c>
      <c r="H1829" s="43" t="s">
        <v>72</v>
      </c>
    </row>
    <row r="1830" spans="1:8" x14ac:dyDescent="0.25">
      <c r="A1830" s="43" t="s">
        <v>3491</v>
      </c>
      <c r="B1830" s="43" t="s">
        <v>107</v>
      </c>
      <c r="C1830" s="46">
        <v>80</v>
      </c>
      <c r="D1830" s="46">
        <v>1773330.2970130988</v>
      </c>
      <c r="E1830" s="43">
        <v>88666.514850654945</v>
      </c>
      <c r="F1830" s="43" t="s">
        <v>70</v>
      </c>
      <c r="G1830" s="43" t="s">
        <v>71</v>
      </c>
      <c r="H1830" s="43" t="s">
        <v>72</v>
      </c>
    </row>
    <row r="1831" spans="1:8" x14ac:dyDescent="0.25">
      <c r="A1831" s="72" t="s">
        <v>1945</v>
      </c>
      <c r="B1831" s="72" t="s">
        <v>92</v>
      </c>
      <c r="C1831" s="73">
        <v>80</v>
      </c>
      <c r="D1831" s="73">
        <v>2144462.7852692665</v>
      </c>
      <c r="E1831" s="72">
        <v>193001.65067423397</v>
      </c>
      <c r="F1831" s="72" t="s">
        <v>84</v>
      </c>
      <c r="G1831" s="72" t="s">
        <v>71</v>
      </c>
      <c r="H1831" s="72" t="s">
        <v>72</v>
      </c>
    </row>
    <row r="1832" spans="1:8" x14ac:dyDescent="0.25">
      <c r="A1832" s="43" t="s">
        <v>3423</v>
      </c>
      <c r="B1832" s="43" t="s">
        <v>73</v>
      </c>
      <c r="C1832" s="46">
        <v>80</v>
      </c>
      <c r="D1832" s="46">
        <v>1833272.7743037881</v>
      </c>
      <c r="E1832" s="43">
        <v>91663.638715189416</v>
      </c>
      <c r="F1832" s="43" t="s">
        <v>78</v>
      </c>
      <c r="G1832" s="43" t="s">
        <v>71</v>
      </c>
      <c r="H1832" s="43" t="s">
        <v>72</v>
      </c>
    </row>
    <row r="1833" spans="1:8" x14ac:dyDescent="0.25">
      <c r="A1833" s="43" t="s">
        <v>1857</v>
      </c>
      <c r="B1833" s="43" t="s">
        <v>97</v>
      </c>
      <c r="C1833" s="46">
        <v>80</v>
      </c>
      <c r="D1833" s="46">
        <v>2239132.636971544</v>
      </c>
      <c r="E1833" s="43">
        <v>201521.93732743897</v>
      </c>
      <c r="F1833" s="43" t="s">
        <v>70</v>
      </c>
      <c r="G1833" s="43" t="s">
        <v>71</v>
      </c>
      <c r="H1833" s="43" t="s">
        <v>72</v>
      </c>
    </row>
    <row r="1834" spans="1:8" x14ac:dyDescent="0.25">
      <c r="A1834" s="43" t="s">
        <v>2569</v>
      </c>
      <c r="B1834" s="43" t="s">
        <v>211</v>
      </c>
      <c r="C1834" s="46">
        <v>80</v>
      </c>
      <c r="D1834" s="46">
        <v>2057787.5971060563</v>
      </c>
      <c r="E1834" s="43">
        <v>144045.13179742394</v>
      </c>
      <c r="F1834" s="43" t="s">
        <v>70</v>
      </c>
      <c r="G1834" s="43" t="s">
        <v>71</v>
      </c>
      <c r="H1834" s="43" t="s">
        <v>72</v>
      </c>
    </row>
    <row r="1835" spans="1:8" x14ac:dyDescent="0.25">
      <c r="A1835" s="72" t="s">
        <v>583</v>
      </c>
      <c r="B1835" s="72" t="s">
        <v>100</v>
      </c>
      <c r="C1835" s="73">
        <v>80</v>
      </c>
      <c r="D1835" s="73">
        <v>2632818.1252250359</v>
      </c>
      <c r="E1835" s="72">
        <v>368594.53753150499</v>
      </c>
      <c r="F1835" s="72" t="s">
        <v>78</v>
      </c>
      <c r="G1835" s="72" t="s">
        <v>71</v>
      </c>
      <c r="H1835" s="72" t="s">
        <v>72</v>
      </c>
    </row>
    <row r="1836" spans="1:8" x14ac:dyDescent="0.25">
      <c r="A1836" s="43" t="s">
        <v>3449</v>
      </c>
      <c r="B1836" s="43" t="s">
        <v>75</v>
      </c>
      <c r="C1836" s="46">
        <v>80</v>
      </c>
      <c r="D1836" s="46">
        <v>1807893.7101597593</v>
      </c>
      <c r="E1836" s="43">
        <v>90394.685507987975</v>
      </c>
      <c r="F1836" s="43" t="s">
        <v>106</v>
      </c>
      <c r="G1836" s="43" t="s">
        <v>71</v>
      </c>
      <c r="H1836" s="43" t="s">
        <v>72</v>
      </c>
    </row>
    <row r="1837" spans="1:8" x14ac:dyDescent="0.25">
      <c r="A1837" s="43" t="s">
        <v>2429</v>
      </c>
      <c r="B1837" s="43" t="s">
        <v>75</v>
      </c>
      <c r="C1837" s="46">
        <v>80</v>
      </c>
      <c r="D1837" s="46">
        <v>1926956.6035363921</v>
      </c>
      <c r="E1837" s="43">
        <v>154156.52828291137</v>
      </c>
      <c r="F1837" s="43" t="s">
        <v>106</v>
      </c>
      <c r="G1837" s="43" t="s">
        <v>71</v>
      </c>
      <c r="H1837" s="43" t="s">
        <v>72</v>
      </c>
    </row>
    <row r="1838" spans="1:8" x14ac:dyDescent="0.25">
      <c r="A1838" s="72" t="s">
        <v>1731</v>
      </c>
      <c r="B1838" s="72" t="s">
        <v>93</v>
      </c>
      <c r="C1838" s="73">
        <v>80</v>
      </c>
      <c r="D1838" s="73">
        <v>2366862.1383921755</v>
      </c>
      <c r="E1838" s="72">
        <v>213017.59245529579</v>
      </c>
      <c r="F1838" s="72" t="s">
        <v>87</v>
      </c>
      <c r="G1838" s="72" t="s">
        <v>71</v>
      </c>
      <c r="H1838" s="72" t="s">
        <v>88</v>
      </c>
    </row>
    <row r="1839" spans="1:8" x14ac:dyDescent="0.25">
      <c r="A1839" s="43" t="s">
        <v>808</v>
      </c>
      <c r="B1839" s="43" t="s">
        <v>97</v>
      </c>
      <c r="C1839" s="46">
        <v>80</v>
      </c>
      <c r="D1839" s="46">
        <v>2499221.3992232261</v>
      </c>
      <c r="E1839" s="43">
        <v>324898.78189901944</v>
      </c>
      <c r="F1839" s="43" t="s">
        <v>70</v>
      </c>
      <c r="G1839" s="43" t="s">
        <v>71</v>
      </c>
      <c r="H1839" s="43" t="s">
        <v>72</v>
      </c>
    </row>
    <row r="1840" spans="1:8" x14ac:dyDescent="0.25">
      <c r="A1840" s="43" t="s">
        <v>2761</v>
      </c>
      <c r="B1840" s="43" t="s">
        <v>554</v>
      </c>
      <c r="C1840" s="46">
        <v>80</v>
      </c>
      <c r="D1840" s="46">
        <v>1894022.1683887746</v>
      </c>
      <c r="E1840" s="43">
        <v>132581.55178721421</v>
      </c>
      <c r="F1840" s="43" t="s">
        <v>106</v>
      </c>
      <c r="G1840" s="43" t="s">
        <v>71</v>
      </c>
      <c r="H1840" s="43" t="s">
        <v>72</v>
      </c>
    </row>
    <row r="1841" spans="1:8" x14ac:dyDescent="0.25">
      <c r="A1841" s="72" t="s">
        <v>3450</v>
      </c>
      <c r="B1841" s="72" t="s">
        <v>75</v>
      </c>
      <c r="C1841" s="73">
        <v>80</v>
      </c>
      <c r="D1841" s="73">
        <v>1807893.7101597593</v>
      </c>
      <c r="E1841" s="72">
        <v>90394.685507987975</v>
      </c>
      <c r="F1841" s="72" t="s">
        <v>106</v>
      </c>
      <c r="G1841" s="72" t="s">
        <v>71</v>
      </c>
      <c r="H1841" s="72" t="s">
        <v>72</v>
      </c>
    </row>
    <row r="1842" spans="1:8" x14ac:dyDescent="0.25">
      <c r="A1842" s="43" t="s">
        <v>1894</v>
      </c>
      <c r="B1842" s="43" t="s">
        <v>160</v>
      </c>
      <c r="C1842" s="46">
        <v>80</v>
      </c>
      <c r="D1842" s="46">
        <v>1981428.5429414271</v>
      </c>
      <c r="E1842" s="43">
        <v>198142.85429414271</v>
      </c>
      <c r="F1842" s="43" t="s">
        <v>106</v>
      </c>
      <c r="G1842" s="43" t="s">
        <v>71</v>
      </c>
      <c r="H1842" s="43" t="s">
        <v>72</v>
      </c>
    </row>
    <row r="1843" spans="1:8" x14ac:dyDescent="0.25">
      <c r="A1843" s="43" t="s">
        <v>1249</v>
      </c>
      <c r="B1843" s="43" t="s">
        <v>160</v>
      </c>
      <c r="C1843" s="46">
        <v>80</v>
      </c>
      <c r="D1843" s="46">
        <v>2380500.304544792</v>
      </c>
      <c r="E1843" s="43">
        <v>261855.03349992717</v>
      </c>
      <c r="F1843" s="43" t="s">
        <v>70</v>
      </c>
      <c r="G1843" s="43" t="s">
        <v>71</v>
      </c>
      <c r="H1843" s="43" t="s">
        <v>72</v>
      </c>
    </row>
    <row r="1844" spans="1:8" x14ac:dyDescent="0.25">
      <c r="A1844" s="72" t="s">
        <v>3492</v>
      </c>
      <c r="B1844" s="72" t="s">
        <v>73</v>
      </c>
      <c r="C1844" s="73">
        <v>80</v>
      </c>
      <c r="D1844" s="73">
        <v>1773330.2970130988</v>
      </c>
      <c r="E1844" s="72">
        <v>88666.514850654945</v>
      </c>
      <c r="F1844" s="72" t="s">
        <v>70</v>
      </c>
      <c r="G1844" s="72" t="s">
        <v>71</v>
      </c>
      <c r="H1844" s="72" t="s">
        <v>72</v>
      </c>
    </row>
    <row r="1845" spans="1:8" x14ac:dyDescent="0.25">
      <c r="A1845" s="43" t="s">
        <v>1539</v>
      </c>
      <c r="B1845" s="43" t="s">
        <v>97</v>
      </c>
      <c r="C1845" s="46">
        <v>80</v>
      </c>
      <c r="D1845" s="46">
        <v>2313369.2281379011</v>
      </c>
      <c r="E1845" s="43">
        <v>231336.92281379012</v>
      </c>
      <c r="F1845" s="43" t="s">
        <v>70</v>
      </c>
      <c r="G1845" s="43" t="s">
        <v>71</v>
      </c>
      <c r="H1845" s="43" t="s">
        <v>72</v>
      </c>
    </row>
    <row r="1846" spans="1:8" x14ac:dyDescent="0.25">
      <c r="A1846" s="43" t="s">
        <v>3493</v>
      </c>
      <c r="B1846" s="43" t="s">
        <v>103</v>
      </c>
      <c r="C1846" s="46">
        <v>80</v>
      </c>
      <c r="D1846" s="46">
        <v>1773330.2970130988</v>
      </c>
      <c r="E1846" s="43">
        <v>88666.514850654945</v>
      </c>
      <c r="F1846" s="43" t="s">
        <v>70</v>
      </c>
      <c r="G1846" s="43" t="s">
        <v>71</v>
      </c>
      <c r="H1846" s="43" t="s">
        <v>72</v>
      </c>
    </row>
    <row r="1847" spans="1:8" x14ac:dyDescent="0.25">
      <c r="A1847" s="43" t="s">
        <v>1786</v>
      </c>
      <c r="B1847" s="43" t="s">
        <v>73</v>
      </c>
      <c r="C1847" s="46">
        <v>80</v>
      </c>
      <c r="D1847" s="46">
        <v>2311160.7230834756</v>
      </c>
      <c r="E1847" s="43">
        <v>208004.46507751281</v>
      </c>
      <c r="F1847" s="43" t="s">
        <v>78</v>
      </c>
      <c r="G1847" s="43" t="s">
        <v>71</v>
      </c>
      <c r="H1847" s="43" t="s">
        <v>72</v>
      </c>
    </row>
    <row r="1848" spans="1:8" x14ac:dyDescent="0.25">
      <c r="A1848" s="72" t="s">
        <v>645</v>
      </c>
      <c r="B1848" s="72" t="s">
        <v>102</v>
      </c>
      <c r="C1848" s="73">
        <v>80</v>
      </c>
      <c r="D1848" s="73">
        <v>2552655.4428198379</v>
      </c>
      <c r="E1848" s="72">
        <v>357371.76199477725</v>
      </c>
      <c r="F1848" s="72" t="s">
        <v>70</v>
      </c>
      <c r="G1848" s="72" t="s">
        <v>71</v>
      </c>
      <c r="H1848" s="72" t="s">
        <v>72</v>
      </c>
    </row>
    <row r="1849" spans="1:8" x14ac:dyDescent="0.25">
      <c r="A1849" s="72" t="s">
        <v>1250</v>
      </c>
      <c r="B1849" s="72" t="s">
        <v>211</v>
      </c>
      <c r="C1849" s="73">
        <v>80</v>
      </c>
      <c r="D1849" s="73">
        <v>2380500.304544792</v>
      </c>
      <c r="E1849" s="72">
        <v>261855.03349992717</v>
      </c>
      <c r="F1849" s="72" t="s">
        <v>70</v>
      </c>
      <c r="G1849" s="72" t="s">
        <v>71</v>
      </c>
      <c r="H1849" s="72" t="s">
        <v>72</v>
      </c>
    </row>
    <row r="1850" spans="1:8" x14ac:dyDescent="0.25">
      <c r="A1850" s="72" t="s">
        <v>1431</v>
      </c>
      <c r="B1850" s="72" t="s">
        <v>93</v>
      </c>
      <c r="C1850" s="73">
        <v>80</v>
      </c>
      <c r="D1850" s="73">
        <v>2418875.353085523</v>
      </c>
      <c r="E1850" s="72">
        <v>241887.53530855232</v>
      </c>
      <c r="F1850" s="72" t="s">
        <v>87</v>
      </c>
      <c r="G1850" s="72" t="s">
        <v>71</v>
      </c>
      <c r="H1850" s="72" t="s">
        <v>88</v>
      </c>
    </row>
    <row r="1851" spans="1:8" x14ac:dyDescent="0.25">
      <c r="A1851" s="72" t="s">
        <v>2570</v>
      </c>
      <c r="B1851" s="72" t="s">
        <v>73</v>
      </c>
      <c r="C1851" s="73">
        <v>80</v>
      </c>
      <c r="D1851" s="73">
        <v>2057787.5971060563</v>
      </c>
      <c r="E1851" s="72">
        <v>144045.13179742394</v>
      </c>
      <c r="F1851" s="72" t="s">
        <v>70</v>
      </c>
      <c r="G1851" s="72" t="s">
        <v>71</v>
      </c>
      <c r="H1851" s="72" t="s">
        <v>72</v>
      </c>
    </row>
    <row r="1852" spans="1:8" x14ac:dyDescent="0.25">
      <c r="A1852" s="43" t="s">
        <v>3451</v>
      </c>
      <c r="B1852" s="43" t="s">
        <v>73</v>
      </c>
      <c r="C1852" s="46">
        <v>80</v>
      </c>
      <c r="D1852" s="46">
        <v>1807893.7101597593</v>
      </c>
      <c r="E1852" s="43">
        <v>90394.685507987975</v>
      </c>
      <c r="F1852" s="43" t="s">
        <v>106</v>
      </c>
      <c r="G1852" s="43" t="s">
        <v>71</v>
      </c>
      <c r="H1852" s="43" t="s">
        <v>72</v>
      </c>
    </row>
    <row r="1853" spans="1:8" x14ac:dyDescent="0.25">
      <c r="A1853" s="43" t="s">
        <v>2571</v>
      </c>
      <c r="B1853" s="43" t="s">
        <v>110</v>
      </c>
      <c r="C1853" s="46">
        <v>80</v>
      </c>
      <c r="D1853" s="46">
        <v>2057787.5971060563</v>
      </c>
      <c r="E1853" s="43">
        <v>144045.13179742394</v>
      </c>
      <c r="F1853" s="43" t="s">
        <v>70</v>
      </c>
      <c r="G1853" s="43" t="s">
        <v>71</v>
      </c>
      <c r="H1853" s="43" t="s">
        <v>72</v>
      </c>
    </row>
    <row r="1854" spans="1:8" x14ac:dyDescent="0.25">
      <c r="A1854" s="43" t="s">
        <v>646</v>
      </c>
      <c r="B1854" s="43" t="s">
        <v>105</v>
      </c>
      <c r="C1854" s="46">
        <v>80</v>
      </c>
      <c r="D1854" s="46">
        <v>2552655.4428198379</v>
      </c>
      <c r="E1854" s="43">
        <v>357371.76199477725</v>
      </c>
      <c r="F1854" s="43" t="s">
        <v>70</v>
      </c>
      <c r="G1854" s="43" t="s">
        <v>71</v>
      </c>
      <c r="H1854" s="43" t="s">
        <v>72</v>
      </c>
    </row>
    <row r="1855" spans="1:8" x14ac:dyDescent="0.25">
      <c r="A1855" s="43" t="s">
        <v>1020</v>
      </c>
      <c r="B1855" s="43" t="s">
        <v>105</v>
      </c>
      <c r="C1855" s="46">
        <v>80</v>
      </c>
      <c r="D1855" s="46">
        <v>2442093.4124911316</v>
      </c>
      <c r="E1855" s="43">
        <v>293051.20949893584</v>
      </c>
      <c r="F1855" s="43" t="s">
        <v>70</v>
      </c>
      <c r="G1855" s="43" t="s">
        <v>71</v>
      </c>
      <c r="H1855" s="43" t="s">
        <v>72</v>
      </c>
    </row>
    <row r="1856" spans="1:8" x14ac:dyDescent="0.25">
      <c r="A1856" s="72" t="s">
        <v>1021</v>
      </c>
      <c r="B1856" s="72" t="s">
        <v>97</v>
      </c>
      <c r="C1856" s="73">
        <v>80</v>
      </c>
      <c r="D1856" s="73">
        <v>2442093.4124911316</v>
      </c>
      <c r="E1856" s="72">
        <v>293051.20949893584</v>
      </c>
      <c r="F1856" s="72" t="s">
        <v>70</v>
      </c>
      <c r="G1856" s="72" t="s">
        <v>71</v>
      </c>
      <c r="H1856" s="72" t="s">
        <v>72</v>
      </c>
    </row>
    <row r="1857" spans="1:8" x14ac:dyDescent="0.25">
      <c r="A1857" s="43" t="s">
        <v>1022</v>
      </c>
      <c r="B1857" s="43" t="s">
        <v>86</v>
      </c>
      <c r="C1857" s="46">
        <v>80</v>
      </c>
      <c r="D1857" s="46">
        <v>2442093.4124911316</v>
      </c>
      <c r="E1857" s="43">
        <v>293051.20949893584</v>
      </c>
      <c r="F1857" s="43" t="s">
        <v>70</v>
      </c>
      <c r="G1857" s="43" t="s">
        <v>71</v>
      </c>
      <c r="H1857" s="43" t="s">
        <v>72</v>
      </c>
    </row>
    <row r="1858" spans="1:8" x14ac:dyDescent="0.25">
      <c r="A1858" s="43" t="s">
        <v>3769</v>
      </c>
      <c r="B1858" s="43" t="s">
        <v>77</v>
      </c>
      <c r="C1858" s="46">
        <v>80</v>
      </c>
      <c r="D1858" s="46">
        <v>1909920.7486869977</v>
      </c>
      <c r="E1858" s="43">
        <v>76396.829947479913</v>
      </c>
      <c r="F1858" s="43" t="s">
        <v>87</v>
      </c>
      <c r="G1858" s="43" t="s">
        <v>71</v>
      </c>
      <c r="H1858" s="43" t="s">
        <v>88</v>
      </c>
    </row>
    <row r="1859" spans="1:8" x14ac:dyDescent="0.25">
      <c r="A1859" s="43" t="s">
        <v>961</v>
      </c>
      <c r="B1859" s="43" t="s">
        <v>93</v>
      </c>
      <c r="C1859" s="46">
        <v>80</v>
      </c>
      <c r="D1859" s="46">
        <v>2509004.1389455786</v>
      </c>
      <c r="E1859" s="43">
        <v>301080.49667346943</v>
      </c>
      <c r="F1859" s="43" t="s">
        <v>87</v>
      </c>
      <c r="G1859" s="43" t="s">
        <v>71</v>
      </c>
      <c r="H1859" s="43" t="s">
        <v>88</v>
      </c>
    </row>
    <row r="1860" spans="1:8" x14ac:dyDescent="0.25">
      <c r="A1860" s="43" t="s">
        <v>2499</v>
      </c>
      <c r="B1860" s="43" t="s">
        <v>73</v>
      </c>
      <c r="C1860" s="46">
        <v>80</v>
      </c>
      <c r="D1860" s="46">
        <v>2125110.5432359036</v>
      </c>
      <c r="E1860" s="43">
        <v>148757.73802651322</v>
      </c>
      <c r="F1860" s="43" t="s">
        <v>78</v>
      </c>
      <c r="G1860" s="43" t="s">
        <v>71</v>
      </c>
      <c r="H1860" s="43" t="s">
        <v>72</v>
      </c>
    </row>
    <row r="1861" spans="1:8" x14ac:dyDescent="0.25">
      <c r="A1861" s="72" t="s">
        <v>2572</v>
      </c>
      <c r="B1861" s="72" t="s">
        <v>112</v>
      </c>
      <c r="C1861" s="73">
        <v>80</v>
      </c>
      <c r="D1861" s="73">
        <v>2057787.5971060563</v>
      </c>
      <c r="E1861" s="72">
        <v>144045.13179742394</v>
      </c>
      <c r="F1861" s="72" t="s">
        <v>70</v>
      </c>
      <c r="G1861" s="72" t="s">
        <v>71</v>
      </c>
      <c r="H1861" s="72" t="s">
        <v>72</v>
      </c>
    </row>
    <row r="1862" spans="1:8" x14ac:dyDescent="0.25">
      <c r="A1862" s="72" t="s">
        <v>647</v>
      </c>
      <c r="B1862" s="72" t="s">
        <v>112</v>
      </c>
      <c r="C1862" s="73">
        <v>80</v>
      </c>
      <c r="D1862" s="73">
        <v>2552655.4428198379</v>
      </c>
      <c r="E1862" s="72">
        <v>357371.76199477725</v>
      </c>
      <c r="F1862" s="72" t="s">
        <v>70</v>
      </c>
      <c r="G1862" s="72" t="s">
        <v>71</v>
      </c>
      <c r="H1862" s="72" t="s">
        <v>72</v>
      </c>
    </row>
    <row r="1863" spans="1:8" x14ac:dyDescent="0.25">
      <c r="A1863" s="72" t="s">
        <v>2762</v>
      </c>
      <c r="B1863" s="72" t="s">
        <v>112</v>
      </c>
      <c r="C1863" s="73">
        <v>80</v>
      </c>
      <c r="D1863" s="73">
        <v>1894022.1683887746</v>
      </c>
      <c r="E1863" s="72">
        <v>132581.55178721421</v>
      </c>
      <c r="F1863" s="72" t="s">
        <v>106</v>
      </c>
      <c r="G1863" s="72" t="s">
        <v>71</v>
      </c>
      <c r="H1863" s="72" t="s">
        <v>72</v>
      </c>
    </row>
    <row r="1864" spans="1:8" x14ac:dyDescent="0.25">
      <c r="A1864" s="72" t="s">
        <v>1467</v>
      </c>
      <c r="B1864" s="72" t="s">
        <v>337</v>
      </c>
      <c r="C1864" s="73">
        <v>80</v>
      </c>
      <c r="D1864" s="73">
        <v>2387323.441115445</v>
      </c>
      <c r="E1864" s="72">
        <v>238732.34411154452</v>
      </c>
      <c r="F1864" s="72" t="s">
        <v>78</v>
      </c>
      <c r="G1864" s="72" t="s">
        <v>71</v>
      </c>
      <c r="H1864" s="72" t="s">
        <v>72</v>
      </c>
    </row>
    <row r="1865" spans="1:8" x14ac:dyDescent="0.25">
      <c r="A1865" s="72" t="s">
        <v>3494</v>
      </c>
      <c r="B1865" s="72" t="s">
        <v>303</v>
      </c>
      <c r="C1865" s="73">
        <v>80</v>
      </c>
      <c r="D1865" s="73">
        <v>1773330.2970130988</v>
      </c>
      <c r="E1865" s="72">
        <v>88666.514850654945</v>
      </c>
      <c r="F1865" s="72" t="s">
        <v>70</v>
      </c>
      <c r="G1865" s="72" t="s">
        <v>71</v>
      </c>
      <c r="H1865" s="72" t="s">
        <v>72</v>
      </c>
    </row>
    <row r="1866" spans="1:8" x14ac:dyDescent="0.25">
      <c r="A1866" s="72" t="s">
        <v>3770</v>
      </c>
      <c r="B1866" s="72" t="s">
        <v>73</v>
      </c>
      <c r="C1866" s="73">
        <v>80</v>
      </c>
      <c r="D1866" s="73">
        <v>1909920.7486869977</v>
      </c>
      <c r="E1866" s="72">
        <v>76396.829947479913</v>
      </c>
      <c r="F1866" s="72" t="s">
        <v>87</v>
      </c>
      <c r="G1866" s="72" t="s">
        <v>71</v>
      </c>
      <c r="H1866" s="72" t="s">
        <v>88</v>
      </c>
    </row>
    <row r="1867" spans="1:8" x14ac:dyDescent="0.25">
      <c r="A1867" s="72" t="s">
        <v>675</v>
      </c>
      <c r="B1867" s="72" t="s">
        <v>77</v>
      </c>
      <c r="C1867" s="73">
        <v>80</v>
      </c>
      <c r="D1867" s="73">
        <v>2332252.5028127544</v>
      </c>
      <c r="E1867" s="72">
        <v>349837.87542191317</v>
      </c>
      <c r="F1867" s="72" t="s">
        <v>95</v>
      </c>
      <c r="G1867" s="72" t="s">
        <v>96</v>
      </c>
      <c r="H1867" s="72" t="s">
        <v>88</v>
      </c>
    </row>
    <row r="1868" spans="1:8" x14ac:dyDescent="0.25">
      <c r="A1868" s="72" t="s">
        <v>809</v>
      </c>
      <c r="B1868" s="72" t="s">
        <v>102</v>
      </c>
      <c r="C1868" s="73">
        <v>80</v>
      </c>
      <c r="D1868" s="73">
        <v>2499221.3992232261</v>
      </c>
      <c r="E1868" s="72">
        <v>324898.78189901944</v>
      </c>
      <c r="F1868" s="72" t="s">
        <v>70</v>
      </c>
      <c r="G1868" s="72" t="s">
        <v>71</v>
      </c>
      <c r="H1868" s="72" t="s">
        <v>72</v>
      </c>
    </row>
    <row r="1869" spans="1:8" x14ac:dyDescent="0.25">
      <c r="A1869" s="43" t="s">
        <v>1432</v>
      </c>
      <c r="B1869" s="43" t="s">
        <v>93</v>
      </c>
      <c r="C1869" s="46">
        <v>80</v>
      </c>
      <c r="D1869" s="46">
        <v>2418875.353085523</v>
      </c>
      <c r="E1869" s="43">
        <v>241887.53530855232</v>
      </c>
      <c r="F1869" s="43" t="s">
        <v>87</v>
      </c>
      <c r="G1869" s="43" t="s">
        <v>71</v>
      </c>
      <c r="H1869" s="43" t="s">
        <v>88</v>
      </c>
    </row>
    <row r="1870" spans="1:8" x14ac:dyDescent="0.25">
      <c r="A1870" s="43" t="s">
        <v>3495</v>
      </c>
      <c r="B1870" s="43" t="s">
        <v>211</v>
      </c>
      <c r="C1870" s="46">
        <v>80</v>
      </c>
      <c r="D1870" s="46">
        <v>1773330.2970130988</v>
      </c>
      <c r="E1870" s="43">
        <v>88666.514850654945</v>
      </c>
      <c r="F1870" s="43" t="s">
        <v>70</v>
      </c>
      <c r="G1870" s="43" t="s">
        <v>71</v>
      </c>
      <c r="H1870" s="43" t="s">
        <v>72</v>
      </c>
    </row>
    <row r="1871" spans="1:8" x14ac:dyDescent="0.25">
      <c r="A1871" s="72" t="s">
        <v>2043</v>
      </c>
      <c r="B1871" s="72" t="s">
        <v>133</v>
      </c>
      <c r="C1871" s="73">
        <v>80</v>
      </c>
      <c r="D1871" s="73">
        <v>2308369.3259527995</v>
      </c>
      <c r="E1871" s="72">
        <v>184669.54607622395</v>
      </c>
      <c r="F1871" s="72" t="s">
        <v>87</v>
      </c>
      <c r="G1871" s="72" t="s">
        <v>71</v>
      </c>
      <c r="H1871" s="72" t="s">
        <v>88</v>
      </c>
    </row>
    <row r="1872" spans="1:8" x14ac:dyDescent="0.25">
      <c r="A1872" s="43" t="s">
        <v>810</v>
      </c>
      <c r="B1872" s="43" t="s">
        <v>97</v>
      </c>
      <c r="C1872" s="46">
        <v>80</v>
      </c>
      <c r="D1872" s="46">
        <v>2499221.3992232261</v>
      </c>
      <c r="E1872" s="43">
        <v>324898.78189901944</v>
      </c>
      <c r="F1872" s="43" t="s">
        <v>70</v>
      </c>
      <c r="G1872" s="43" t="s">
        <v>71</v>
      </c>
      <c r="H1872" s="43" t="s">
        <v>72</v>
      </c>
    </row>
    <row r="1873" spans="1:8" x14ac:dyDescent="0.25">
      <c r="A1873" s="72" t="s">
        <v>3020</v>
      </c>
      <c r="B1873" s="72" t="s">
        <v>211</v>
      </c>
      <c r="C1873" s="73">
        <v>80</v>
      </c>
      <c r="D1873" s="73">
        <v>1938025.5703881443</v>
      </c>
      <c r="E1873" s="72">
        <v>116281.53422328869</v>
      </c>
      <c r="F1873" s="72" t="s">
        <v>70</v>
      </c>
      <c r="G1873" s="72" t="s">
        <v>71</v>
      </c>
      <c r="H1873" s="72" t="s">
        <v>72</v>
      </c>
    </row>
    <row r="1874" spans="1:8" x14ac:dyDescent="0.25">
      <c r="A1874" s="43" t="s">
        <v>648</v>
      </c>
      <c r="B1874" s="43" t="s">
        <v>97</v>
      </c>
      <c r="C1874" s="46">
        <v>80</v>
      </c>
      <c r="D1874" s="46">
        <v>2552655.4428198379</v>
      </c>
      <c r="E1874" s="43">
        <v>357371.76199477725</v>
      </c>
      <c r="F1874" s="43" t="s">
        <v>70</v>
      </c>
      <c r="G1874" s="43" t="s">
        <v>71</v>
      </c>
      <c r="H1874" s="43" t="s">
        <v>72</v>
      </c>
    </row>
    <row r="1875" spans="1:8" x14ac:dyDescent="0.25">
      <c r="A1875" s="43" t="s">
        <v>461</v>
      </c>
      <c r="B1875" s="43" t="s">
        <v>83</v>
      </c>
      <c r="C1875" s="46">
        <v>80</v>
      </c>
      <c r="D1875" s="46">
        <v>2644938.6759851626</v>
      </c>
      <c r="E1875" s="43">
        <v>396740.80139777437</v>
      </c>
      <c r="F1875" s="43" t="s">
        <v>84</v>
      </c>
      <c r="G1875" s="43" t="s">
        <v>71</v>
      </c>
      <c r="H1875" s="43" t="s">
        <v>72</v>
      </c>
    </row>
    <row r="1876" spans="1:8" x14ac:dyDescent="0.25">
      <c r="A1876" s="72" t="s">
        <v>962</v>
      </c>
      <c r="B1876" s="72" t="s">
        <v>202</v>
      </c>
      <c r="C1876" s="73">
        <v>80</v>
      </c>
      <c r="D1876" s="73">
        <v>2509004.1389455786</v>
      </c>
      <c r="E1876" s="72">
        <v>301080.49667346943</v>
      </c>
      <c r="F1876" s="72" t="s">
        <v>87</v>
      </c>
      <c r="G1876" s="72" t="s">
        <v>71</v>
      </c>
      <c r="H1876" s="72" t="s">
        <v>88</v>
      </c>
    </row>
    <row r="1877" spans="1:8" x14ac:dyDescent="0.25">
      <c r="A1877" s="43" t="s">
        <v>3021</v>
      </c>
      <c r="B1877" s="43" t="s">
        <v>162</v>
      </c>
      <c r="C1877" s="46">
        <v>80</v>
      </c>
      <c r="D1877" s="46">
        <v>1938025.5703881443</v>
      </c>
      <c r="E1877" s="43">
        <v>116281.53422328869</v>
      </c>
      <c r="F1877" s="43" t="s">
        <v>70</v>
      </c>
      <c r="G1877" s="43" t="s">
        <v>71</v>
      </c>
      <c r="H1877" s="43" t="s">
        <v>72</v>
      </c>
    </row>
    <row r="1878" spans="1:8" x14ac:dyDescent="0.25">
      <c r="A1878" s="43" t="s">
        <v>1422</v>
      </c>
      <c r="B1878" s="43" t="s">
        <v>127</v>
      </c>
      <c r="C1878" s="46">
        <v>80</v>
      </c>
      <c r="D1878" s="46">
        <v>2025892.2218224935</v>
      </c>
      <c r="E1878" s="43">
        <v>243107.0666186992</v>
      </c>
      <c r="F1878" s="43" t="s">
        <v>106</v>
      </c>
      <c r="G1878" s="43" t="s">
        <v>71</v>
      </c>
      <c r="H1878" s="43" t="s">
        <v>72</v>
      </c>
    </row>
    <row r="1879" spans="1:8" x14ac:dyDescent="0.25">
      <c r="A1879" s="72" t="s">
        <v>1023</v>
      </c>
      <c r="B1879" s="72" t="s">
        <v>97</v>
      </c>
      <c r="C1879" s="73">
        <v>80</v>
      </c>
      <c r="D1879" s="73">
        <v>2442093.4124911316</v>
      </c>
      <c r="E1879" s="72">
        <v>293051.20949893584</v>
      </c>
      <c r="F1879" s="72" t="s">
        <v>70</v>
      </c>
      <c r="G1879" s="72" t="s">
        <v>71</v>
      </c>
      <c r="H1879" s="72" t="s">
        <v>72</v>
      </c>
    </row>
    <row r="1880" spans="1:8" x14ac:dyDescent="0.25">
      <c r="A1880" s="72" t="s">
        <v>1858</v>
      </c>
      <c r="B1880" s="72" t="s">
        <v>107</v>
      </c>
      <c r="C1880" s="73">
        <v>80</v>
      </c>
      <c r="D1880" s="73">
        <v>2239132.636971544</v>
      </c>
      <c r="E1880" s="72">
        <v>201521.93732743897</v>
      </c>
      <c r="F1880" s="72" t="s">
        <v>70</v>
      </c>
      <c r="G1880" s="72" t="s">
        <v>71</v>
      </c>
      <c r="H1880" s="72" t="s">
        <v>72</v>
      </c>
    </row>
    <row r="1881" spans="1:8" x14ac:dyDescent="0.25">
      <c r="A1881" s="43" t="s">
        <v>1207</v>
      </c>
      <c r="B1881" s="43" t="s">
        <v>93</v>
      </c>
      <c r="C1881" s="46">
        <v>79</v>
      </c>
      <c r="D1881" s="46">
        <v>2434103.4287586631</v>
      </c>
      <c r="E1881" s="43">
        <v>267751.37716345297</v>
      </c>
      <c r="F1881" s="43" t="s">
        <v>87</v>
      </c>
      <c r="G1881" s="43" t="s">
        <v>71</v>
      </c>
      <c r="H1881" s="43" t="s">
        <v>88</v>
      </c>
    </row>
    <row r="1882" spans="1:8" x14ac:dyDescent="0.25">
      <c r="A1882" s="43" t="s">
        <v>836</v>
      </c>
      <c r="B1882" s="43" t="s">
        <v>97</v>
      </c>
      <c r="C1882" s="46">
        <v>79</v>
      </c>
      <c r="D1882" s="46">
        <v>2466832.7856824445</v>
      </c>
      <c r="E1882" s="43">
        <v>320688.26213871781</v>
      </c>
      <c r="F1882" s="43" t="s">
        <v>70</v>
      </c>
      <c r="G1882" s="43" t="s">
        <v>71</v>
      </c>
      <c r="H1882" s="43" t="s">
        <v>72</v>
      </c>
    </row>
    <row r="1883" spans="1:8" x14ac:dyDescent="0.25">
      <c r="A1883" s="72" t="s">
        <v>1564</v>
      </c>
      <c r="B1883" s="72" t="s">
        <v>93</v>
      </c>
      <c r="C1883" s="73">
        <v>79</v>
      </c>
      <c r="D1883" s="73">
        <v>2283303.7667356865</v>
      </c>
      <c r="E1883" s="72">
        <v>228330.37667356865</v>
      </c>
      <c r="F1883" s="72" t="s">
        <v>70</v>
      </c>
      <c r="G1883" s="72" t="s">
        <v>71</v>
      </c>
      <c r="H1883" s="72" t="s">
        <v>72</v>
      </c>
    </row>
    <row r="1884" spans="1:8" x14ac:dyDescent="0.25">
      <c r="A1884" s="43" t="s">
        <v>1159</v>
      </c>
      <c r="B1884" s="43" t="s">
        <v>77</v>
      </c>
      <c r="C1884" s="46">
        <v>79</v>
      </c>
      <c r="D1884" s="46">
        <v>2109268.3495311411</v>
      </c>
      <c r="E1884" s="43">
        <v>274204.88543904829</v>
      </c>
      <c r="F1884" s="43" t="s">
        <v>95</v>
      </c>
      <c r="G1884" s="43" t="s">
        <v>96</v>
      </c>
      <c r="H1884" s="43" t="s">
        <v>88</v>
      </c>
    </row>
    <row r="1885" spans="1:8" x14ac:dyDescent="0.25">
      <c r="A1885" s="43" t="s">
        <v>2792</v>
      </c>
      <c r="B1885" s="43" t="s">
        <v>176</v>
      </c>
      <c r="C1885" s="46">
        <v>79</v>
      </c>
      <c r="D1885" s="46">
        <v>1869209.2523416502</v>
      </c>
      <c r="E1885" s="43">
        <v>130844.6476639155</v>
      </c>
      <c r="F1885" s="43" t="s">
        <v>106</v>
      </c>
      <c r="G1885" s="43" t="s">
        <v>71</v>
      </c>
      <c r="H1885" s="43" t="s">
        <v>72</v>
      </c>
    </row>
    <row r="1886" spans="1:8" x14ac:dyDescent="0.25">
      <c r="A1886" s="43" t="s">
        <v>1688</v>
      </c>
      <c r="B1886" s="43" t="s">
        <v>85</v>
      </c>
      <c r="C1886" s="46">
        <v>79</v>
      </c>
      <c r="D1886" s="46">
        <v>1978454.9003412495</v>
      </c>
      <c r="E1886" s="43">
        <v>217630.03903753747</v>
      </c>
      <c r="F1886" s="43" t="s">
        <v>106</v>
      </c>
      <c r="G1886" s="43" t="s">
        <v>71</v>
      </c>
      <c r="H1886" s="43" t="s">
        <v>72</v>
      </c>
    </row>
    <row r="1887" spans="1:8" x14ac:dyDescent="0.25">
      <c r="A1887" s="43" t="s">
        <v>3787</v>
      </c>
      <c r="B1887" s="43" t="s">
        <v>234</v>
      </c>
      <c r="C1887" s="46">
        <v>79</v>
      </c>
      <c r="D1887" s="46">
        <v>1885057.1024888032</v>
      </c>
      <c r="E1887" s="43">
        <v>75402.284099552126</v>
      </c>
      <c r="F1887" s="43" t="s">
        <v>87</v>
      </c>
      <c r="G1887" s="43" t="s">
        <v>71</v>
      </c>
      <c r="H1887" s="43" t="s">
        <v>88</v>
      </c>
    </row>
    <row r="1888" spans="1:8" x14ac:dyDescent="0.25">
      <c r="A1888" s="43" t="s">
        <v>1565</v>
      </c>
      <c r="B1888" s="43" t="s">
        <v>85</v>
      </c>
      <c r="C1888" s="46">
        <v>79</v>
      </c>
      <c r="D1888" s="46">
        <v>2283303.7667356865</v>
      </c>
      <c r="E1888" s="43">
        <v>228330.37667356865</v>
      </c>
      <c r="F1888" s="43" t="s">
        <v>70</v>
      </c>
      <c r="G1888" s="43" t="s">
        <v>71</v>
      </c>
      <c r="H1888" s="43" t="s">
        <v>72</v>
      </c>
    </row>
    <row r="1889" spans="1:8" x14ac:dyDescent="0.25">
      <c r="A1889" s="43" t="s">
        <v>4484</v>
      </c>
      <c r="B1889" s="43" t="s">
        <v>257</v>
      </c>
      <c r="C1889" s="46">
        <v>79</v>
      </c>
      <c r="D1889" s="46">
        <v>1628186.7208424145</v>
      </c>
      <c r="E1889" s="43">
        <v>48845.601625272444</v>
      </c>
      <c r="F1889" s="43" t="s">
        <v>106</v>
      </c>
      <c r="G1889" s="43" t="s">
        <v>71</v>
      </c>
      <c r="H1889" s="43" t="s">
        <v>72</v>
      </c>
    </row>
    <row r="1890" spans="1:8" x14ac:dyDescent="0.25">
      <c r="A1890" s="72" t="s">
        <v>1566</v>
      </c>
      <c r="B1890" s="72" t="s">
        <v>102</v>
      </c>
      <c r="C1890" s="73">
        <v>79</v>
      </c>
      <c r="D1890" s="73">
        <v>2283303.7667356865</v>
      </c>
      <c r="E1890" s="72">
        <v>228330.37667356865</v>
      </c>
      <c r="F1890" s="72" t="s">
        <v>70</v>
      </c>
      <c r="G1890" s="72" t="s">
        <v>71</v>
      </c>
      <c r="H1890" s="72" t="s">
        <v>72</v>
      </c>
    </row>
    <row r="1891" spans="1:8" x14ac:dyDescent="0.25">
      <c r="A1891" s="72" t="s">
        <v>2793</v>
      </c>
      <c r="B1891" s="72" t="s">
        <v>554</v>
      </c>
      <c r="C1891" s="73">
        <v>79</v>
      </c>
      <c r="D1891" s="73">
        <v>1869209.2523416502</v>
      </c>
      <c r="E1891" s="72">
        <v>130844.6476639155</v>
      </c>
      <c r="F1891" s="72" t="s">
        <v>106</v>
      </c>
      <c r="G1891" s="72" t="s">
        <v>71</v>
      </c>
      <c r="H1891" s="72" t="s">
        <v>72</v>
      </c>
    </row>
    <row r="1892" spans="1:8" x14ac:dyDescent="0.25">
      <c r="A1892" s="72" t="s">
        <v>1051</v>
      </c>
      <c r="B1892" s="72" t="s">
        <v>85</v>
      </c>
      <c r="C1892" s="73">
        <v>79</v>
      </c>
      <c r="D1892" s="73">
        <v>2410418.8987845015</v>
      </c>
      <c r="E1892" s="72">
        <v>289250.26785414026</v>
      </c>
      <c r="F1892" s="72" t="s">
        <v>70</v>
      </c>
      <c r="G1892" s="72" t="s">
        <v>71</v>
      </c>
      <c r="H1892" s="72" t="s">
        <v>72</v>
      </c>
    </row>
    <row r="1893" spans="1:8" x14ac:dyDescent="0.25">
      <c r="A1893" s="72" t="s">
        <v>2540</v>
      </c>
      <c r="B1893" s="72" t="s">
        <v>92</v>
      </c>
      <c r="C1893" s="73">
        <v>79</v>
      </c>
      <c r="D1893" s="73">
        <v>2097210.3755304357</v>
      </c>
      <c r="E1893" s="72">
        <v>146804.72628713047</v>
      </c>
      <c r="F1893" s="72" t="s">
        <v>78</v>
      </c>
      <c r="G1893" s="72" t="s">
        <v>71</v>
      </c>
      <c r="H1893" s="72" t="s">
        <v>72</v>
      </c>
    </row>
    <row r="1894" spans="1:8" x14ac:dyDescent="0.25">
      <c r="A1894" s="43" t="s">
        <v>1890</v>
      </c>
      <c r="B1894" s="43" t="s">
        <v>102</v>
      </c>
      <c r="C1894" s="46">
        <v>79</v>
      </c>
      <c r="D1894" s="46">
        <v>2209995.132958909</v>
      </c>
      <c r="E1894" s="43">
        <v>198899.56196630182</v>
      </c>
      <c r="F1894" s="43" t="s">
        <v>70</v>
      </c>
      <c r="G1894" s="43" t="s">
        <v>71</v>
      </c>
      <c r="H1894" s="43" t="s">
        <v>72</v>
      </c>
    </row>
    <row r="1895" spans="1:8" x14ac:dyDescent="0.25">
      <c r="A1895" s="43" t="s">
        <v>2794</v>
      </c>
      <c r="B1895" s="43" t="s">
        <v>77</v>
      </c>
      <c r="C1895" s="46">
        <v>79</v>
      </c>
      <c r="D1895" s="46">
        <v>1869209.2523416502</v>
      </c>
      <c r="E1895" s="43">
        <v>130844.6476639155</v>
      </c>
      <c r="F1895" s="43" t="s">
        <v>106</v>
      </c>
      <c r="G1895" s="43" t="s">
        <v>71</v>
      </c>
      <c r="H1895" s="43" t="s">
        <v>72</v>
      </c>
    </row>
    <row r="1896" spans="1:8" x14ac:dyDescent="0.25">
      <c r="A1896" s="72" t="s">
        <v>837</v>
      </c>
      <c r="B1896" s="72" t="s">
        <v>243</v>
      </c>
      <c r="C1896" s="73">
        <v>79</v>
      </c>
      <c r="D1896" s="73">
        <v>2466832.7856824445</v>
      </c>
      <c r="E1896" s="72">
        <v>320688.26213871781</v>
      </c>
      <c r="F1896" s="72" t="s">
        <v>70</v>
      </c>
      <c r="G1896" s="72" t="s">
        <v>71</v>
      </c>
      <c r="H1896" s="72" t="s">
        <v>72</v>
      </c>
    </row>
    <row r="1897" spans="1:8" x14ac:dyDescent="0.25">
      <c r="A1897" s="72" t="s">
        <v>974</v>
      </c>
      <c r="B1897" s="72" t="s">
        <v>75</v>
      </c>
      <c r="C1897" s="73">
        <v>79</v>
      </c>
      <c r="D1897" s="73">
        <v>2486558.8465190679</v>
      </c>
      <c r="E1897" s="72">
        <v>298387.06158228818</v>
      </c>
      <c r="F1897" s="72" t="s">
        <v>78</v>
      </c>
      <c r="G1897" s="72" t="s">
        <v>71</v>
      </c>
      <c r="H1897" s="72" t="s">
        <v>72</v>
      </c>
    </row>
    <row r="1898" spans="1:8" x14ac:dyDescent="0.25">
      <c r="A1898" s="43" t="s">
        <v>1287</v>
      </c>
      <c r="B1898" s="43" t="s">
        <v>97</v>
      </c>
      <c r="C1898" s="46">
        <v>79</v>
      </c>
      <c r="D1898" s="46">
        <v>2349595.7046874915</v>
      </c>
      <c r="E1898" s="43">
        <v>258455.5275156241</v>
      </c>
      <c r="F1898" s="43" t="s">
        <v>70</v>
      </c>
      <c r="G1898" s="43" t="s">
        <v>71</v>
      </c>
      <c r="H1898" s="43" t="s">
        <v>72</v>
      </c>
    </row>
    <row r="1899" spans="1:8" x14ac:dyDescent="0.25">
      <c r="A1899" s="72" t="s">
        <v>3508</v>
      </c>
      <c r="B1899" s="72" t="s">
        <v>110</v>
      </c>
      <c r="C1899" s="73">
        <v>79</v>
      </c>
      <c r="D1899" s="73">
        <v>1750015.3222499446</v>
      </c>
      <c r="E1899" s="72">
        <v>87500.766112497236</v>
      </c>
      <c r="F1899" s="72" t="s">
        <v>70</v>
      </c>
      <c r="G1899" s="72" t="s">
        <v>71</v>
      </c>
      <c r="H1899" s="72" t="s">
        <v>72</v>
      </c>
    </row>
    <row r="1900" spans="1:8" x14ac:dyDescent="0.25">
      <c r="A1900" s="43" t="s">
        <v>3509</v>
      </c>
      <c r="B1900" s="43" t="s">
        <v>105</v>
      </c>
      <c r="C1900" s="46">
        <v>79</v>
      </c>
      <c r="D1900" s="46">
        <v>1750015.3222499446</v>
      </c>
      <c r="E1900" s="43">
        <v>87500.766112497236</v>
      </c>
      <c r="F1900" s="43" t="s">
        <v>70</v>
      </c>
      <c r="G1900" s="43" t="s">
        <v>71</v>
      </c>
      <c r="H1900" s="43" t="s">
        <v>72</v>
      </c>
    </row>
    <row r="1901" spans="1:8" x14ac:dyDescent="0.25">
      <c r="A1901" s="72" t="s">
        <v>2795</v>
      </c>
      <c r="B1901" s="72" t="s">
        <v>166</v>
      </c>
      <c r="C1901" s="73">
        <v>79</v>
      </c>
      <c r="D1901" s="73">
        <v>1869209.2523416502</v>
      </c>
      <c r="E1901" s="72">
        <v>130844.6476639155</v>
      </c>
      <c r="F1901" s="72" t="s">
        <v>106</v>
      </c>
      <c r="G1901" s="72" t="s">
        <v>71</v>
      </c>
      <c r="H1901" s="72" t="s">
        <v>72</v>
      </c>
    </row>
    <row r="1902" spans="1:8" x14ac:dyDescent="0.25">
      <c r="A1902" s="72" t="s">
        <v>2217</v>
      </c>
      <c r="B1902" s="72" t="s">
        <v>127</v>
      </c>
      <c r="C1902" s="73">
        <v>79</v>
      </c>
      <c r="D1902" s="73">
        <v>2127252.1618420128</v>
      </c>
      <c r="E1902" s="72">
        <v>170180.17294736102</v>
      </c>
      <c r="F1902" s="72" t="s">
        <v>70</v>
      </c>
      <c r="G1902" s="72" t="s">
        <v>71</v>
      </c>
      <c r="H1902" s="72" t="s">
        <v>72</v>
      </c>
    </row>
    <row r="1903" spans="1:8" x14ac:dyDescent="0.25">
      <c r="A1903" s="43" t="s">
        <v>975</v>
      </c>
      <c r="B1903" s="43" t="s">
        <v>383</v>
      </c>
      <c r="C1903" s="46">
        <v>79</v>
      </c>
      <c r="D1903" s="46">
        <v>2486558.8465190679</v>
      </c>
      <c r="E1903" s="43">
        <v>298387.06158228818</v>
      </c>
      <c r="F1903" s="43" t="s">
        <v>78</v>
      </c>
      <c r="G1903" s="43" t="s">
        <v>71</v>
      </c>
      <c r="H1903" s="43" t="s">
        <v>72</v>
      </c>
    </row>
    <row r="1904" spans="1:8" x14ac:dyDescent="0.25">
      <c r="A1904" s="72" t="s">
        <v>2416</v>
      </c>
      <c r="B1904" s="72" t="s">
        <v>77</v>
      </c>
      <c r="C1904" s="73">
        <v>79</v>
      </c>
      <c r="D1904" s="73">
        <v>2211997.8804121548</v>
      </c>
      <c r="E1904" s="72">
        <v>154839.85162885083</v>
      </c>
      <c r="F1904" s="72" t="s">
        <v>87</v>
      </c>
      <c r="G1904" s="72" t="s">
        <v>71</v>
      </c>
      <c r="H1904" s="72" t="s">
        <v>88</v>
      </c>
    </row>
    <row r="1905" spans="1:8" x14ac:dyDescent="0.25">
      <c r="A1905" s="43" t="s">
        <v>1052</v>
      </c>
      <c r="B1905" s="43" t="s">
        <v>102</v>
      </c>
      <c r="C1905" s="46">
        <v>79</v>
      </c>
      <c r="D1905" s="46">
        <v>2410418.8987845015</v>
      </c>
      <c r="E1905" s="43">
        <v>289250.26785414026</v>
      </c>
      <c r="F1905" s="43" t="s">
        <v>70</v>
      </c>
      <c r="G1905" s="43" t="s">
        <v>71</v>
      </c>
      <c r="H1905" s="43" t="s">
        <v>72</v>
      </c>
    </row>
    <row r="1906" spans="1:8" x14ac:dyDescent="0.25">
      <c r="A1906" s="72" t="s">
        <v>3038</v>
      </c>
      <c r="B1906" s="72" t="s">
        <v>97</v>
      </c>
      <c r="C1906" s="73">
        <v>79</v>
      </c>
      <c r="D1906" s="73">
        <v>1912651.9047078015</v>
      </c>
      <c r="E1906" s="72">
        <v>114759.11428246812</v>
      </c>
      <c r="F1906" s="72" t="s">
        <v>70</v>
      </c>
      <c r="G1906" s="72" t="s">
        <v>71</v>
      </c>
      <c r="H1906" s="72" t="s">
        <v>72</v>
      </c>
    </row>
    <row r="1907" spans="1:8" x14ac:dyDescent="0.25">
      <c r="A1907" s="43" t="s">
        <v>2218</v>
      </c>
      <c r="B1907" s="43" t="s">
        <v>145</v>
      </c>
      <c r="C1907" s="46">
        <v>79</v>
      </c>
      <c r="D1907" s="46">
        <v>2127252.1618420128</v>
      </c>
      <c r="E1907" s="43">
        <v>170180.17294736102</v>
      </c>
      <c r="F1907" s="43" t="s">
        <v>70</v>
      </c>
      <c r="G1907" s="43" t="s">
        <v>71</v>
      </c>
      <c r="H1907" s="43" t="s">
        <v>72</v>
      </c>
    </row>
    <row r="1908" spans="1:8" x14ac:dyDescent="0.25">
      <c r="A1908" s="43" t="s">
        <v>607</v>
      </c>
      <c r="B1908" s="43" t="s">
        <v>73</v>
      </c>
      <c r="C1908" s="46">
        <v>79</v>
      </c>
      <c r="D1908" s="46">
        <v>2598571.6127447039</v>
      </c>
      <c r="E1908" s="43">
        <v>363800.0257842585</v>
      </c>
      <c r="F1908" s="43" t="s">
        <v>78</v>
      </c>
      <c r="G1908" s="43" t="s">
        <v>71</v>
      </c>
      <c r="H1908" s="43" t="s">
        <v>72</v>
      </c>
    </row>
    <row r="1909" spans="1:8" x14ac:dyDescent="0.25">
      <c r="A1909" s="43" t="s">
        <v>664</v>
      </c>
      <c r="B1909" s="43" t="s">
        <v>85</v>
      </c>
      <c r="C1909" s="46">
        <v>79</v>
      </c>
      <c r="D1909" s="46">
        <v>2519598.9037340991</v>
      </c>
      <c r="E1909" s="43">
        <v>352743.84652277385</v>
      </c>
      <c r="F1909" s="43" t="s">
        <v>70</v>
      </c>
      <c r="G1909" s="43" t="s">
        <v>71</v>
      </c>
      <c r="H1909" s="43" t="s">
        <v>72</v>
      </c>
    </row>
    <row r="1910" spans="1:8" x14ac:dyDescent="0.25">
      <c r="A1910" s="72" t="s">
        <v>1761</v>
      </c>
      <c r="B1910" s="72" t="s">
        <v>93</v>
      </c>
      <c r="C1910" s="73">
        <v>79</v>
      </c>
      <c r="D1910" s="73">
        <v>2336286.7248226665</v>
      </c>
      <c r="E1910" s="72">
        <v>210265.80523403999</v>
      </c>
      <c r="F1910" s="72" t="s">
        <v>87</v>
      </c>
      <c r="G1910" s="72" t="s">
        <v>71</v>
      </c>
      <c r="H1910" s="72" t="s">
        <v>88</v>
      </c>
    </row>
    <row r="1911" spans="1:8" x14ac:dyDescent="0.25">
      <c r="A1911" s="72" t="s">
        <v>3254</v>
      </c>
      <c r="B1911" s="72" t="s">
        <v>73</v>
      </c>
      <c r="C1911" s="73">
        <v>79</v>
      </c>
      <c r="D1911" s="73">
        <v>2031592.1165236877</v>
      </c>
      <c r="E1911" s="72">
        <v>101579.60582618439</v>
      </c>
      <c r="F1911" s="72" t="s">
        <v>87</v>
      </c>
      <c r="G1911" s="72" t="s">
        <v>71</v>
      </c>
      <c r="H1911" s="72" t="s">
        <v>88</v>
      </c>
    </row>
    <row r="1912" spans="1:8" x14ac:dyDescent="0.25">
      <c r="A1912" s="72" t="s">
        <v>2600</v>
      </c>
      <c r="B1912" s="72" t="s">
        <v>210</v>
      </c>
      <c r="C1912" s="73">
        <v>79</v>
      </c>
      <c r="D1912" s="73">
        <v>2030916.9060917401</v>
      </c>
      <c r="E1912" s="72">
        <v>142164.18342642181</v>
      </c>
      <c r="F1912" s="72" t="s">
        <v>70</v>
      </c>
      <c r="G1912" s="72" t="s">
        <v>71</v>
      </c>
      <c r="H1912" s="72" t="s">
        <v>72</v>
      </c>
    </row>
    <row r="1913" spans="1:8" x14ac:dyDescent="0.25">
      <c r="A1913" s="72" t="s">
        <v>2453</v>
      </c>
      <c r="B1913" s="72" t="s">
        <v>257</v>
      </c>
      <c r="C1913" s="73">
        <v>79</v>
      </c>
      <c r="D1913" s="73">
        <v>1901732.0070499226</v>
      </c>
      <c r="E1913" s="72">
        <v>152138.56056399381</v>
      </c>
      <c r="F1913" s="72" t="s">
        <v>106</v>
      </c>
      <c r="G1913" s="72" t="s">
        <v>71</v>
      </c>
      <c r="H1913" s="72" t="s">
        <v>72</v>
      </c>
    </row>
    <row r="1914" spans="1:8" x14ac:dyDescent="0.25">
      <c r="A1914" s="72" t="s">
        <v>1917</v>
      </c>
      <c r="B1914" s="72" t="s">
        <v>127</v>
      </c>
      <c r="C1914" s="73">
        <v>79</v>
      </c>
      <c r="D1914" s="73">
        <v>1955523.0472123942</v>
      </c>
      <c r="E1914" s="72">
        <v>195552.30472123943</v>
      </c>
      <c r="F1914" s="72" t="s">
        <v>106</v>
      </c>
      <c r="G1914" s="72" t="s">
        <v>71</v>
      </c>
      <c r="H1914" s="72" t="s">
        <v>72</v>
      </c>
    </row>
    <row r="1915" spans="1:8" x14ac:dyDescent="0.25">
      <c r="A1915" s="43" t="s">
        <v>2843</v>
      </c>
      <c r="B1915" s="43" t="s">
        <v>127</v>
      </c>
      <c r="C1915" s="46">
        <v>79</v>
      </c>
      <c r="D1915" s="46">
        <v>2132546.0282364734</v>
      </c>
      <c r="E1915" s="43">
        <v>127952.7616941884</v>
      </c>
      <c r="F1915" s="43" t="s">
        <v>87</v>
      </c>
      <c r="G1915" s="43" t="s">
        <v>71</v>
      </c>
      <c r="H1915" s="43" t="s">
        <v>88</v>
      </c>
    </row>
    <row r="1916" spans="1:8" x14ac:dyDescent="0.25">
      <c r="A1916" s="43" t="s">
        <v>1466</v>
      </c>
      <c r="B1916" s="43" t="s">
        <v>93</v>
      </c>
      <c r="C1916" s="46">
        <v>79</v>
      </c>
      <c r="D1916" s="46">
        <v>2387649.7743323469</v>
      </c>
      <c r="E1916" s="43">
        <v>238764.97743323469</v>
      </c>
      <c r="F1916" s="43" t="s">
        <v>87</v>
      </c>
      <c r="G1916" s="43" t="s">
        <v>71</v>
      </c>
      <c r="H1916" s="43" t="s">
        <v>88</v>
      </c>
    </row>
    <row r="1917" spans="1:8" x14ac:dyDescent="0.25">
      <c r="A1917" s="43" t="s">
        <v>684</v>
      </c>
      <c r="B1917" s="43" t="s">
        <v>119</v>
      </c>
      <c r="C1917" s="46">
        <v>78</v>
      </c>
      <c r="D1917" s="46">
        <v>2486572.4848950021</v>
      </c>
      <c r="E1917" s="43">
        <v>348120.14788530028</v>
      </c>
      <c r="F1917" s="43" t="s">
        <v>70</v>
      </c>
      <c r="G1917" s="43" t="s">
        <v>71</v>
      </c>
      <c r="H1917" s="43" t="s">
        <v>72</v>
      </c>
    </row>
    <row r="1918" spans="1:8" x14ac:dyDescent="0.25">
      <c r="A1918" s="72" t="s">
        <v>865</v>
      </c>
      <c r="B1918" s="72" t="s">
        <v>119</v>
      </c>
      <c r="C1918" s="73">
        <v>78</v>
      </c>
      <c r="D1918" s="73">
        <v>2434474.2923883046</v>
      </c>
      <c r="E1918" s="72">
        <v>316481.65801047959</v>
      </c>
      <c r="F1918" s="72" t="s">
        <v>70</v>
      </c>
      <c r="G1918" s="72" t="s">
        <v>71</v>
      </c>
      <c r="H1918" s="72" t="s">
        <v>72</v>
      </c>
    </row>
    <row r="1919" spans="1:8" x14ac:dyDescent="0.25">
      <c r="A1919" s="72" t="s">
        <v>1075</v>
      </c>
      <c r="B1919" s="72" t="s">
        <v>107</v>
      </c>
      <c r="C1919" s="73">
        <v>78</v>
      </c>
      <c r="D1919" s="73">
        <v>2378774.5053245137</v>
      </c>
      <c r="E1919" s="72">
        <v>285452.94063894171</v>
      </c>
      <c r="F1919" s="72" t="s">
        <v>70</v>
      </c>
      <c r="G1919" s="72" t="s">
        <v>71</v>
      </c>
      <c r="H1919" s="72" t="s">
        <v>72</v>
      </c>
    </row>
    <row r="1920" spans="1:8" x14ac:dyDescent="0.25">
      <c r="A1920" s="72" t="s">
        <v>3278</v>
      </c>
      <c r="B1920" s="72" t="s">
        <v>77</v>
      </c>
      <c r="C1920" s="73">
        <v>78</v>
      </c>
      <c r="D1920" s="73">
        <v>2004899.4231216651</v>
      </c>
      <c r="E1920" s="72">
        <v>100244.97115608327</v>
      </c>
      <c r="F1920" s="72" t="s">
        <v>87</v>
      </c>
      <c r="G1920" s="72" t="s">
        <v>71</v>
      </c>
      <c r="H1920" s="72" t="s">
        <v>88</v>
      </c>
    </row>
    <row r="1921" spans="1:8" x14ac:dyDescent="0.25">
      <c r="A1921" s="72" t="s">
        <v>685</v>
      </c>
      <c r="B1921" s="72" t="s">
        <v>102</v>
      </c>
      <c r="C1921" s="73">
        <v>78</v>
      </c>
      <c r="D1921" s="73">
        <v>2486572.4848950021</v>
      </c>
      <c r="E1921" s="72">
        <v>348120.14788530028</v>
      </c>
      <c r="F1921" s="72" t="s">
        <v>70</v>
      </c>
      <c r="G1921" s="72" t="s">
        <v>71</v>
      </c>
      <c r="H1921" s="72" t="s">
        <v>72</v>
      </c>
    </row>
    <row r="1922" spans="1:8" x14ac:dyDescent="0.25">
      <c r="A1922" s="43" t="s">
        <v>2189</v>
      </c>
      <c r="B1922" s="43" t="s">
        <v>176</v>
      </c>
      <c r="C1922" s="46">
        <v>78</v>
      </c>
      <c r="D1922" s="46">
        <v>1904615.6276941437</v>
      </c>
      <c r="E1922" s="43">
        <v>171415.40649247292</v>
      </c>
      <c r="F1922" s="43" t="s">
        <v>106</v>
      </c>
      <c r="G1922" s="43" t="s">
        <v>71</v>
      </c>
      <c r="H1922" s="43" t="s">
        <v>72</v>
      </c>
    </row>
    <row r="1923" spans="1:8" x14ac:dyDescent="0.25">
      <c r="A1923" s="43" t="s">
        <v>2101</v>
      </c>
      <c r="B1923" s="43" t="s">
        <v>73</v>
      </c>
      <c r="C1923" s="46">
        <v>78</v>
      </c>
      <c r="D1923" s="46">
        <v>2248706.6455163155</v>
      </c>
      <c r="E1923" s="43">
        <v>179896.53164130525</v>
      </c>
      <c r="F1923" s="43" t="s">
        <v>87</v>
      </c>
      <c r="G1923" s="43" t="s">
        <v>71</v>
      </c>
      <c r="H1923" s="43" t="s">
        <v>88</v>
      </c>
    </row>
    <row r="1924" spans="1:8" x14ac:dyDescent="0.25">
      <c r="A1924" s="72" t="s">
        <v>1016</v>
      </c>
      <c r="B1924" s="72" t="s">
        <v>93</v>
      </c>
      <c r="C1924" s="73">
        <v>78</v>
      </c>
      <c r="D1924" s="73">
        <v>2444325.5881842747</v>
      </c>
      <c r="E1924" s="72">
        <v>293319.07058211294</v>
      </c>
      <c r="F1924" s="72" t="s">
        <v>87</v>
      </c>
      <c r="G1924" s="72" t="s">
        <v>71</v>
      </c>
      <c r="H1924" s="72" t="s">
        <v>88</v>
      </c>
    </row>
    <row r="1925" spans="1:8" x14ac:dyDescent="0.25">
      <c r="A1925" s="72" t="s">
        <v>1495</v>
      </c>
      <c r="B1925" s="72" t="s">
        <v>367</v>
      </c>
      <c r="C1925" s="73">
        <v>78</v>
      </c>
      <c r="D1925" s="73">
        <v>1972999.7241520218</v>
      </c>
      <c r="E1925" s="72">
        <v>236759.96689824259</v>
      </c>
      <c r="F1925" s="72" t="s">
        <v>106</v>
      </c>
      <c r="G1925" s="72" t="s">
        <v>71</v>
      </c>
      <c r="H1925" s="72" t="s">
        <v>72</v>
      </c>
    </row>
    <row r="1926" spans="1:8" x14ac:dyDescent="0.25">
      <c r="A1926" s="43" t="s">
        <v>2478</v>
      </c>
      <c r="B1926" s="43" t="s">
        <v>77</v>
      </c>
      <c r="C1926" s="46">
        <v>78</v>
      </c>
      <c r="D1926" s="46">
        <v>1876537.4963230731</v>
      </c>
      <c r="E1926" s="43">
        <v>150122.99970584584</v>
      </c>
      <c r="F1926" s="43" t="s">
        <v>106</v>
      </c>
      <c r="G1926" s="43" t="s">
        <v>71</v>
      </c>
      <c r="H1926" s="43" t="s">
        <v>72</v>
      </c>
    </row>
    <row r="1927" spans="1:8" x14ac:dyDescent="0.25">
      <c r="A1927" s="72" t="s">
        <v>3536</v>
      </c>
      <c r="B1927" s="72" t="s">
        <v>267</v>
      </c>
      <c r="C1927" s="73">
        <v>78</v>
      </c>
      <c r="D1927" s="73">
        <v>1726730.4677334316</v>
      </c>
      <c r="E1927" s="72">
        <v>86336.523386671586</v>
      </c>
      <c r="F1927" s="72" t="s">
        <v>70</v>
      </c>
      <c r="G1927" s="72" t="s">
        <v>71</v>
      </c>
      <c r="H1927" s="72" t="s">
        <v>72</v>
      </c>
    </row>
    <row r="1928" spans="1:8" x14ac:dyDescent="0.25">
      <c r="A1928" s="72" t="s">
        <v>3255</v>
      </c>
      <c r="B1928" s="72" t="s">
        <v>73</v>
      </c>
      <c r="C1928" s="73">
        <v>78</v>
      </c>
      <c r="D1928" s="73">
        <v>1606454.8086751539</v>
      </c>
      <c r="E1928" s="72">
        <v>48193.644260254623</v>
      </c>
      <c r="F1928" s="72" t="s">
        <v>106</v>
      </c>
      <c r="G1928" s="72" t="s">
        <v>71</v>
      </c>
      <c r="H1928" s="72" t="s">
        <v>72</v>
      </c>
    </row>
    <row r="1929" spans="1:8" x14ac:dyDescent="0.25">
      <c r="A1929" s="72" t="s">
        <v>2820</v>
      </c>
      <c r="B1929" s="72" t="s">
        <v>77</v>
      </c>
      <c r="C1929" s="73">
        <v>78</v>
      </c>
      <c r="D1929" s="73">
        <v>1844426.4220541462</v>
      </c>
      <c r="E1929" s="72">
        <v>129109.84954379022</v>
      </c>
      <c r="F1929" s="72" t="s">
        <v>106</v>
      </c>
      <c r="G1929" s="72" t="s">
        <v>71</v>
      </c>
      <c r="H1929" s="72" t="s">
        <v>72</v>
      </c>
    </row>
    <row r="1930" spans="1:8" x14ac:dyDescent="0.25">
      <c r="A1930" s="43" t="s">
        <v>3971</v>
      </c>
      <c r="B1930" s="43" t="s">
        <v>75</v>
      </c>
      <c r="C1930" s="46">
        <v>78</v>
      </c>
      <c r="D1930" s="46">
        <v>1699642.1233275828</v>
      </c>
      <c r="E1930" s="43">
        <v>67985.684933103315</v>
      </c>
      <c r="F1930" s="43" t="s">
        <v>106</v>
      </c>
      <c r="G1930" s="43" t="s">
        <v>71</v>
      </c>
      <c r="H1930" s="43" t="s">
        <v>72</v>
      </c>
    </row>
    <row r="1931" spans="1:8" x14ac:dyDescent="0.25">
      <c r="A1931" s="43" t="s">
        <v>2631</v>
      </c>
      <c r="B1931" s="43" t="s">
        <v>85</v>
      </c>
      <c r="C1931" s="46">
        <v>78</v>
      </c>
      <c r="D1931" s="46">
        <v>2004076.3353240651</v>
      </c>
      <c r="E1931" s="43">
        <v>140285.34347268453</v>
      </c>
      <c r="F1931" s="43" t="s">
        <v>70</v>
      </c>
      <c r="G1931" s="43" t="s">
        <v>71</v>
      </c>
      <c r="H1931" s="43" t="s">
        <v>72</v>
      </c>
    </row>
    <row r="1932" spans="1:8" x14ac:dyDescent="0.25">
      <c r="A1932" s="72" t="s">
        <v>635</v>
      </c>
      <c r="B1932" s="72" t="s">
        <v>92</v>
      </c>
      <c r="C1932" s="73">
        <v>78</v>
      </c>
      <c r="D1932" s="73">
        <v>2564360.2989846119</v>
      </c>
      <c r="E1932" s="72">
        <v>359010.44185784564</v>
      </c>
      <c r="F1932" s="72" t="s">
        <v>78</v>
      </c>
      <c r="G1932" s="72" t="s">
        <v>71</v>
      </c>
      <c r="H1932" s="72" t="s">
        <v>72</v>
      </c>
    </row>
    <row r="1933" spans="1:8" x14ac:dyDescent="0.25">
      <c r="A1933" s="43" t="s">
        <v>866</v>
      </c>
      <c r="B1933" s="43" t="s">
        <v>73</v>
      </c>
      <c r="C1933" s="46">
        <v>78</v>
      </c>
      <c r="D1933" s="46">
        <v>2434474.2923883046</v>
      </c>
      <c r="E1933" s="43">
        <v>316481.65801047959</v>
      </c>
      <c r="F1933" s="43" t="s">
        <v>70</v>
      </c>
      <c r="G1933" s="43" t="s">
        <v>71</v>
      </c>
      <c r="H1933" s="43" t="s">
        <v>72</v>
      </c>
    </row>
    <row r="1934" spans="1:8" x14ac:dyDescent="0.25">
      <c r="A1934" s="72" t="s">
        <v>3066</v>
      </c>
      <c r="B1934" s="72" t="s">
        <v>102</v>
      </c>
      <c r="C1934" s="73">
        <v>78</v>
      </c>
      <c r="D1934" s="73">
        <v>1887308.359274101</v>
      </c>
      <c r="E1934" s="72">
        <v>113238.50155644608</v>
      </c>
      <c r="F1934" s="72" t="s">
        <v>70</v>
      </c>
      <c r="G1934" s="72" t="s">
        <v>71</v>
      </c>
      <c r="H1934" s="72" t="s">
        <v>72</v>
      </c>
    </row>
    <row r="1935" spans="1:8" x14ac:dyDescent="0.25">
      <c r="A1935" s="43" t="s">
        <v>1946</v>
      </c>
      <c r="B1935" s="43" t="s">
        <v>75</v>
      </c>
      <c r="C1935" s="46">
        <v>78</v>
      </c>
      <c r="D1935" s="46">
        <v>1929647.6372429817</v>
      </c>
      <c r="E1935" s="43">
        <v>192964.76372429819</v>
      </c>
      <c r="F1935" s="43" t="s">
        <v>106</v>
      </c>
      <c r="G1935" s="43" t="s">
        <v>71</v>
      </c>
      <c r="H1935" s="43" t="s">
        <v>72</v>
      </c>
    </row>
    <row r="1936" spans="1:8" x14ac:dyDescent="0.25">
      <c r="A1936" s="72" t="s">
        <v>1913</v>
      </c>
      <c r="B1936" s="72" t="s">
        <v>105</v>
      </c>
      <c r="C1936" s="73">
        <v>78</v>
      </c>
      <c r="D1936" s="73">
        <v>2180887.7491929154</v>
      </c>
      <c r="E1936" s="72">
        <v>196279.89742736239</v>
      </c>
      <c r="F1936" s="72" t="s">
        <v>70</v>
      </c>
      <c r="G1936" s="72" t="s">
        <v>71</v>
      </c>
      <c r="H1936" s="72" t="s">
        <v>72</v>
      </c>
    </row>
    <row r="1937" spans="1:8" x14ac:dyDescent="0.25">
      <c r="A1937" s="72" t="s">
        <v>3468</v>
      </c>
      <c r="B1937" s="72" t="s">
        <v>75</v>
      </c>
      <c r="C1937" s="73">
        <v>78</v>
      </c>
      <c r="D1937" s="73">
        <v>1784803.581836395</v>
      </c>
      <c r="E1937" s="72">
        <v>89240.179091819751</v>
      </c>
      <c r="F1937" s="72" t="s">
        <v>78</v>
      </c>
      <c r="G1937" s="72" t="s">
        <v>71</v>
      </c>
      <c r="H1937" s="72" t="s">
        <v>72</v>
      </c>
    </row>
    <row r="1938" spans="1:8" x14ac:dyDescent="0.25">
      <c r="A1938" s="43" t="s">
        <v>1076</v>
      </c>
      <c r="B1938" s="43" t="s">
        <v>97</v>
      </c>
      <c r="C1938" s="46">
        <v>78</v>
      </c>
      <c r="D1938" s="46">
        <v>2378774.5053245137</v>
      </c>
      <c r="E1938" s="43">
        <v>285452.94063894171</v>
      </c>
      <c r="F1938" s="43" t="s">
        <v>70</v>
      </c>
      <c r="G1938" s="43" t="s">
        <v>71</v>
      </c>
      <c r="H1938" s="43" t="s">
        <v>72</v>
      </c>
    </row>
    <row r="1939" spans="1:8" x14ac:dyDescent="0.25">
      <c r="A1939" s="72" t="s">
        <v>2632</v>
      </c>
      <c r="B1939" s="72" t="s">
        <v>112</v>
      </c>
      <c r="C1939" s="73">
        <v>78</v>
      </c>
      <c r="D1939" s="73">
        <v>2004076.3353240651</v>
      </c>
      <c r="E1939" s="72">
        <v>140285.34347268453</v>
      </c>
      <c r="F1939" s="72" t="s">
        <v>70</v>
      </c>
      <c r="G1939" s="72" t="s">
        <v>71</v>
      </c>
      <c r="H1939" s="72" t="s">
        <v>72</v>
      </c>
    </row>
    <row r="1940" spans="1:8" x14ac:dyDescent="0.25">
      <c r="A1940" s="43" t="s">
        <v>1589</v>
      </c>
      <c r="B1940" s="43" t="s">
        <v>112</v>
      </c>
      <c r="C1940" s="46">
        <v>78</v>
      </c>
      <c r="D1940" s="46">
        <v>2253268.4255801137</v>
      </c>
      <c r="E1940" s="43">
        <v>225326.84255801138</v>
      </c>
      <c r="F1940" s="43" t="s">
        <v>70</v>
      </c>
      <c r="G1940" s="43" t="s">
        <v>71</v>
      </c>
      <c r="H1940" s="43" t="s">
        <v>72</v>
      </c>
    </row>
    <row r="1941" spans="1:8" x14ac:dyDescent="0.25">
      <c r="A1941" s="72" t="s">
        <v>867</v>
      </c>
      <c r="B1941" s="72" t="s">
        <v>112</v>
      </c>
      <c r="C1941" s="73">
        <v>78</v>
      </c>
      <c r="D1941" s="73">
        <v>2434474.2923883046</v>
      </c>
      <c r="E1941" s="72">
        <v>316481.65801047959</v>
      </c>
      <c r="F1941" s="72" t="s">
        <v>70</v>
      </c>
      <c r="G1941" s="72" t="s">
        <v>71</v>
      </c>
      <c r="H1941" s="72" t="s">
        <v>72</v>
      </c>
    </row>
    <row r="1942" spans="1:8" x14ac:dyDescent="0.25">
      <c r="A1942" s="72" t="s">
        <v>1077</v>
      </c>
      <c r="B1942" s="72" t="s">
        <v>112</v>
      </c>
      <c r="C1942" s="73">
        <v>78</v>
      </c>
      <c r="D1942" s="73">
        <v>2378774.5053245137</v>
      </c>
      <c r="E1942" s="72">
        <v>285452.94063894171</v>
      </c>
      <c r="F1942" s="72" t="s">
        <v>70</v>
      </c>
      <c r="G1942" s="72" t="s">
        <v>71</v>
      </c>
      <c r="H1942" s="72" t="s">
        <v>72</v>
      </c>
    </row>
    <row r="1943" spans="1:8" x14ac:dyDescent="0.25">
      <c r="A1943" s="43" t="s">
        <v>1708</v>
      </c>
      <c r="B1943" s="43" t="s">
        <v>554</v>
      </c>
      <c r="C1943" s="46">
        <v>78</v>
      </c>
      <c r="D1943" s="46">
        <v>1952289.2137499528</v>
      </c>
      <c r="E1943" s="43">
        <v>214751.81351249485</v>
      </c>
      <c r="F1943" s="43" t="s">
        <v>106</v>
      </c>
      <c r="G1943" s="43" t="s">
        <v>71</v>
      </c>
      <c r="H1943" s="43" t="s">
        <v>72</v>
      </c>
    </row>
    <row r="1944" spans="1:8" x14ac:dyDescent="0.25">
      <c r="A1944" s="72" t="s">
        <v>2102</v>
      </c>
      <c r="B1944" s="72" t="s">
        <v>93</v>
      </c>
      <c r="C1944" s="73">
        <v>78</v>
      </c>
      <c r="D1944" s="73">
        <v>2248706.6455163155</v>
      </c>
      <c r="E1944" s="72">
        <v>179896.53164130525</v>
      </c>
      <c r="F1944" s="72" t="s">
        <v>87</v>
      </c>
      <c r="G1944" s="72" t="s">
        <v>71</v>
      </c>
      <c r="H1944" s="72" t="s">
        <v>88</v>
      </c>
    </row>
    <row r="1945" spans="1:8" x14ac:dyDescent="0.25">
      <c r="A1945" s="43" t="s">
        <v>3537</v>
      </c>
      <c r="B1945" s="43" t="s">
        <v>102</v>
      </c>
      <c r="C1945" s="46">
        <v>78</v>
      </c>
      <c r="D1945" s="46">
        <v>1726730.4677334316</v>
      </c>
      <c r="E1945" s="43">
        <v>86336.523386671586</v>
      </c>
      <c r="F1945" s="43" t="s">
        <v>70</v>
      </c>
      <c r="G1945" s="43" t="s">
        <v>71</v>
      </c>
      <c r="H1945" s="43" t="s">
        <v>72</v>
      </c>
    </row>
    <row r="1946" spans="1:8" x14ac:dyDescent="0.25">
      <c r="A1946" s="43" t="s">
        <v>2633</v>
      </c>
      <c r="B1946" s="43" t="s">
        <v>102</v>
      </c>
      <c r="C1946" s="46">
        <v>78</v>
      </c>
      <c r="D1946" s="46">
        <v>2004076.3353240651</v>
      </c>
      <c r="E1946" s="43">
        <v>140285.34347268453</v>
      </c>
      <c r="F1946" s="43" t="s">
        <v>70</v>
      </c>
      <c r="G1946" s="43" t="s">
        <v>71</v>
      </c>
      <c r="H1946" s="43" t="s">
        <v>72</v>
      </c>
    </row>
    <row r="1947" spans="1:8" x14ac:dyDescent="0.25">
      <c r="A1947" s="43" t="s">
        <v>1078</v>
      </c>
      <c r="B1947" s="43" t="s">
        <v>102</v>
      </c>
      <c r="C1947" s="46">
        <v>78</v>
      </c>
      <c r="D1947" s="46">
        <v>2378774.5053245137</v>
      </c>
      <c r="E1947" s="43">
        <v>285452.94063894171</v>
      </c>
      <c r="F1947" s="43" t="s">
        <v>70</v>
      </c>
      <c r="G1947" s="43" t="s">
        <v>71</v>
      </c>
      <c r="H1947" s="43" t="s">
        <v>72</v>
      </c>
    </row>
    <row r="1948" spans="1:8" x14ac:dyDescent="0.25">
      <c r="A1948" s="43" t="s">
        <v>1496</v>
      </c>
      <c r="B1948" s="43" t="s">
        <v>554</v>
      </c>
      <c r="C1948" s="46">
        <v>78</v>
      </c>
      <c r="D1948" s="46">
        <v>1972999.7241520218</v>
      </c>
      <c r="E1948" s="43">
        <v>236759.96689824259</v>
      </c>
      <c r="F1948" s="43" t="s">
        <v>106</v>
      </c>
      <c r="G1948" s="43" t="s">
        <v>71</v>
      </c>
      <c r="H1948" s="43" t="s">
        <v>72</v>
      </c>
    </row>
    <row r="1949" spans="1:8" x14ac:dyDescent="0.25">
      <c r="A1949" s="72" t="s">
        <v>1590</v>
      </c>
      <c r="B1949" s="72" t="s">
        <v>211</v>
      </c>
      <c r="C1949" s="73">
        <v>78</v>
      </c>
      <c r="D1949" s="73">
        <v>2253268.4255801137</v>
      </c>
      <c r="E1949" s="72">
        <v>225326.84255801138</v>
      </c>
      <c r="F1949" s="72" t="s">
        <v>70</v>
      </c>
      <c r="G1949" s="72" t="s">
        <v>71</v>
      </c>
      <c r="H1949" s="72" t="s">
        <v>72</v>
      </c>
    </row>
    <row r="1950" spans="1:8" x14ac:dyDescent="0.25">
      <c r="A1950" s="43" t="s">
        <v>1017</v>
      </c>
      <c r="B1950" s="43" t="s">
        <v>1018</v>
      </c>
      <c r="C1950" s="46">
        <v>78</v>
      </c>
      <c r="D1950" s="46">
        <v>2444325.5881842747</v>
      </c>
      <c r="E1950" s="43">
        <v>293319.07058211294</v>
      </c>
      <c r="F1950" s="43" t="s">
        <v>87</v>
      </c>
      <c r="G1950" s="43" t="s">
        <v>71</v>
      </c>
      <c r="H1950" s="43" t="s">
        <v>88</v>
      </c>
    </row>
    <row r="1951" spans="1:8" x14ac:dyDescent="0.25">
      <c r="A1951" s="72" t="s">
        <v>2634</v>
      </c>
      <c r="B1951" s="72" t="s">
        <v>211</v>
      </c>
      <c r="C1951" s="73">
        <v>78</v>
      </c>
      <c r="D1951" s="73">
        <v>2004076.3353240651</v>
      </c>
      <c r="E1951" s="72">
        <v>140285.34347268453</v>
      </c>
      <c r="F1951" s="72" t="s">
        <v>70</v>
      </c>
      <c r="G1951" s="72" t="s">
        <v>71</v>
      </c>
      <c r="H1951" s="72" t="s">
        <v>72</v>
      </c>
    </row>
    <row r="1952" spans="1:8" x14ac:dyDescent="0.25">
      <c r="A1952" s="72" t="s">
        <v>2275</v>
      </c>
      <c r="B1952" s="72" t="s">
        <v>211</v>
      </c>
      <c r="C1952" s="73">
        <v>77</v>
      </c>
      <c r="D1952" s="73">
        <v>2071162.2320473178</v>
      </c>
      <c r="E1952" s="72">
        <v>165692.97856378544</v>
      </c>
      <c r="F1952" s="72" t="s">
        <v>70</v>
      </c>
      <c r="G1952" s="72" t="s">
        <v>71</v>
      </c>
      <c r="H1952" s="72" t="s">
        <v>72</v>
      </c>
    </row>
    <row r="1953" spans="1:8" x14ac:dyDescent="0.25">
      <c r="A1953" s="43" t="s">
        <v>828</v>
      </c>
      <c r="B1953" s="43" t="s">
        <v>176</v>
      </c>
      <c r="C1953" s="46">
        <v>77</v>
      </c>
      <c r="D1953" s="46">
        <v>2477419.4641292994</v>
      </c>
      <c r="E1953" s="43">
        <v>322064.53033680894</v>
      </c>
      <c r="F1953" s="43" t="s">
        <v>78</v>
      </c>
      <c r="G1953" s="43" t="s">
        <v>71</v>
      </c>
      <c r="H1953" s="43" t="s">
        <v>72</v>
      </c>
    </row>
    <row r="1954" spans="1:8" x14ac:dyDescent="0.25">
      <c r="A1954" s="72" t="s">
        <v>661</v>
      </c>
      <c r="B1954" s="72" t="s">
        <v>176</v>
      </c>
      <c r="C1954" s="73">
        <v>77</v>
      </c>
      <c r="D1954" s="73">
        <v>2530184.1299009006</v>
      </c>
      <c r="E1954" s="72">
        <v>354225.77818612603</v>
      </c>
      <c r="F1954" s="72" t="s">
        <v>78</v>
      </c>
      <c r="G1954" s="72" t="s">
        <v>71</v>
      </c>
      <c r="H1954" s="72" t="s">
        <v>72</v>
      </c>
    </row>
    <row r="1955" spans="1:8" x14ac:dyDescent="0.25">
      <c r="A1955" s="43" t="s">
        <v>2034</v>
      </c>
      <c r="B1955" s="43" t="s">
        <v>176</v>
      </c>
      <c r="C1955" s="46">
        <v>77</v>
      </c>
      <c r="D1955" s="46">
        <v>2059983.3316980526</v>
      </c>
      <c r="E1955" s="43">
        <v>185398.49985282472</v>
      </c>
      <c r="F1955" s="43" t="s">
        <v>84</v>
      </c>
      <c r="G1955" s="43" t="s">
        <v>71</v>
      </c>
      <c r="H1955" s="43" t="s">
        <v>72</v>
      </c>
    </row>
    <row r="1956" spans="1:8" x14ac:dyDescent="0.25">
      <c r="A1956" s="72" t="s">
        <v>829</v>
      </c>
      <c r="B1956" s="72" t="s">
        <v>176</v>
      </c>
      <c r="C1956" s="73">
        <v>77</v>
      </c>
      <c r="D1956" s="73">
        <v>2477419.4641292994</v>
      </c>
      <c r="E1956" s="72">
        <v>322064.53033680894</v>
      </c>
      <c r="F1956" s="72" t="s">
        <v>78</v>
      </c>
      <c r="G1956" s="72" t="s">
        <v>71</v>
      </c>
      <c r="H1956" s="72" t="s">
        <v>72</v>
      </c>
    </row>
    <row r="1957" spans="1:8" x14ac:dyDescent="0.25">
      <c r="A1957" s="72" t="s">
        <v>2670</v>
      </c>
      <c r="B1957" s="72" t="s">
        <v>85</v>
      </c>
      <c r="C1957" s="73">
        <v>77</v>
      </c>
      <c r="D1957" s="73">
        <v>1977265.8435312291</v>
      </c>
      <c r="E1957" s="72">
        <v>138408.60904718601</v>
      </c>
      <c r="F1957" s="72" t="s">
        <v>70</v>
      </c>
      <c r="G1957" s="72" t="s">
        <v>71</v>
      </c>
      <c r="H1957" s="72" t="s">
        <v>72</v>
      </c>
    </row>
    <row r="1958" spans="1:8" x14ac:dyDescent="0.25">
      <c r="A1958" s="43" t="s">
        <v>3309</v>
      </c>
      <c r="B1958" s="43" t="s">
        <v>238</v>
      </c>
      <c r="C1958" s="46">
        <v>77</v>
      </c>
      <c r="D1958" s="46">
        <v>1978232.5258049781</v>
      </c>
      <c r="E1958" s="43">
        <v>98911.626290248911</v>
      </c>
      <c r="F1958" s="43" t="s">
        <v>87</v>
      </c>
      <c r="G1958" s="43" t="s">
        <v>71</v>
      </c>
      <c r="H1958" s="43" t="s">
        <v>88</v>
      </c>
    </row>
    <row r="1959" spans="1:8" x14ac:dyDescent="0.25">
      <c r="A1959" s="43" t="s">
        <v>2276</v>
      </c>
      <c r="B1959" s="43" t="s">
        <v>160</v>
      </c>
      <c r="C1959" s="46">
        <v>77</v>
      </c>
      <c r="D1959" s="46">
        <v>2071162.2320473178</v>
      </c>
      <c r="E1959" s="43">
        <v>165692.97856378544</v>
      </c>
      <c r="F1959" s="43" t="s">
        <v>70</v>
      </c>
      <c r="G1959" s="43" t="s">
        <v>71</v>
      </c>
      <c r="H1959" s="43" t="s">
        <v>72</v>
      </c>
    </row>
    <row r="1960" spans="1:8" x14ac:dyDescent="0.25">
      <c r="A1960" s="72" t="s">
        <v>887</v>
      </c>
      <c r="B1960" s="72" t="s">
        <v>73</v>
      </c>
      <c r="C1960" s="73">
        <v>77</v>
      </c>
      <c r="D1960" s="73">
        <v>2402145.8780690045</v>
      </c>
      <c r="E1960" s="72">
        <v>312278.96414897061</v>
      </c>
      <c r="F1960" s="72" t="s">
        <v>70</v>
      </c>
      <c r="G1960" s="72" t="s">
        <v>71</v>
      </c>
      <c r="H1960" s="72" t="s">
        <v>72</v>
      </c>
    </row>
    <row r="1961" spans="1:8" x14ac:dyDescent="0.25">
      <c r="A1961" s="43" t="s">
        <v>3553</v>
      </c>
      <c r="B1961" s="43" t="s">
        <v>73</v>
      </c>
      <c r="C1961" s="46">
        <v>77</v>
      </c>
      <c r="D1961" s="46">
        <v>1703475.6921917577</v>
      </c>
      <c r="E1961" s="43">
        <v>85173.784609587892</v>
      </c>
      <c r="F1961" s="43" t="s">
        <v>70</v>
      </c>
      <c r="G1961" s="43" t="s">
        <v>71</v>
      </c>
      <c r="H1961" s="43" t="s">
        <v>72</v>
      </c>
    </row>
    <row r="1962" spans="1:8" x14ac:dyDescent="0.25">
      <c r="A1962" s="43" t="s">
        <v>1344</v>
      </c>
      <c r="B1962" s="43" t="s">
        <v>139</v>
      </c>
      <c r="C1962" s="46">
        <v>77</v>
      </c>
      <c r="D1962" s="46">
        <v>2287876.8244410129</v>
      </c>
      <c r="E1962" s="43">
        <v>251666.45068851145</v>
      </c>
      <c r="F1962" s="43" t="s">
        <v>70</v>
      </c>
      <c r="G1962" s="43" t="s">
        <v>71</v>
      </c>
      <c r="H1962" s="43" t="s">
        <v>72</v>
      </c>
    </row>
    <row r="1963" spans="1:8" x14ac:dyDescent="0.25">
      <c r="A1963" s="72" t="s">
        <v>2469</v>
      </c>
      <c r="B1963" s="72" t="s">
        <v>73</v>
      </c>
      <c r="C1963" s="73">
        <v>77</v>
      </c>
      <c r="D1963" s="73">
        <v>2154071.0551646235</v>
      </c>
      <c r="E1963" s="72">
        <v>150784.97386152364</v>
      </c>
      <c r="F1963" s="72" t="s">
        <v>87</v>
      </c>
      <c r="G1963" s="72" t="s">
        <v>71</v>
      </c>
      <c r="H1963" s="72" t="s">
        <v>88</v>
      </c>
    </row>
    <row r="1964" spans="1:8" x14ac:dyDescent="0.25">
      <c r="A1964" s="72" t="s">
        <v>2035</v>
      </c>
      <c r="B1964" s="72" t="s">
        <v>378</v>
      </c>
      <c r="C1964" s="73">
        <v>77</v>
      </c>
      <c r="D1964" s="73">
        <v>2059983.3316980526</v>
      </c>
      <c r="E1964" s="72">
        <v>185398.49985282472</v>
      </c>
      <c r="F1964" s="72" t="s">
        <v>84</v>
      </c>
      <c r="G1964" s="72" t="s">
        <v>71</v>
      </c>
      <c r="H1964" s="72" t="s">
        <v>72</v>
      </c>
    </row>
    <row r="1965" spans="1:8" x14ac:dyDescent="0.25">
      <c r="A1965" s="72" t="s">
        <v>2510</v>
      </c>
      <c r="B1965" s="72" t="s">
        <v>127</v>
      </c>
      <c r="C1965" s="73">
        <v>77</v>
      </c>
      <c r="D1965" s="73">
        <v>1851373.0204907698</v>
      </c>
      <c r="E1965" s="72">
        <v>148109.84163926158</v>
      </c>
      <c r="F1965" s="72" t="s">
        <v>106</v>
      </c>
      <c r="G1965" s="72" t="s">
        <v>71</v>
      </c>
      <c r="H1965" s="72" t="s">
        <v>72</v>
      </c>
    </row>
    <row r="1966" spans="1:8" x14ac:dyDescent="0.25">
      <c r="A1966" s="43" t="s">
        <v>4511</v>
      </c>
      <c r="B1966" s="43" t="s">
        <v>105</v>
      </c>
      <c r="C1966" s="46">
        <v>77</v>
      </c>
      <c r="D1966" s="46">
        <v>1584752.9314024393</v>
      </c>
      <c r="E1966" s="43">
        <v>47542.587942073187</v>
      </c>
      <c r="F1966" s="43" t="s">
        <v>106</v>
      </c>
      <c r="G1966" s="43" t="s">
        <v>71</v>
      </c>
      <c r="H1966" s="43" t="s">
        <v>72</v>
      </c>
    </row>
    <row r="1967" spans="1:8" x14ac:dyDescent="0.25">
      <c r="A1967" s="43" t="s">
        <v>1100</v>
      </c>
      <c r="B1967" s="43" t="s">
        <v>112</v>
      </c>
      <c r="C1967" s="46">
        <v>77</v>
      </c>
      <c r="D1967" s="46">
        <v>2347160.1908393642</v>
      </c>
      <c r="E1967" s="43">
        <v>281659.22290072375</v>
      </c>
      <c r="F1967" s="43" t="s">
        <v>70</v>
      </c>
      <c r="G1967" s="43" t="s">
        <v>71</v>
      </c>
      <c r="H1967" s="43" t="s">
        <v>72</v>
      </c>
    </row>
    <row r="1968" spans="1:8" x14ac:dyDescent="0.25">
      <c r="A1968" s="43" t="s">
        <v>1531</v>
      </c>
      <c r="B1968" s="43" t="s">
        <v>93</v>
      </c>
      <c r="C1968" s="46">
        <v>77</v>
      </c>
      <c r="D1968" s="46">
        <v>2325276.0656944308</v>
      </c>
      <c r="E1968" s="43">
        <v>232527.6065694431</v>
      </c>
      <c r="F1968" s="43" t="s">
        <v>87</v>
      </c>
      <c r="G1968" s="43" t="s">
        <v>71</v>
      </c>
      <c r="H1968" s="43" t="s">
        <v>88</v>
      </c>
    </row>
    <row r="1969" spans="1:8" x14ac:dyDescent="0.25">
      <c r="A1969" s="72" t="s">
        <v>1101</v>
      </c>
      <c r="B1969" s="72" t="s">
        <v>102</v>
      </c>
      <c r="C1969" s="73">
        <v>77</v>
      </c>
      <c r="D1969" s="73">
        <v>2347160.1908393642</v>
      </c>
      <c r="E1969" s="72">
        <v>281659.22290072375</v>
      </c>
      <c r="F1969" s="72" t="s">
        <v>70</v>
      </c>
      <c r="G1969" s="72" t="s">
        <v>71</v>
      </c>
      <c r="H1969" s="72" t="s">
        <v>72</v>
      </c>
    </row>
    <row r="1970" spans="1:8" x14ac:dyDescent="0.25">
      <c r="A1970" s="72" t="s">
        <v>703</v>
      </c>
      <c r="B1970" s="72" t="s">
        <v>102</v>
      </c>
      <c r="C1970" s="73">
        <v>77</v>
      </c>
      <c r="D1970" s="73">
        <v>2453576.1450307439</v>
      </c>
      <c r="E1970" s="72">
        <v>343500.6603043041</v>
      </c>
      <c r="F1970" s="72" t="s">
        <v>70</v>
      </c>
      <c r="G1970" s="72" t="s">
        <v>71</v>
      </c>
      <c r="H1970" s="72" t="s">
        <v>72</v>
      </c>
    </row>
    <row r="1971" spans="1:8" x14ac:dyDescent="0.25">
      <c r="A1971" s="72" t="s">
        <v>3084</v>
      </c>
      <c r="B1971" s="72" t="s">
        <v>75</v>
      </c>
      <c r="C1971" s="73">
        <v>77</v>
      </c>
      <c r="D1971" s="73">
        <v>1861994.892815239</v>
      </c>
      <c r="E1971" s="72">
        <v>111719.69356891436</v>
      </c>
      <c r="F1971" s="72" t="s">
        <v>70</v>
      </c>
      <c r="G1971" s="72" t="s">
        <v>71</v>
      </c>
      <c r="H1971" s="72" t="s">
        <v>72</v>
      </c>
    </row>
    <row r="1972" spans="1:8" x14ac:dyDescent="0.25">
      <c r="A1972" s="43" t="s">
        <v>2671</v>
      </c>
      <c r="B1972" s="43" t="s">
        <v>145</v>
      </c>
      <c r="C1972" s="46">
        <v>77</v>
      </c>
      <c r="D1972" s="46">
        <v>1977265.8435312291</v>
      </c>
      <c r="E1972" s="43">
        <v>138408.60904718601</v>
      </c>
      <c r="F1972" s="43" t="s">
        <v>70</v>
      </c>
      <c r="G1972" s="43" t="s">
        <v>71</v>
      </c>
      <c r="H1972" s="43" t="s">
        <v>72</v>
      </c>
    </row>
    <row r="1973" spans="1:8" x14ac:dyDescent="0.25">
      <c r="A1973" s="43" t="s">
        <v>3085</v>
      </c>
      <c r="B1973" s="43" t="s">
        <v>74</v>
      </c>
      <c r="C1973" s="46">
        <v>77</v>
      </c>
      <c r="D1973" s="46">
        <v>1861994.892815239</v>
      </c>
      <c r="E1973" s="43">
        <v>111719.69356891436</v>
      </c>
      <c r="F1973" s="43" t="s">
        <v>70</v>
      </c>
      <c r="G1973" s="43" t="s">
        <v>71</v>
      </c>
      <c r="H1973" s="43" t="s">
        <v>72</v>
      </c>
    </row>
    <row r="1974" spans="1:8" x14ac:dyDescent="0.25">
      <c r="A1974" s="72" t="s">
        <v>1982</v>
      </c>
      <c r="B1974" s="72" t="s">
        <v>75</v>
      </c>
      <c r="C1974" s="73">
        <v>77</v>
      </c>
      <c r="D1974" s="73">
        <v>1903802.2621681157</v>
      </c>
      <c r="E1974" s="72">
        <v>190380.22621681157</v>
      </c>
      <c r="F1974" s="72" t="s">
        <v>106</v>
      </c>
      <c r="G1974" s="72" t="s">
        <v>71</v>
      </c>
      <c r="H1974" s="72" t="s">
        <v>72</v>
      </c>
    </row>
    <row r="1975" spans="1:8" x14ac:dyDescent="0.25">
      <c r="A1975" s="43" t="s">
        <v>1629</v>
      </c>
      <c r="B1975" s="43" t="s">
        <v>162</v>
      </c>
      <c r="C1975" s="46">
        <v>77</v>
      </c>
      <c r="D1975" s="46">
        <v>2223263.1633993797</v>
      </c>
      <c r="E1975" s="43">
        <v>222326.31633993797</v>
      </c>
      <c r="F1975" s="43" t="s">
        <v>70</v>
      </c>
      <c r="G1975" s="43" t="s">
        <v>71</v>
      </c>
      <c r="H1975" s="43" t="s">
        <v>72</v>
      </c>
    </row>
    <row r="1976" spans="1:8" x14ac:dyDescent="0.25">
      <c r="A1976" s="72" t="s">
        <v>1971</v>
      </c>
      <c r="B1976" s="72" t="s">
        <v>119</v>
      </c>
      <c r="C1976" s="73">
        <v>76</v>
      </c>
      <c r="D1976" s="73">
        <v>2122763.1773642106</v>
      </c>
      <c r="E1976" s="72">
        <v>191048.68596277895</v>
      </c>
      <c r="F1976" s="72" t="s">
        <v>70</v>
      </c>
      <c r="G1976" s="72" t="s">
        <v>71</v>
      </c>
      <c r="H1976" s="72" t="s">
        <v>72</v>
      </c>
    </row>
    <row r="1977" spans="1:8" x14ac:dyDescent="0.25">
      <c r="A1977" s="43" t="s">
        <v>722</v>
      </c>
      <c r="B1977" s="43" t="s">
        <v>119</v>
      </c>
      <c r="C1977" s="46">
        <v>76</v>
      </c>
      <c r="D1977" s="46">
        <v>2420609.8429200896</v>
      </c>
      <c r="E1977" s="43">
        <v>338885.37800881249</v>
      </c>
      <c r="F1977" s="43" t="s">
        <v>70</v>
      </c>
      <c r="G1977" s="43" t="s">
        <v>71</v>
      </c>
      <c r="H1977" s="43" t="s">
        <v>72</v>
      </c>
    </row>
    <row r="1978" spans="1:8" x14ac:dyDescent="0.25">
      <c r="A1978" s="43" t="s">
        <v>914</v>
      </c>
      <c r="B1978" s="43" t="s">
        <v>97</v>
      </c>
      <c r="C1978" s="46">
        <v>76</v>
      </c>
      <c r="D1978" s="46">
        <v>2369847.5015033078</v>
      </c>
      <c r="E1978" s="43">
        <v>308080.17519543006</v>
      </c>
      <c r="F1978" s="43" t="s">
        <v>70</v>
      </c>
      <c r="G1978" s="43" t="s">
        <v>71</v>
      </c>
      <c r="H1978" s="43" t="s">
        <v>72</v>
      </c>
    </row>
    <row r="1979" spans="1:8" x14ac:dyDescent="0.25">
      <c r="A1979" s="43" t="s">
        <v>3331</v>
      </c>
      <c r="B1979" s="43" t="s">
        <v>73</v>
      </c>
      <c r="C1979" s="46">
        <v>76</v>
      </c>
      <c r="D1979" s="46">
        <v>1951591.394299187</v>
      </c>
      <c r="E1979" s="43">
        <v>97579.569714959362</v>
      </c>
      <c r="F1979" s="43" t="s">
        <v>87</v>
      </c>
      <c r="G1979" s="43" t="s">
        <v>71</v>
      </c>
      <c r="H1979" s="43" t="s">
        <v>88</v>
      </c>
    </row>
    <row r="1980" spans="1:8" x14ac:dyDescent="0.25">
      <c r="A1980" s="43" t="s">
        <v>3103</v>
      </c>
      <c r="B1980" s="43" t="s">
        <v>73</v>
      </c>
      <c r="C1980" s="46">
        <v>76</v>
      </c>
      <c r="D1980" s="46">
        <v>1836711.464109981</v>
      </c>
      <c r="E1980" s="43">
        <v>110202.68784659888</v>
      </c>
      <c r="F1980" s="43" t="s">
        <v>70</v>
      </c>
      <c r="G1980" s="43" t="s">
        <v>71</v>
      </c>
      <c r="H1980" s="43" t="s">
        <v>72</v>
      </c>
    </row>
    <row r="1981" spans="1:8" x14ac:dyDescent="0.25">
      <c r="A1981" s="43" t="s">
        <v>2259</v>
      </c>
      <c r="B1981" s="43" t="s">
        <v>75</v>
      </c>
      <c r="C1981" s="46">
        <v>76</v>
      </c>
      <c r="D1981" s="46">
        <v>1853596.7080495707</v>
      </c>
      <c r="E1981" s="43">
        <v>166823.70372446135</v>
      </c>
      <c r="F1981" s="43" t="s">
        <v>106</v>
      </c>
      <c r="G1981" s="43" t="s">
        <v>71</v>
      </c>
      <c r="H1981" s="43" t="s">
        <v>72</v>
      </c>
    </row>
    <row r="1982" spans="1:8" x14ac:dyDescent="0.25">
      <c r="A1982" s="43" t="s">
        <v>1732</v>
      </c>
      <c r="B1982" s="43" t="s">
        <v>176</v>
      </c>
      <c r="C1982" s="46">
        <v>76</v>
      </c>
      <c r="D1982" s="46">
        <v>2128464.9452805617</v>
      </c>
      <c r="E1982" s="43">
        <v>212846.49452805618</v>
      </c>
      <c r="F1982" s="43" t="s">
        <v>84</v>
      </c>
      <c r="G1982" s="43" t="s">
        <v>71</v>
      </c>
      <c r="H1982" s="43" t="s">
        <v>72</v>
      </c>
    </row>
    <row r="1983" spans="1:8" x14ac:dyDescent="0.25">
      <c r="A1983" s="72" t="s">
        <v>915</v>
      </c>
      <c r="B1983" s="72" t="s">
        <v>85</v>
      </c>
      <c r="C1983" s="73">
        <v>76</v>
      </c>
      <c r="D1983" s="73">
        <v>2369847.5015033078</v>
      </c>
      <c r="E1983" s="72">
        <v>308080.17519543006</v>
      </c>
      <c r="F1983" s="72" t="s">
        <v>70</v>
      </c>
      <c r="G1983" s="72" t="s">
        <v>71</v>
      </c>
      <c r="H1983" s="72" t="s">
        <v>72</v>
      </c>
    </row>
    <row r="1984" spans="1:8" x14ac:dyDescent="0.25">
      <c r="A1984" s="72" t="s">
        <v>4526</v>
      </c>
      <c r="B1984" s="72" t="s">
        <v>367</v>
      </c>
      <c r="C1984" s="73">
        <v>76</v>
      </c>
      <c r="D1984" s="73">
        <v>1563081.0382361962</v>
      </c>
      <c r="E1984" s="72">
        <v>46892.431147085896</v>
      </c>
      <c r="F1984" s="72" t="s">
        <v>106</v>
      </c>
      <c r="G1984" s="72" t="s">
        <v>71</v>
      </c>
      <c r="H1984" s="72" t="s">
        <v>72</v>
      </c>
    </row>
    <row r="1985" spans="1:8" x14ac:dyDescent="0.25">
      <c r="A1985" s="43" t="s">
        <v>916</v>
      </c>
      <c r="B1985" s="43" t="s">
        <v>367</v>
      </c>
      <c r="C1985" s="46">
        <v>76</v>
      </c>
      <c r="D1985" s="46">
        <v>2369847.5015033078</v>
      </c>
      <c r="E1985" s="43">
        <v>308080.17519543006</v>
      </c>
      <c r="F1985" s="43" t="s">
        <v>70</v>
      </c>
      <c r="G1985" s="43" t="s">
        <v>71</v>
      </c>
      <c r="H1985" s="43" t="s">
        <v>72</v>
      </c>
    </row>
    <row r="1986" spans="1:8" x14ac:dyDescent="0.25">
      <c r="A1986" s="43" t="s">
        <v>1972</v>
      </c>
      <c r="B1986" s="43" t="s">
        <v>85</v>
      </c>
      <c r="C1986" s="46">
        <v>76</v>
      </c>
      <c r="D1986" s="46">
        <v>2122763.1773642106</v>
      </c>
      <c r="E1986" s="43">
        <v>191048.68596277895</v>
      </c>
      <c r="F1986" s="43" t="s">
        <v>70</v>
      </c>
      <c r="G1986" s="43" t="s">
        <v>71</v>
      </c>
      <c r="H1986" s="43" t="s">
        <v>72</v>
      </c>
    </row>
    <row r="1987" spans="1:8" x14ac:dyDescent="0.25">
      <c r="A1987" s="43" t="s">
        <v>852</v>
      </c>
      <c r="B1987" s="43" t="s">
        <v>92</v>
      </c>
      <c r="C1987" s="46">
        <v>76</v>
      </c>
      <c r="D1987" s="46">
        <v>2443963.6411519898</v>
      </c>
      <c r="E1987" s="43">
        <v>317715.2733497587</v>
      </c>
      <c r="F1987" s="43" t="s">
        <v>78</v>
      </c>
      <c r="G1987" s="43" t="s">
        <v>71</v>
      </c>
      <c r="H1987" s="43" t="s">
        <v>72</v>
      </c>
    </row>
    <row r="1988" spans="1:8" x14ac:dyDescent="0.25">
      <c r="A1988" s="72" t="s">
        <v>2873</v>
      </c>
      <c r="B1988" s="72" t="s">
        <v>257</v>
      </c>
      <c r="C1988" s="73">
        <v>76</v>
      </c>
      <c r="D1988" s="73">
        <v>1794950.8153747011</v>
      </c>
      <c r="E1988" s="72">
        <v>125646.55707622906</v>
      </c>
      <c r="F1988" s="72" t="s">
        <v>106</v>
      </c>
      <c r="G1988" s="72" t="s">
        <v>71</v>
      </c>
      <c r="H1988" s="72" t="s">
        <v>72</v>
      </c>
    </row>
    <row r="1989" spans="1:8" x14ac:dyDescent="0.25">
      <c r="A1989" s="43" t="s">
        <v>1770</v>
      </c>
      <c r="B1989" s="43" t="s">
        <v>77</v>
      </c>
      <c r="C1989" s="46">
        <v>76</v>
      </c>
      <c r="D1989" s="46">
        <v>1900047.8944629231</v>
      </c>
      <c r="E1989" s="43">
        <v>209005.26839092156</v>
      </c>
      <c r="F1989" s="43" t="s">
        <v>106</v>
      </c>
      <c r="G1989" s="43" t="s">
        <v>71</v>
      </c>
      <c r="H1989" s="43" t="s">
        <v>72</v>
      </c>
    </row>
    <row r="1990" spans="1:8" x14ac:dyDescent="0.25">
      <c r="A1990" s="72" t="s">
        <v>1848</v>
      </c>
      <c r="B1990" s="72" t="s">
        <v>160</v>
      </c>
      <c r="C1990" s="73">
        <v>76</v>
      </c>
      <c r="D1990" s="73">
        <v>2244715.3212703564</v>
      </c>
      <c r="E1990" s="72">
        <v>202024.37891433208</v>
      </c>
      <c r="F1990" s="72" t="s">
        <v>87</v>
      </c>
      <c r="G1990" s="72" t="s">
        <v>71</v>
      </c>
      <c r="H1990" s="72" t="s">
        <v>88</v>
      </c>
    </row>
    <row r="1991" spans="1:8" x14ac:dyDescent="0.25">
      <c r="A1991" s="72" t="s">
        <v>1133</v>
      </c>
      <c r="B1991" s="72" t="s">
        <v>102</v>
      </c>
      <c r="C1991" s="73">
        <v>76</v>
      </c>
      <c r="D1991" s="73">
        <v>2315575.9141078186</v>
      </c>
      <c r="E1991" s="72">
        <v>277869.10969293828</v>
      </c>
      <c r="F1991" s="72" t="s">
        <v>70</v>
      </c>
      <c r="G1991" s="72" t="s">
        <v>71</v>
      </c>
      <c r="H1991" s="72" t="s">
        <v>72</v>
      </c>
    </row>
    <row r="1992" spans="1:8" x14ac:dyDescent="0.25">
      <c r="A1992" s="43" t="s">
        <v>1067</v>
      </c>
      <c r="B1992" s="43" t="s">
        <v>75</v>
      </c>
      <c r="C1992" s="46">
        <v>76</v>
      </c>
      <c r="D1992" s="46">
        <v>2388283.9346486656</v>
      </c>
      <c r="E1992" s="43">
        <v>286594.07215783995</v>
      </c>
      <c r="F1992" s="43" t="s">
        <v>78</v>
      </c>
      <c r="G1992" s="43" t="s">
        <v>71</v>
      </c>
      <c r="H1992" s="43" t="s">
        <v>72</v>
      </c>
    </row>
    <row r="1993" spans="1:8" x14ac:dyDescent="0.25">
      <c r="A1993" s="72" t="s">
        <v>723</v>
      </c>
      <c r="B1993" s="72" t="s">
        <v>75</v>
      </c>
      <c r="C1993" s="73">
        <v>76</v>
      </c>
      <c r="D1993" s="73">
        <v>2420609.8429200896</v>
      </c>
      <c r="E1993" s="72">
        <v>338885.37800881249</v>
      </c>
      <c r="F1993" s="72" t="s">
        <v>70</v>
      </c>
      <c r="G1993" s="72" t="s">
        <v>71</v>
      </c>
      <c r="H1993" s="72" t="s">
        <v>72</v>
      </c>
    </row>
    <row r="1994" spans="1:8" x14ac:dyDescent="0.25">
      <c r="A1994" s="43" t="s">
        <v>724</v>
      </c>
      <c r="B1994" s="43" t="s">
        <v>75</v>
      </c>
      <c r="C1994" s="46">
        <v>76</v>
      </c>
      <c r="D1994" s="46">
        <v>2420609.8429200896</v>
      </c>
      <c r="E1994" s="43">
        <v>338885.37800881249</v>
      </c>
      <c r="F1994" s="43" t="s">
        <v>70</v>
      </c>
      <c r="G1994" s="43" t="s">
        <v>71</v>
      </c>
      <c r="H1994" s="43" t="s">
        <v>72</v>
      </c>
    </row>
    <row r="1995" spans="1:8" x14ac:dyDescent="0.25">
      <c r="A1995" s="72" t="s">
        <v>3582</v>
      </c>
      <c r="B1995" s="72" t="s">
        <v>3583</v>
      </c>
      <c r="C1995" s="73">
        <v>76</v>
      </c>
      <c r="D1995" s="73">
        <v>1680250.9544036877</v>
      </c>
      <c r="E1995" s="72">
        <v>84012.54772018439</v>
      </c>
      <c r="F1995" s="72" t="s">
        <v>70</v>
      </c>
      <c r="G1995" s="72" t="s">
        <v>71</v>
      </c>
      <c r="H1995" s="72" t="s">
        <v>72</v>
      </c>
    </row>
    <row r="1996" spans="1:8" x14ac:dyDescent="0.25">
      <c r="A1996" s="43" t="s">
        <v>1134</v>
      </c>
      <c r="B1996" s="43" t="s">
        <v>97</v>
      </c>
      <c r="C1996" s="46">
        <v>76</v>
      </c>
      <c r="D1996" s="46">
        <v>2315575.9141078186</v>
      </c>
      <c r="E1996" s="43">
        <v>277869.10969293828</v>
      </c>
      <c r="F1996" s="43" t="s">
        <v>70</v>
      </c>
      <c r="G1996" s="43" t="s">
        <v>71</v>
      </c>
      <c r="H1996" s="43" t="s">
        <v>72</v>
      </c>
    </row>
    <row r="1997" spans="1:8" x14ac:dyDescent="0.25">
      <c r="A1997" s="72" t="s">
        <v>917</v>
      </c>
      <c r="B1997" s="72" t="s">
        <v>77</v>
      </c>
      <c r="C1997" s="73">
        <v>76</v>
      </c>
      <c r="D1997" s="73">
        <v>2369847.5015033078</v>
      </c>
      <c r="E1997" s="72">
        <v>308080.17519543006</v>
      </c>
      <c r="F1997" s="72" t="s">
        <v>70</v>
      </c>
      <c r="G1997" s="72" t="s">
        <v>71</v>
      </c>
      <c r="H1997" s="72" t="s">
        <v>72</v>
      </c>
    </row>
    <row r="1998" spans="1:8" x14ac:dyDescent="0.25">
      <c r="A1998" s="43" t="s">
        <v>2697</v>
      </c>
      <c r="B1998" s="43" t="s">
        <v>105</v>
      </c>
      <c r="C1998" s="46">
        <v>76</v>
      </c>
      <c r="D1998" s="46">
        <v>1950485.389491997</v>
      </c>
      <c r="E1998" s="43">
        <v>136533.97726443977</v>
      </c>
      <c r="F1998" s="43" t="s">
        <v>70</v>
      </c>
      <c r="G1998" s="43" t="s">
        <v>71</v>
      </c>
      <c r="H1998" s="43" t="s">
        <v>72</v>
      </c>
    </row>
    <row r="1999" spans="1:8" x14ac:dyDescent="0.25">
      <c r="A1999" s="43" t="s">
        <v>918</v>
      </c>
      <c r="B1999" s="43" t="s">
        <v>105</v>
      </c>
      <c r="C1999" s="46">
        <v>76</v>
      </c>
      <c r="D1999" s="46">
        <v>2369847.5015033078</v>
      </c>
      <c r="E1999" s="43">
        <v>308080.17519543006</v>
      </c>
      <c r="F1999" s="43" t="s">
        <v>70</v>
      </c>
      <c r="G1999" s="43" t="s">
        <v>71</v>
      </c>
      <c r="H1999" s="43" t="s">
        <v>72</v>
      </c>
    </row>
    <row r="2000" spans="1:8" x14ac:dyDescent="0.25">
      <c r="A2000" s="72" t="s">
        <v>3104</v>
      </c>
      <c r="B2000" s="72" t="s">
        <v>105</v>
      </c>
      <c r="C2000" s="73">
        <v>76</v>
      </c>
      <c r="D2000" s="73">
        <v>1836711.464109981</v>
      </c>
      <c r="E2000" s="72">
        <v>110202.68784659888</v>
      </c>
      <c r="F2000" s="72" t="s">
        <v>70</v>
      </c>
      <c r="G2000" s="72" t="s">
        <v>71</v>
      </c>
      <c r="H2000" s="72" t="s">
        <v>72</v>
      </c>
    </row>
    <row r="2001" spans="1:8" x14ac:dyDescent="0.25">
      <c r="A2001" s="43" t="s">
        <v>1849</v>
      </c>
      <c r="B2001" s="43" t="s">
        <v>73</v>
      </c>
      <c r="C2001" s="46">
        <v>76</v>
      </c>
      <c r="D2001" s="46">
        <v>2244715.3212703564</v>
      </c>
      <c r="E2001" s="43">
        <v>202024.37891433208</v>
      </c>
      <c r="F2001" s="43" t="s">
        <v>87</v>
      </c>
      <c r="G2001" s="43" t="s">
        <v>71</v>
      </c>
      <c r="H2001" s="43" t="s">
        <v>88</v>
      </c>
    </row>
    <row r="2002" spans="1:8" x14ac:dyDescent="0.25">
      <c r="A2002" s="43" t="s">
        <v>1303</v>
      </c>
      <c r="B2002" s="43" t="s">
        <v>75</v>
      </c>
      <c r="C2002" s="46">
        <v>76</v>
      </c>
      <c r="D2002" s="46">
        <v>2328252.3044572747</v>
      </c>
      <c r="E2002" s="43">
        <v>256107.75349030027</v>
      </c>
      <c r="F2002" s="43" t="s">
        <v>78</v>
      </c>
      <c r="G2002" s="43" t="s">
        <v>71</v>
      </c>
      <c r="H2002" s="43" t="s">
        <v>72</v>
      </c>
    </row>
    <row r="2003" spans="1:8" x14ac:dyDescent="0.25">
      <c r="A2003" s="72" t="s">
        <v>725</v>
      </c>
      <c r="B2003" s="72" t="s">
        <v>112</v>
      </c>
      <c r="C2003" s="73">
        <v>76</v>
      </c>
      <c r="D2003" s="73">
        <v>2420609.8429200896</v>
      </c>
      <c r="E2003" s="72">
        <v>338885.37800881249</v>
      </c>
      <c r="F2003" s="72" t="s">
        <v>70</v>
      </c>
      <c r="G2003" s="72" t="s">
        <v>71</v>
      </c>
      <c r="H2003" s="72" t="s">
        <v>72</v>
      </c>
    </row>
    <row r="2004" spans="1:8" x14ac:dyDescent="0.25">
      <c r="A2004" s="72" t="s">
        <v>2698</v>
      </c>
      <c r="B2004" s="72" t="s">
        <v>97</v>
      </c>
      <c r="C2004" s="73">
        <v>76</v>
      </c>
      <c r="D2004" s="73">
        <v>1950485.389491997</v>
      </c>
      <c r="E2004" s="72">
        <v>136533.97726443977</v>
      </c>
      <c r="F2004" s="72" t="s">
        <v>70</v>
      </c>
      <c r="G2004" s="72" t="s">
        <v>71</v>
      </c>
      <c r="H2004" s="72" t="s">
        <v>72</v>
      </c>
    </row>
    <row r="2005" spans="1:8" x14ac:dyDescent="0.25">
      <c r="A2005" s="72" t="s">
        <v>1973</v>
      </c>
      <c r="B2005" s="72" t="s">
        <v>102</v>
      </c>
      <c r="C2005" s="73">
        <v>76</v>
      </c>
      <c r="D2005" s="73">
        <v>2122763.1773642106</v>
      </c>
      <c r="E2005" s="72">
        <v>191048.68596277895</v>
      </c>
      <c r="F2005" s="72" t="s">
        <v>70</v>
      </c>
      <c r="G2005" s="72" t="s">
        <v>71</v>
      </c>
      <c r="H2005" s="72" t="s">
        <v>72</v>
      </c>
    </row>
    <row r="2006" spans="1:8" x14ac:dyDescent="0.25">
      <c r="A2006" s="43" t="s">
        <v>1379</v>
      </c>
      <c r="B2006" s="43" t="s">
        <v>85</v>
      </c>
      <c r="C2006" s="46">
        <v>76</v>
      </c>
      <c r="D2006" s="46">
        <v>2257062.4615587965</v>
      </c>
      <c r="E2006" s="43">
        <v>248276.87077146766</v>
      </c>
      <c r="F2006" s="43" t="s">
        <v>70</v>
      </c>
      <c r="G2006" s="43" t="s">
        <v>71</v>
      </c>
      <c r="H2006" s="43" t="s">
        <v>72</v>
      </c>
    </row>
    <row r="2007" spans="1:8" x14ac:dyDescent="0.25">
      <c r="A2007" s="72" t="s">
        <v>1380</v>
      </c>
      <c r="B2007" s="72" t="s">
        <v>107</v>
      </c>
      <c r="C2007" s="73">
        <v>76</v>
      </c>
      <c r="D2007" s="73">
        <v>2257062.4615587965</v>
      </c>
      <c r="E2007" s="72">
        <v>248276.87077146766</v>
      </c>
      <c r="F2007" s="72" t="s">
        <v>70</v>
      </c>
      <c r="G2007" s="72" t="s">
        <v>71</v>
      </c>
      <c r="H2007" s="72" t="s">
        <v>72</v>
      </c>
    </row>
    <row r="2008" spans="1:8" x14ac:dyDescent="0.25">
      <c r="A2008" s="72" t="s">
        <v>1135</v>
      </c>
      <c r="B2008" s="72" t="s">
        <v>269</v>
      </c>
      <c r="C2008" s="73">
        <v>76</v>
      </c>
      <c r="D2008" s="73">
        <v>2315575.9141078186</v>
      </c>
      <c r="E2008" s="72">
        <v>277869.10969293828</v>
      </c>
      <c r="F2008" s="72" t="s">
        <v>70</v>
      </c>
      <c r="G2008" s="72" t="s">
        <v>71</v>
      </c>
      <c r="H2008" s="72" t="s">
        <v>72</v>
      </c>
    </row>
    <row r="2009" spans="1:8" x14ac:dyDescent="0.25">
      <c r="A2009" s="43" t="s">
        <v>3105</v>
      </c>
      <c r="B2009" s="43" t="s">
        <v>74</v>
      </c>
      <c r="C2009" s="46">
        <v>76</v>
      </c>
      <c r="D2009" s="46">
        <v>1836711.464109981</v>
      </c>
      <c r="E2009" s="43">
        <v>110202.68784659888</v>
      </c>
      <c r="F2009" s="43" t="s">
        <v>70</v>
      </c>
      <c r="G2009" s="43" t="s">
        <v>71</v>
      </c>
      <c r="H2009" s="43" t="s">
        <v>72</v>
      </c>
    </row>
    <row r="2010" spans="1:8" x14ac:dyDescent="0.25">
      <c r="A2010" s="72" t="s">
        <v>919</v>
      </c>
      <c r="B2010" s="72" t="s">
        <v>102</v>
      </c>
      <c r="C2010" s="73">
        <v>76</v>
      </c>
      <c r="D2010" s="73">
        <v>2369847.5015033078</v>
      </c>
      <c r="E2010" s="72">
        <v>308080.17519543006</v>
      </c>
      <c r="F2010" s="72" t="s">
        <v>70</v>
      </c>
      <c r="G2010" s="72" t="s">
        <v>71</v>
      </c>
      <c r="H2010" s="72" t="s">
        <v>72</v>
      </c>
    </row>
    <row r="2011" spans="1:8" x14ac:dyDescent="0.25">
      <c r="A2011" s="72" t="s">
        <v>3186</v>
      </c>
      <c r="B2011" s="72" t="s">
        <v>127</v>
      </c>
      <c r="C2011" s="73">
        <v>76</v>
      </c>
      <c r="D2011" s="73">
        <v>1758178.3287133772</v>
      </c>
      <c r="E2011" s="72">
        <v>105490.69972280266</v>
      </c>
      <c r="F2011" s="72" t="s">
        <v>106</v>
      </c>
      <c r="G2011" s="72" t="s">
        <v>71</v>
      </c>
      <c r="H2011" s="72" t="s">
        <v>72</v>
      </c>
    </row>
    <row r="2012" spans="1:8" x14ac:dyDescent="0.25">
      <c r="A2012" s="43" t="s">
        <v>1136</v>
      </c>
      <c r="B2012" s="43" t="s">
        <v>102</v>
      </c>
      <c r="C2012" s="46">
        <v>76</v>
      </c>
      <c r="D2012" s="46">
        <v>2315575.9141078186</v>
      </c>
      <c r="E2012" s="43">
        <v>277869.10969293828</v>
      </c>
      <c r="F2012" s="43" t="s">
        <v>70</v>
      </c>
      <c r="G2012" s="43" t="s">
        <v>71</v>
      </c>
      <c r="H2012" s="43" t="s">
        <v>72</v>
      </c>
    </row>
    <row r="2013" spans="1:8" x14ac:dyDescent="0.25">
      <c r="A2013" s="72" t="s">
        <v>3106</v>
      </c>
      <c r="B2013" s="72" t="s">
        <v>211</v>
      </c>
      <c r="C2013" s="73">
        <v>76</v>
      </c>
      <c r="D2013" s="73">
        <v>1836711.464109981</v>
      </c>
      <c r="E2013" s="72">
        <v>110202.68784659888</v>
      </c>
      <c r="F2013" s="72" t="s">
        <v>70</v>
      </c>
      <c r="G2013" s="72" t="s">
        <v>71</v>
      </c>
      <c r="H2013" s="72" t="s">
        <v>72</v>
      </c>
    </row>
    <row r="2014" spans="1:8" x14ac:dyDescent="0.25">
      <c r="A2014" s="43" t="s">
        <v>1702</v>
      </c>
      <c r="B2014" s="43" t="s">
        <v>119</v>
      </c>
      <c r="C2014" s="46">
        <v>75</v>
      </c>
      <c r="D2014" s="46">
        <v>2163342.7111279974</v>
      </c>
      <c r="E2014" s="43">
        <v>216334.27111279976</v>
      </c>
      <c r="F2014" s="43" t="s">
        <v>70</v>
      </c>
      <c r="G2014" s="43" t="s">
        <v>71</v>
      </c>
      <c r="H2014" s="43" t="s">
        <v>72</v>
      </c>
    </row>
    <row r="2015" spans="1:8" x14ac:dyDescent="0.25">
      <c r="A2015" s="72" t="s">
        <v>1160</v>
      </c>
      <c r="B2015" s="72" t="s">
        <v>119</v>
      </c>
      <c r="C2015" s="73">
        <v>75</v>
      </c>
      <c r="D2015" s="73">
        <v>2284021.6339591509</v>
      </c>
      <c r="E2015" s="72">
        <v>274082.59607509815</v>
      </c>
      <c r="F2015" s="72" t="s">
        <v>70</v>
      </c>
      <c r="G2015" s="72" t="s">
        <v>71</v>
      </c>
      <c r="H2015" s="72" t="s">
        <v>72</v>
      </c>
    </row>
    <row r="2016" spans="1:8" x14ac:dyDescent="0.25">
      <c r="A2016" s="43" t="s">
        <v>751</v>
      </c>
      <c r="B2016" s="43" t="s">
        <v>400</v>
      </c>
      <c r="C2016" s="46">
        <v>75</v>
      </c>
      <c r="D2016" s="46">
        <v>2387673.5373923136</v>
      </c>
      <c r="E2016" s="43">
        <v>334274.29523492389</v>
      </c>
      <c r="F2016" s="43" t="s">
        <v>70</v>
      </c>
      <c r="G2016" s="43" t="s">
        <v>71</v>
      </c>
      <c r="H2016" s="43" t="s">
        <v>72</v>
      </c>
    </row>
    <row r="2017" spans="1:8" x14ac:dyDescent="0.25">
      <c r="A2017" s="72" t="s">
        <v>3208</v>
      </c>
      <c r="B2017" s="72" t="s">
        <v>77</v>
      </c>
      <c r="C2017" s="73">
        <v>75</v>
      </c>
      <c r="D2017" s="73">
        <v>1733969.2993308767</v>
      </c>
      <c r="E2017" s="72">
        <v>104038.15795985262</v>
      </c>
      <c r="F2017" s="72" t="s">
        <v>106</v>
      </c>
      <c r="G2017" s="72" t="s">
        <v>71</v>
      </c>
      <c r="H2017" s="72" t="s">
        <v>72</v>
      </c>
    </row>
    <row r="2018" spans="1:8" x14ac:dyDescent="0.25">
      <c r="A2018" s="72" t="s">
        <v>3572</v>
      </c>
      <c r="B2018" s="72" t="s">
        <v>73</v>
      </c>
      <c r="C2018" s="73">
        <v>75</v>
      </c>
      <c r="D2018" s="73">
        <v>1689512.5078937965</v>
      </c>
      <c r="E2018" s="72">
        <v>84475.625394689836</v>
      </c>
      <c r="F2018" s="72" t="s">
        <v>106</v>
      </c>
      <c r="G2018" s="72" t="s">
        <v>71</v>
      </c>
      <c r="H2018" s="72" t="s">
        <v>72</v>
      </c>
    </row>
    <row r="2019" spans="1:8" x14ac:dyDescent="0.25">
      <c r="A2019" s="43" t="s">
        <v>1995</v>
      </c>
      <c r="B2019" s="43" t="s">
        <v>74</v>
      </c>
      <c r="C2019" s="46">
        <v>75</v>
      </c>
      <c r="D2019" s="46">
        <v>2093745.906909538</v>
      </c>
      <c r="E2019" s="43">
        <v>188437.1316218584</v>
      </c>
      <c r="F2019" s="43" t="s">
        <v>70</v>
      </c>
      <c r="G2019" s="43" t="s">
        <v>71</v>
      </c>
      <c r="H2019" s="43" t="s">
        <v>72</v>
      </c>
    </row>
    <row r="2020" spans="1:8" x14ac:dyDescent="0.25">
      <c r="A2020" s="72" t="s">
        <v>2728</v>
      </c>
      <c r="B2020" s="72" t="s">
        <v>97</v>
      </c>
      <c r="C2020" s="73">
        <v>75</v>
      </c>
      <c r="D2020" s="73">
        <v>1923734.9320356431</v>
      </c>
      <c r="E2020" s="72">
        <v>134661.44524249501</v>
      </c>
      <c r="F2020" s="72" t="s">
        <v>70</v>
      </c>
      <c r="G2020" s="72" t="s">
        <v>71</v>
      </c>
      <c r="H2020" s="72" t="s">
        <v>72</v>
      </c>
    </row>
    <row r="2021" spans="1:8" x14ac:dyDescent="0.25">
      <c r="A2021" s="43" t="s">
        <v>1336</v>
      </c>
      <c r="B2021" s="43" t="s">
        <v>176</v>
      </c>
      <c r="C2021" s="46">
        <v>75</v>
      </c>
      <c r="D2021" s="46">
        <v>2296354.035879368</v>
      </c>
      <c r="E2021" s="43">
        <v>252598.94394673052</v>
      </c>
      <c r="F2021" s="43" t="s">
        <v>78</v>
      </c>
      <c r="G2021" s="43" t="s">
        <v>71</v>
      </c>
      <c r="H2021" s="43" t="s">
        <v>72</v>
      </c>
    </row>
    <row r="2022" spans="1:8" x14ac:dyDescent="0.25">
      <c r="A2022" s="43" t="s">
        <v>1583</v>
      </c>
      <c r="B2022" s="43" t="s">
        <v>202</v>
      </c>
      <c r="C2022" s="46">
        <v>75</v>
      </c>
      <c r="D2022" s="46">
        <v>2263005.4203318385</v>
      </c>
      <c r="E2022" s="43">
        <v>226300.54203318385</v>
      </c>
      <c r="F2022" s="43" t="s">
        <v>87</v>
      </c>
      <c r="G2022" s="43" t="s">
        <v>71</v>
      </c>
      <c r="H2022" s="43" t="s">
        <v>88</v>
      </c>
    </row>
    <row r="2023" spans="1:8" x14ac:dyDescent="0.25">
      <c r="A2023" s="72" t="s">
        <v>901</v>
      </c>
      <c r="B2023" s="72" t="s">
        <v>93</v>
      </c>
      <c r="C2023" s="73">
        <v>75</v>
      </c>
      <c r="D2023" s="73">
        <v>2384864.5045234887</v>
      </c>
      <c r="E2023" s="72">
        <v>310032.38558805356</v>
      </c>
      <c r="F2023" s="72" t="s">
        <v>87</v>
      </c>
      <c r="G2023" s="72" t="s">
        <v>71</v>
      </c>
      <c r="H2023" s="72" t="s">
        <v>88</v>
      </c>
    </row>
    <row r="2024" spans="1:8" x14ac:dyDescent="0.25">
      <c r="A2024" s="43" t="s">
        <v>1884</v>
      </c>
      <c r="B2024" s="43" t="s">
        <v>202</v>
      </c>
      <c r="C2024" s="46">
        <v>75</v>
      </c>
      <c r="D2024" s="46">
        <v>2214243.0315568252</v>
      </c>
      <c r="E2024" s="43">
        <v>199281.87284011426</v>
      </c>
      <c r="F2024" s="43" t="s">
        <v>87</v>
      </c>
      <c r="G2024" s="43" t="s">
        <v>71</v>
      </c>
      <c r="H2024" s="43" t="s">
        <v>88</v>
      </c>
    </row>
    <row r="2025" spans="1:8" x14ac:dyDescent="0.25">
      <c r="A2025" s="72" t="s">
        <v>4032</v>
      </c>
      <c r="B2025" s="72" t="s">
        <v>149</v>
      </c>
      <c r="C2025" s="73">
        <v>75</v>
      </c>
      <c r="D2025" s="73">
        <v>1631042.265631034</v>
      </c>
      <c r="E2025" s="72">
        <v>65241.690625241361</v>
      </c>
      <c r="F2025" s="72" t="s">
        <v>106</v>
      </c>
      <c r="G2025" s="72" t="s">
        <v>71</v>
      </c>
      <c r="H2025" s="72" t="s">
        <v>72</v>
      </c>
    </row>
    <row r="2026" spans="1:8" x14ac:dyDescent="0.25">
      <c r="A2026" s="72" t="s">
        <v>2662</v>
      </c>
      <c r="B2026" s="72" t="s">
        <v>73</v>
      </c>
      <c r="C2026" s="73">
        <v>75</v>
      </c>
      <c r="D2026" s="73">
        <v>1985961.1518435224</v>
      </c>
      <c r="E2026" s="72">
        <v>139017.28062904655</v>
      </c>
      <c r="F2026" s="72" t="s">
        <v>78</v>
      </c>
      <c r="G2026" s="72" t="s">
        <v>71</v>
      </c>
      <c r="H2026" s="72" t="s">
        <v>72</v>
      </c>
    </row>
    <row r="2027" spans="1:8" x14ac:dyDescent="0.25">
      <c r="A2027" s="72" t="s">
        <v>1584</v>
      </c>
      <c r="B2027" s="72" t="s">
        <v>73</v>
      </c>
      <c r="C2027" s="73">
        <v>75</v>
      </c>
      <c r="D2027" s="73">
        <v>2263005.4203318385</v>
      </c>
      <c r="E2027" s="72">
        <v>226300.54203318385</v>
      </c>
      <c r="F2027" s="72" t="s">
        <v>87</v>
      </c>
      <c r="G2027" s="72" t="s">
        <v>71</v>
      </c>
      <c r="H2027" s="72" t="s">
        <v>88</v>
      </c>
    </row>
    <row r="2028" spans="1:8" x14ac:dyDescent="0.25">
      <c r="A2028" s="43" t="s">
        <v>1577</v>
      </c>
      <c r="B2028" s="43" t="s">
        <v>257</v>
      </c>
      <c r="C2028" s="46">
        <v>75</v>
      </c>
      <c r="D2028" s="46">
        <v>1893886.11257761</v>
      </c>
      <c r="E2028" s="43">
        <v>227266.33350931318</v>
      </c>
      <c r="F2028" s="43" t="s">
        <v>106</v>
      </c>
      <c r="G2028" s="43" t="s">
        <v>71</v>
      </c>
      <c r="H2028" s="43" t="s">
        <v>72</v>
      </c>
    </row>
    <row r="2029" spans="1:8" x14ac:dyDescent="0.25">
      <c r="A2029" s="43" t="s">
        <v>2951</v>
      </c>
      <c r="B2029" s="43" t="s">
        <v>93</v>
      </c>
      <c r="C2029" s="46">
        <v>75</v>
      </c>
      <c r="D2029" s="46">
        <v>2020818.3196079074</v>
      </c>
      <c r="E2029" s="43">
        <v>121249.09917647444</v>
      </c>
      <c r="F2029" s="43" t="s">
        <v>87</v>
      </c>
      <c r="G2029" s="43" t="s">
        <v>71</v>
      </c>
      <c r="H2029" s="43" t="s">
        <v>88</v>
      </c>
    </row>
    <row r="2030" spans="1:8" x14ac:dyDescent="0.25">
      <c r="A2030" s="72" t="s">
        <v>1996</v>
      </c>
      <c r="B2030" s="72" t="s">
        <v>97</v>
      </c>
      <c r="C2030" s="73">
        <v>75</v>
      </c>
      <c r="D2030" s="73">
        <v>2093745.906909538</v>
      </c>
      <c r="E2030" s="72">
        <v>188437.1316218584</v>
      </c>
      <c r="F2030" s="72" t="s">
        <v>70</v>
      </c>
      <c r="G2030" s="72" t="s">
        <v>71</v>
      </c>
      <c r="H2030" s="72" t="s">
        <v>72</v>
      </c>
    </row>
    <row r="2031" spans="1:8" x14ac:dyDescent="0.25">
      <c r="A2031" s="43" t="s">
        <v>4546</v>
      </c>
      <c r="B2031" s="43" t="s">
        <v>73</v>
      </c>
      <c r="C2031" s="46">
        <v>75</v>
      </c>
      <c r="D2031" s="46">
        <v>1541439.0784652368</v>
      </c>
      <c r="E2031" s="43">
        <v>46243.17235395711</v>
      </c>
      <c r="F2031" s="43" t="s">
        <v>106</v>
      </c>
      <c r="G2031" s="43" t="s">
        <v>71</v>
      </c>
      <c r="H2031" s="43" t="s">
        <v>72</v>
      </c>
    </row>
    <row r="2032" spans="1:8" x14ac:dyDescent="0.25">
      <c r="A2032" s="72" t="s">
        <v>2265</v>
      </c>
      <c r="B2032" s="72" t="s">
        <v>75</v>
      </c>
      <c r="C2032" s="73">
        <v>75</v>
      </c>
      <c r="D2032" s="73">
        <v>2079791.6105951536</v>
      </c>
      <c r="E2032" s="72">
        <v>166383.32884761228</v>
      </c>
      <c r="F2032" s="72" t="s">
        <v>78</v>
      </c>
      <c r="G2032" s="72" t="s">
        <v>71</v>
      </c>
      <c r="H2032" s="72" t="s">
        <v>72</v>
      </c>
    </row>
    <row r="2033" spans="1:8" x14ac:dyDescent="0.25">
      <c r="A2033" s="43" t="s">
        <v>2337</v>
      </c>
      <c r="B2033" s="43" t="s">
        <v>113</v>
      </c>
      <c r="C2033" s="46">
        <v>75</v>
      </c>
      <c r="D2033" s="46">
        <v>2015192.4533175479</v>
      </c>
      <c r="E2033" s="43">
        <v>161215.39626540383</v>
      </c>
      <c r="F2033" s="43" t="s">
        <v>70</v>
      </c>
      <c r="G2033" s="43" t="s">
        <v>71</v>
      </c>
      <c r="H2033" s="43" t="s">
        <v>72</v>
      </c>
    </row>
    <row r="2034" spans="1:8" x14ac:dyDescent="0.25">
      <c r="A2034" s="72" t="s">
        <v>1329</v>
      </c>
      <c r="B2034" s="72" t="s">
        <v>93</v>
      </c>
      <c r="C2034" s="73">
        <v>75</v>
      </c>
      <c r="D2034" s="73">
        <v>2307106.9909897335</v>
      </c>
      <c r="E2034" s="72">
        <v>253781.76900887073</v>
      </c>
      <c r="F2034" s="72" t="s">
        <v>87</v>
      </c>
      <c r="G2034" s="72" t="s">
        <v>71</v>
      </c>
      <c r="H2034" s="72" t="s">
        <v>88</v>
      </c>
    </row>
    <row r="2035" spans="1:8" x14ac:dyDescent="0.25">
      <c r="A2035" s="43" t="s">
        <v>1161</v>
      </c>
      <c r="B2035" s="43" t="s">
        <v>102</v>
      </c>
      <c r="C2035" s="46">
        <v>75</v>
      </c>
      <c r="D2035" s="46">
        <v>2284021.6339591509</v>
      </c>
      <c r="E2035" s="43">
        <v>274082.59607509815</v>
      </c>
      <c r="F2035" s="43" t="s">
        <v>70</v>
      </c>
      <c r="G2035" s="43" t="s">
        <v>71</v>
      </c>
      <c r="H2035" s="43" t="s">
        <v>72</v>
      </c>
    </row>
    <row r="2036" spans="1:8" x14ac:dyDescent="0.25">
      <c r="A2036" s="43" t="s">
        <v>1098</v>
      </c>
      <c r="B2036" s="43" t="s">
        <v>127</v>
      </c>
      <c r="C2036" s="46">
        <v>75</v>
      </c>
      <c r="D2036" s="46">
        <v>2347501.1570756403</v>
      </c>
      <c r="E2036" s="43">
        <v>281700.13884907681</v>
      </c>
      <c r="F2036" s="43" t="s">
        <v>87</v>
      </c>
      <c r="G2036" s="43" t="s">
        <v>71</v>
      </c>
      <c r="H2036" s="43" t="s">
        <v>88</v>
      </c>
    </row>
    <row r="2037" spans="1:8" x14ac:dyDescent="0.25">
      <c r="A2037" s="72" t="s">
        <v>1162</v>
      </c>
      <c r="B2037" s="72" t="s">
        <v>112</v>
      </c>
      <c r="C2037" s="73">
        <v>75</v>
      </c>
      <c r="D2037" s="73">
        <v>2284021.6339591509</v>
      </c>
      <c r="E2037" s="72">
        <v>274082.59607509815</v>
      </c>
      <c r="F2037" s="72" t="s">
        <v>70</v>
      </c>
      <c r="G2037" s="72" t="s">
        <v>71</v>
      </c>
      <c r="H2037" s="72" t="s">
        <v>72</v>
      </c>
    </row>
    <row r="2038" spans="1:8" x14ac:dyDescent="0.25">
      <c r="A2038" s="72" t="s">
        <v>2094</v>
      </c>
      <c r="B2038" s="72" t="s">
        <v>77</v>
      </c>
      <c r="C2038" s="73">
        <v>75</v>
      </c>
      <c r="D2038" s="73">
        <v>2003846.7761418996</v>
      </c>
      <c r="E2038" s="72">
        <v>180346.20985277096</v>
      </c>
      <c r="F2038" s="72" t="s">
        <v>84</v>
      </c>
      <c r="G2038" s="72" t="s">
        <v>71</v>
      </c>
      <c r="H2038" s="72" t="s">
        <v>72</v>
      </c>
    </row>
    <row r="2039" spans="1:8" x14ac:dyDescent="0.25">
      <c r="A2039" s="72" t="s">
        <v>1099</v>
      </c>
      <c r="B2039" s="72" t="s">
        <v>77</v>
      </c>
      <c r="C2039" s="73">
        <v>75</v>
      </c>
      <c r="D2039" s="73">
        <v>2347501.1570756403</v>
      </c>
      <c r="E2039" s="72">
        <v>281700.13884907681</v>
      </c>
      <c r="F2039" s="72" t="s">
        <v>87</v>
      </c>
      <c r="G2039" s="72" t="s">
        <v>71</v>
      </c>
      <c r="H2039" s="72" t="s">
        <v>88</v>
      </c>
    </row>
    <row r="2040" spans="1:8" x14ac:dyDescent="0.25">
      <c r="A2040" s="43" t="s">
        <v>3606</v>
      </c>
      <c r="B2040" s="43" t="s">
        <v>211</v>
      </c>
      <c r="C2040" s="46">
        <v>75</v>
      </c>
      <c r="D2040" s="46">
        <v>1657056.2131984956</v>
      </c>
      <c r="E2040" s="43">
        <v>82852.810659924784</v>
      </c>
      <c r="F2040" s="43" t="s">
        <v>70</v>
      </c>
      <c r="G2040" s="43" t="s">
        <v>71</v>
      </c>
      <c r="H2040" s="43" t="s">
        <v>72</v>
      </c>
    </row>
    <row r="2041" spans="1:8" x14ac:dyDescent="0.25">
      <c r="A2041" s="72" t="s">
        <v>3607</v>
      </c>
      <c r="B2041" s="72" t="s">
        <v>85</v>
      </c>
      <c r="C2041" s="73">
        <v>75</v>
      </c>
      <c r="D2041" s="73">
        <v>1657056.2131984956</v>
      </c>
      <c r="E2041" s="72">
        <v>82852.810659924784</v>
      </c>
      <c r="F2041" s="72" t="s">
        <v>70</v>
      </c>
      <c r="G2041" s="72" t="s">
        <v>71</v>
      </c>
      <c r="H2041" s="72" t="s">
        <v>72</v>
      </c>
    </row>
    <row r="2042" spans="1:8" x14ac:dyDescent="0.25">
      <c r="A2042" s="72" t="s">
        <v>1409</v>
      </c>
      <c r="B2042" s="72" t="s">
        <v>75</v>
      </c>
      <c r="C2042" s="73">
        <v>75</v>
      </c>
      <c r="D2042" s="73">
        <v>2226278.0952594583</v>
      </c>
      <c r="E2042" s="72">
        <v>244890.59047854046</v>
      </c>
      <c r="F2042" s="72" t="s">
        <v>70</v>
      </c>
      <c r="G2042" s="72" t="s">
        <v>71</v>
      </c>
      <c r="H2042" s="72" t="s">
        <v>72</v>
      </c>
    </row>
    <row r="2043" spans="1:8" x14ac:dyDescent="0.25">
      <c r="A2043" s="43" t="s">
        <v>1410</v>
      </c>
      <c r="B2043" s="43" t="s">
        <v>77</v>
      </c>
      <c r="C2043" s="46">
        <v>75</v>
      </c>
      <c r="D2043" s="46">
        <v>2226278.0952594583</v>
      </c>
      <c r="E2043" s="43">
        <v>244890.59047854046</v>
      </c>
      <c r="F2043" s="43" t="s">
        <v>70</v>
      </c>
      <c r="G2043" s="43" t="s">
        <v>71</v>
      </c>
      <c r="H2043" s="43" t="s">
        <v>72</v>
      </c>
    </row>
    <row r="2044" spans="1:8" x14ac:dyDescent="0.25">
      <c r="A2044" s="43" t="s">
        <v>2663</v>
      </c>
      <c r="B2044" s="43" t="s">
        <v>115</v>
      </c>
      <c r="C2044" s="46">
        <v>75</v>
      </c>
      <c r="D2044" s="46">
        <v>1985961.1518435224</v>
      </c>
      <c r="E2044" s="43">
        <v>139017.28062904655</v>
      </c>
      <c r="F2044" s="43" t="s">
        <v>78</v>
      </c>
      <c r="G2044" s="43" t="s">
        <v>71</v>
      </c>
      <c r="H2044" s="43" t="s">
        <v>72</v>
      </c>
    </row>
    <row r="2045" spans="1:8" x14ac:dyDescent="0.25">
      <c r="A2045" s="72" t="s">
        <v>1703</v>
      </c>
      <c r="B2045" s="72" t="s">
        <v>145</v>
      </c>
      <c r="C2045" s="73">
        <v>75</v>
      </c>
      <c r="D2045" s="73">
        <v>2163342.7111279974</v>
      </c>
      <c r="E2045" s="72">
        <v>216334.27111279976</v>
      </c>
      <c r="F2045" s="72" t="s">
        <v>70</v>
      </c>
      <c r="G2045" s="72" t="s">
        <v>71</v>
      </c>
      <c r="H2045" s="72" t="s">
        <v>72</v>
      </c>
    </row>
    <row r="2046" spans="1:8" x14ac:dyDescent="0.25">
      <c r="A2046" s="72" t="s">
        <v>1765</v>
      </c>
      <c r="B2046" s="72" t="s">
        <v>83</v>
      </c>
      <c r="C2046" s="73">
        <v>75</v>
      </c>
      <c r="D2046" s="73">
        <v>2099144.3021959295</v>
      </c>
      <c r="E2046" s="72">
        <v>209914.43021959296</v>
      </c>
      <c r="F2046" s="72" t="s">
        <v>84</v>
      </c>
      <c r="G2046" s="72" t="s">
        <v>71</v>
      </c>
      <c r="H2046" s="72" t="s">
        <v>72</v>
      </c>
    </row>
    <row r="2047" spans="1:8" x14ac:dyDescent="0.25">
      <c r="A2047" s="72" t="s">
        <v>2664</v>
      </c>
      <c r="B2047" s="72" t="s">
        <v>83</v>
      </c>
      <c r="C2047" s="73">
        <v>75</v>
      </c>
      <c r="D2047" s="73">
        <v>1985961.1518435224</v>
      </c>
      <c r="E2047" s="72">
        <v>139017.28062904655</v>
      </c>
      <c r="F2047" s="72" t="s">
        <v>78</v>
      </c>
      <c r="G2047" s="72" t="s">
        <v>71</v>
      </c>
      <c r="H2047" s="72" t="s">
        <v>72</v>
      </c>
    </row>
    <row r="2048" spans="1:8" x14ac:dyDescent="0.25">
      <c r="A2048" s="43" t="s">
        <v>967</v>
      </c>
      <c r="B2048" s="43" t="s">
        <v>119</v>
      </c>
      <c r="C2048" s="46">
        <v>74</v>
      </c>
      <c r="D2048" s="46">
        <v>2305340.6970002744</v>
      </c>
      <c r="E2048" s="43">
        <v>299694.29061003571</v>
      </c>
      <c r="F2048" s="43" t="s">
        <v>70</v>
      </c>
      <c r="G2048" s="43" t="s">
        <v>71</v>
      </c>
      <c r="H2048" s="43" t="s">
        <v>72</v>
      </c>
    </row>
    <row r="2049" spans="1:8" x14ac:dyDescent="0.25">
      <c r="A2049" s="43" t="s">
        <v>3905</v>
      </c>
      <c r="B2049" s="43" t="s">
        <v>77</v>
      </c>
      <c r="C2049" s="46">
        <v>74</v>
      </c>
      <c r="D2049" s="46">
        <v>1761125.661723213</v>
      </c>
      <c r="E2049" s="43">
        <v>70445.026468928525</v>
      </c>
      <c r="F2049" s="43" t="s">
        <v>87</v>
      </c>
      <c r="G2049" s="43" t="s">
        <v>71</v>
      </c>
      <c r="H2049" s="43" t="s">
        <v>88</v>
      </c>
    </row>
    <row r="2050" spans="1:8" x14ac:dyDescent="0.25">
      <c r="A2050" s="72" t="s">
        <v>1433</v>
      </c>
      <c r="B2050" s="72" t="s">
        <v>73</v>
      </c>
      <c r="C2050" s="73">
        <v>74</v>
      </c>
      <c r="D2050" s="73">
        <v>2195523.684422723</v>
      </c>
      <c r="E2050" s="72">
        <v>241507.60528649957</v>
      </c>
      <c r="F2050" s="72" t="s">
        <v>70</v>
      </c>
      <c r="G2050" s="72" t="s">
        <v>71</v>
      </c>
      <c r="H2050" s="72" t="s">
        <v>72</v>
      </c>
    </row>
    <row r="2051" spans="1:8" x14ac:dyDescent="0.25">
      <c r="A2051" s="72" t="s">
        <v>968</v>
      </c>
      <c r="B2051" s="72" t="s">
        <v>79</v>
      </c>
      <c r="C2051" s="73">
        <v>74</v>
      </c>
      <c r="D2051" s="73">
        <v>2305340.6970002744</v>
      </c>
      <c r="E2051" s="72">
        <v>299694.29061003571</v>
      </c>
      <c r="F2051" s="72" t="s">
        <v>70</v>
      </c>
      <c r="G2051" s="72" t="s">
        <v>71</v>
      </c>
      <c r="H2051" s="72" t="s">
        <v>72</v>
      </c>
    </row>
    <row r="2052" spans="1:8" x14ac:dyDescent="0.25">
      <c r="A2052" s="72" t="s">
        <v>2756</v>
      </c>
      <c r="B2052" s="72" t="s">
        <v>176</v>
      </c>
      <c r="C2052" s="73">
        <v>74</v>
      </c>
      <c r="D2052" s="73">
        <v>1897014.4300418925</v>
      </c>
      <c r="E2052" s="72">
        <v>132791.01010293246</v>
      </c>
      <c r="F2052" s="72" t="s">
        <v>70</v>
      </c>
      <c r="G2052" s="72" t="s">
        <v>71</v>
      </c>
      <c r="H2052" s="72" t="s">
        <v>72</v>
      </c>
    </row>
    <row r="2053" spans="1:8" x14ac:dyDescent="0.25">
      <c r="A2053" s="43" t="s">
        <v>1655</v>
      </c>
      <c r="B2053" s="43" t="s">
        <v>176</v>
      </c>
      <c r="C2053" s="46">
        <v>74</v>
      </c>
      <c r="D2053" s="46">
        <v>2200783.3685812494</v>
      </c>
      <c r="E2053" s="43">
        <v>220078.33685812494</v>
      </c>
      <c r="F2053" s="43" t="s">
        <v>78</v>
      </c>
      <c r="G2053" s="43" t="s">
        <v>71</v>
      </c>
      <c r="H2053" s="43" t="s">
        <v>72</v>
      </c>
    </row>
    <row r="2054" spans="1:8" x14ac:dyDescent="0.25">
      <c r="A2054" s="72" t="s">
        <v>1137</v>
      </c>
      <c r="B2054" s="72" t="s">
        <v>93</v>
      </c>
      <c r="C2054" s="73">
        <v>74</v>
      </c>
      <c r="D2054" s="73">
        <v>2315277.7977124006</v>
      </c>
      <c r="E2054" s="72">
        <v>277833.33572548808</v>
      </c>
      <c r="F2054" s="72" t="s">
        <v>87</v>
      </c>
      <c r="G2054" s="72" t="s">
        <v>71</v>
      </c>
      <c r="H2054" s="72" t="s">
        <v>88</v>
      </c>
    </row>
    <row r="2055" spans="1:8" x14ac:dyDescent="0.25">
      <c r="A2055" s="43" t="s">
        <v>2601</v>
      </c>
      <c r="B2055" s="43" t="s">
        <v>257</v>
      </c>
      <c r="C2055" s="46">
        <v>74</v>
      </c>
      <c r="D2055" s="46">
        <v>1776059.2948647204</v>
      </c>
      <c r="E2055" s="43">
        <v>142084.74358917764</v>
      </c>
      <c r="F2055" s="43" t="s">
        <v>106</v>
      </c>
      <c r="G2055" s="43" t="s">
        <v>71</v>
      </c>
      <c r="H2055" s="43" t="s">
        <v>72</v>
      </c>
    </row>
    <row r="2056" spans="1:8" x14ac:dyDescent="0.25">
      <c r="A2056" s="43" t="s">
        <v>930</v>
      </c>
      <c r="B2056" s="43" t="s">
        <v>73</v>
      </c>
      <c r="C2056" s="46">
        <v>74</v>
      </c>
      <c r="D2056" s="46">
        <v>2352142.9671942773</v>
      </c>
      <c r="E2056" s="43">
        <v>305778.58573525609</v>
      </c>
      <c r="F2056" s="43" t="s">
        <v>87</v>
      </c>
      <c r="G2056" s="43" t="s">
        <v>71</v>
      </c>
      <c r="H2056" s="43" t="s">
        <v>88</v>
      </c>
    </row>
    <row r="2057" spans="1:8" x14ac:dyDescent="0.25">
      <c r="A2057" s="43" t="s">
        <v>2028</v>
      </c>
      <c r="B2057" s="43" t="s">
        <v>85</v>
      </c>
      <c r="C2057" s="46">
        <v>74</v>
      </c>
      <c r="D2057" s="46">
        <v>2064758.5919174687</v>
      </c>
      <c r="E2057" s="43">
        <v>185828.27327257217</v>
      </c>
      <c r="F2057" s="43" t="s">
        <v>70</v>
      </c>
      <c r="G2057" s="43" t="s">
        <v>71</v>
      </c>
      <c r="H2057" s="43" t="s">
        <v>72</v>
      </c>
    </row>
    <row r="2058" spans="1:8" x14ac:dyDescent="0.25">
      <c r="A2058" s="43" t="s">
        <v>4066</v>
      </c>
      <c r="B2058" s="43" t="s">
        <v>291</v>
      </c>
      <c r="C2058" s="46">
        <v>74</v>
      </c>
      <c r="D2058" s="46">
        <v>1608235.4794587425</v>
      </c>
      <c r="E2058" s="43">
        <v>64329.419178349701</v>
      </c>
      <c r="F2058" s="43" t="s">
        <v>106</v>
      </c>
      <c r="G2058" s="43" t="s">
        <v>71</v>
      </c>
      <c r="H2058" s="43" t="s">
        <v>72</v>
      </c>
    </row>
    <row r="2059" spans="1:8" x14ac:dyDescent="0.25">
      <c r="A2059" s="43" t="s">
        <v>1193</v>
      </c>
      <c r="B2059" s="43" t="s">
        <v>179</v>
      </c>
      <c r="C2059" s="46">
        <v>74</v>
      </c>
      <c r="D2059" s="46">
        <v>2252497.309273087</v>
      </c>
      <c r="E2059" s="43">
        <v>270299.6771127705</v>
      </c>
      <c r="F2059" s="43" t="s">
        <v>70</v>
      </c>
      <c r="G2059" s="43" t="s">
        <v>71</v>
      </c>
      <c r="H2059" s="43" t="s">
        <v>72</v>
      </c>
    </row>
    <row r="2060" spans="1:8" x14ac:dyDescent="0.25">
      <c r="A2060" s="72" t="s">
        <v>907</v>
      </c>
      <c r="B2060" s="72" t="s">
        <v>75</v>
      </c>
      <c r="C2060" s="73">
        <v>74</v>
      </c>
      <c r="D2060" s="73">
        <v>2377157.0518099135</v>
      </c>
      <c r="E2060" s="72">
        <v>309030.41673528875</v>
      </c>
      <c r="F2060" s="72" t="s">
        <v>78</v>
      </c>
      <c r="G2060" s="72" t="s">
        <v>71</v>
      </c>
      <c r="H2060" s="72" t="s">
        <v>72</v>
      </c>
    </row>
    <row r="2061" spans="1:8" x14ac:dyDescent="0.25">
      <c r="A2061" s="43" t="s">
        <v>2687</v>
      </c>
      <c r="B2061" s="43" t="s">
        <v>383</v>
      </c>
      <c r="C2061" s="46">
        <v>74</v>
      </c>
      <c r="D2061" s="46">
        <v>1958236.4380426735</v>
      </c>
      <c r="E2061" s="43">
        <v>137076.55066298714</v>
      </c>
      <c r="F2061" s="43" t="s">
        <v>78</v>
      </c>
      <c r="G2061" s="43" t="s">
        <v>71</v>
      </c>
      <c r="H2061" s="43" t="s">
        <v>72</v>
      </c>
    </row>
    <row r="2062" spans="1:8" x14ac:dyDescent="0.25">
      <c r="A2062" s="72" t="s">
        <v>1656</v>
      </c>
      <c r="B2062" s="72" t="s">
        <v>383</v>
      </c>
      <c r="C2062" s="73">
        <v>74</v>
      </c>
      <c r="D2062" s="73">
        <v>2200783.3685812494</v>
      </c>
      <c r="E2062" s="72">
        <v>220078.33685812494</v>
      </c>
      <c r="F2062" s="72" t="s">
        <v>78</v>
      </c>
      <c r="G2062" s="72" t="s">
        <v>71</v>
      </c>
      <c r="H2062" s="72" t="s">
        <v>72</v>
      </c>
    </row>
    <row r="2063" spans="1:8" x14ac:dyDescent="0.25">
      <c r="A2063" s="43" t="s">
        <v>3628</v>
      </c>
      <c r="B2063" s="43" t="s">
        <v>102</v>
      </c>
      <c r="C2063" s="46">
        <v>74</v>
      </c>
      <c r="D2063" s="46">
        <v>1633891.4274559065</v>
      </c>
      <c r="E2063" s="43">
        <v>81694.571372795326</v>
      </c>
      <c r="F2063" s="43" t="s">
        <v>70</v>
      </c>
      <c r="G2063" s="43" t="s">
        <v>71</v>
      </c>
      <c r="H2063" s="43" t="s">
        <v>72</v>
      </c>
    </row>
    <row r="2064" spans="1:8" x14ac:dyDescent="0.25">
      <c r="A2064" s="43" t="s">
        <v>2757</v>
      </c>
      <c r="B2064" s="43" t="s">
        <v>97</v>
      </c>
      <c r="C2064" s="46">
        <v>74</v>
      </c>
      <c r="D2064" s="46">
        <v>1897014.4300418925</v>
      </c>
      <c r="E2064" s="43">
        <v>132791.01010293246</v>
      </c>
      <c r="F2064" s="43" t="s">
        <v>70</v>
      </c>
      <c r="G2064" s="43" t="s">
        <v>71</v>
      </c>
      <c r="H2064" s="43" t="s">
        <v>72</v>
      </c>
    </row>
    <row r="2065" spans="1:8" x14ac:dyDescent="0.25">
      <c r="A2065" s="72" t="s">
        <v>3629</v>
      </c>
      <c r="B2065" s="72" t="s">
        <v>85</v>
      </c>
      <c r="C2065" s="73">
        <v>74</v>
      </c>
      <c r="D2065" s="73">
        <v>1633891.4274559065</v>
      </c>
      <c r="E2065" s="72">
        <v>81694.571372795326</v>
      </c>
      <c r="F2065" s="72" t="s">
        <v>70</v>
      </c>
      <c r="G2065" s="72" t="s">
        <v>71</v>
      </c>
      <c r="H2065" s="72" t="s">
        <v>72</v>
      </c>
    </row>
    <row r="2066" spans="1:8" x14ac:dyDescent="0.25">
      <c r="A2066" s="43" t="s">
        <v>1130</v>
      </c>
      <c r="B2066" s="43" t="s">
        <v>75</v>
      </c>
      <c r="C2066" s="46">
        <v>74</v>
      </c>
      <c r="D2066" s="46">
        <v>2322942.6007408868</v>
      </c>
      <c r="E2066" s="43">
        <v>278753.11208890646</v>
      </c>
      <c r="F2066" s="43" t="s">
        <v>78</v>
      </c>
      <c r="G2066" s="43" t="s">
        <v>71</v>
      </c>
      <c r="H2066" s="43" t="s">
        <v>72</v>
      </c>
    </row>
    <row r="2067" spans="1:8" x14ac:dyDescent="0.25">
      <c r="A2067" s="43" t="s">
        <v>3149</v>
      </c>
      <c r="B2067" s="43" t="s">
        <v>73</v>
      </c>
      <c r="C2067" s="46">
        <v>74</v>
      </c>
      <c r="D2067" s="46">
        <v>1786234.5553278239</v>
      </c>
      <c r="E2067" s="43">
        <v>107174.07331966945</v>
      </c>
      <c r="F2067" s="43" t="s">
        <v>70</v>
      </c>
      <c r="G2067" s="43" t="s">
        <v>71</v>
      </c>
      <c r="H2067" s="43" t="s">
        <v>72</v>
      </c>
    </row>
    <row r="2068" spans="1:8" x14ac:dyDescent="0.25">
      <c r="A2068" s="72" t="s">
        <v>3150</v>
      </c>
      <c r="B2068" s="72" t="s">
        <v>103</v>
      </c>
      <c r="C2068" s="73">
        <v>74</v>
      </c>
      <c r="D2068" s="73">
        <v>1786234.5553278239</v>
      </c>
      <c r="E2068" s="72">
        <v>107174.07331966945</v>
      </c>
      <c r="F2068" s="72" t="s">
        <v>70</v>
      </c>
      <c r="G2068" s="72" t="s">
        <v>71</v>
      </c>
      <c r="H2068" s="72" t="s">
        <v>72</v>
      </c>
    </row>
    <row r="2069" spans="1:8" x14ac:dyDescent="0.25">
      <c r="A2069" s="43" t="s">
        <v>969</v>
      </c>
      <c r="B2069" s="43" t="s">
        <v>105</v>
      </c>
      <c r="C2069" s="46">
        <v>74</v>
      </c>
      <c r="D2069" s="46">
        <v>2305340.6970002744</v>
      </c>
      <c r="E2069" s="43">
        <v>299694.29061003571</v>
      </c>
      <c r="F2069" s="43" t="s">
        <v>70</v>
      </c>
      <c r="G2069" s="43" t="s">
        <v>71</v>
      </c>
      <c r="H2069" s="43" t="s">
        <v>72</v>
      </c>
    </row>
    <row r="2070" spans="1:8" x14ac:dyDescent="0.25">
      <c r="A2070" s="72" t="s">
        <v>3375</v>
      </c>
      <c r="B2070" s="72" t="s">
        <v>73</v>
      </c>
      <c r="C2070" s="73">
        <v>74</v>
      </c>
      <c r="D2070" s="73">
        <v>1898386.3077812064</v>
      </c>
      <c r="E2070" s="72">
        <v>94919.315389060328</v>
      </c>
      <c r="F2070" s="72" t="s">
        <v>87</v>
      </c>
      <c r="G2070" s="72" t="s">
        <v>71</v>
      </c>
      <c r="H2070" s="72" t="s">
        <v>88</v>
      </c>
    </row>
    <row r="2071" spans="1:8" x14ac:dyDescent="0.25">
      <c r="A2071" s="72" t="s">
        <v>1723</v>
      </c>
      <c r="B2071" s="72" t="s">
        <v>107</v>
      </c>
      <c r="C2071" s="73">
        <v>74</v>
      </c>
      <c r="D2071" s="73">
        <v>2133427.438746349</v>
      </c>
      <c r="E2071" s="72">
        <v>213342.74387463491</v>
      </c>
      <c r="F2071" s="72" t="s">
        <v>70</v>
      </c>
      <c r="G2071" s="72" t="s">
        <v>71</v>
      </c>
      <c r="H2071" s="72" t="s">
        <v>72</v>
      </c>
    </row>
    <row r="2072" spans="1:8" x14ac:dyDescent="0.25">
      <c r="A2072" s="43" t="s">
        <v>3151</v>
      </c>
      <c r="B2072" s="43" t="s">
        <v>112</v>
      </c>
      <c r="C2072" s="46">
        <v>74</v>
      </c>
      <c r="D2072" s="46">
        <v>1786234.5553278239</v>
      </c>
      <c r="E2072" s="43">
        <v>107174.07331966945</v>
      </c>
      <c r="F2072" s="43" t="s">
        <v>70</v>
      </c>
      <c r="G2072" s="43" t="s">
        <v>71</v>
      </c>
      <c r="H2072" s="43" t="s">
        <v>72</v>
      </c>
    </row>
    <row r="2073" spans="1:8" x14ac:dyDescent="0.25">
      <c r="A2073" s="43" t="s">
        <v>1434</v>
      </c>
      <c r="B2073" s="43" t="s">
        <v>112</v>
      </c>
      <c r="C2073" s="46">
        <v>74</v>
      </c>
      <c r="D2073" s="46">
        <v>2195523.684422723</v>
      </c>
      <c r="E2073" s="43">
        <v>241507.60528649957</v>
      </c>
      <c r="F2073" s="43" t="s">
        <v>70</v>
      </c>
      <c r="G2073" s="43" t="s">
        <v>71</v>
      </c>
      <c r="H2073" s="43" t="s">
        <v>72</v>
      </c>
    </row>
    <row r="2074" spans="1:8" x14ac:dyDescent="0.25">
      <c r="A2074" s="72" t="s">
        <v>970</v>
      </c>
      <c r="B2074" s="72" t="s">
        <v>112</v>
      </c>
      <c r="C2074" s="73">
        <v>74</v>
      </c>
      <c r="D2074" s="73">
        <v>2305340.6970002744</v>
      </c>
      <c r="E2074" s="72">
        <v>299694.29061003571</v>
      </c>
      <c r="F2074" s="72" t="s">
        <v>70</v>
      </c>
      <c r="G2074" s="72" t="s">
        <v>71</v>
      </c>
      <c r="H2074" s="72" t="s">
        <v>72</v>
      </c>
    </row>
    <row r="2075" spans="1:8" x14ac:dyDescent="0.25">
      <c r="A2075" s="72" t="s">
        <v>778</v>
      </c>
      <c r="B2075" s="72" t="s">
        <v>113</v>
      </c>
      <c r="C2075" s="73">
        <v>74</v>
      </c>
      <c r="D2075" s="73">
        <v>2354767.1873271405</v>
      </c>
      <c r="E2075" s="72">
        <v>329667.40622579964</v>
      </c>
      <c r="F2075" s="72" t="s">
        <v>70</v>
      </c>
      <c r="G2075" s="72" t="s">
        <v>71</v>
      </c>
      <c r="H2075" s="72" t="s">
        <v>72</v>
      </c>
    </row>
    <row r="2076" spans="1:8" x14ac:dyDescent="0.25">
      <c r="A2076" s="43" t="s">
        <v>779</v>
      </c>
      <c r="B2076" s="43" t="s">
        <v>400</v>
      </c>
      <c r="C2076" s="46">
        <v>74</v>
      </c>
      <c r="D2076" s="46">
        <v>2354767.1873271405</v>
      </c>
      <c r="E2076" s="43">
        <v>329667.40622579964</v>
      </c>
      <c r="F2076" s="43" t="s">
        <v>70</v>
      </c>
      <c r="G2076" s="43" t="s">
        <v>71</v>
      </c>
      <c r="H2076" s="43" t="s">
        <v>72</v>
      </c>
    </row>
    <row r="2077" spans="1:8" x14ac:dyDescent="0.25">
      <c r="A2077" s="43" t="s">
        <v>1724</v>
      </c>
      <c r="B2077" s="43" t="s">
        <v>102</v>
      </c>
      <c r="C2077" s="46">
        <v>74</v>
      </c>
      <c r="D2077" s="46">
        <v>2133427.438746349</v>
      </c>
      <c r="E2077" s="43">
        <v>213342.74387463491</v>
      </c>
      <c r="F2077" s="43" t="s">
        <v>70</v>
      </c>
      <c r="G2077" s="43" t="s">
        <v>71</v>
      </c>
      <c r="H2077" s="43" t="s">
        <v>72</v>
      </c>
    </row>
    <row r="2078" spans="1:8" x14ac:dyDescent="0.25">
      <c r="A2078" s="72" t="s">
        <v>780</v>
      </c>
      <c r="B2078" s="72" t="s">
        <v>97</v>
      </c>
      <c r="C2078" s="73">
        <v>74</v>
      </c>
      <c r="D2078" s="73">
        <v>2354767.1873271405</v>
      </c>
      <c r="E2078" s="72">
        <v>329667.40622579964</v>
      </c>
      <c r="F2078" s="72" t="s">
        <v>70</v>
      </c>
      <c r="G2078" s="72" t="s">
        <v>71</v>
      </c>
      <c r="H2078" s="72" t="s">
        <v>72</v>
      </c>
    </row>
    <row r="2079" spans="1:8" x14ac:dyDescent="0.25">
      <c r="A2079" s="72" t="s">
        <v>931</v>
      </c>
      <c r="B2079" s="72" t="s">
        <v>83</v>
      </c>
      <c r="C2079" s="73">
        <v>74</v>
      </c>
      <c r="D2079" s="73">
        <v>2352142.9671942773</v>
      </c>
      <c r="E2079" s="72">
        <v>305778.58573525609</v>
      </c>
      <c r="F2079" s="72" t="s">
        <v>87</v>
      </c>
      <c r="G2079" s="72" t="s">
        <v>71</v>
      </c>
      <c r="H2079" s="72" t="s">
        <v>88</v>
      </c>
    </row>
    <row r="2080" spans="1:8" x14ac:dyDescent="0.25">
      <c r="A2080" s="72" t="s">
        <v>3236</v>
      </c>
      <c r="B2080" s="72" t="s">
        <v>75</v>
      </c>
      <c r="C2080" s="73">
        <v>74</v>
      </c>
      <c r="D2080" s="73">
        <v>1709790.1527092538</v>
      </c>
      <c r="E2080" s="72">
        <v>102587.40916255525</v>
      </c>
      <c r="F2080" s="72" t="s">
        <v>106</v>
      </c>
      <c r="G2080" s="72" t="s">
        <v>71</v>
      </c>
      <c r="H2080" s="72" t="s">
        <v>72</v>
      </c>
    </row>
    <row r="2081" spans="1:8" x14ac:dyDescent="0.25">
      <c r="A2081" s="72" t="s">
        <v>2029</v>
      </c>
      <c r="B2081" s="72" t="s">
        <v>210</v>
      </c>
      <c r="C2081" s="73">
        <v>74</v>
      </c>
      <c r="D2081" s="73">
        <v>2064758.5919174687</v>
      </c>
      <c r="E2081" s="72">
        <v>185828.27327257217</v>
      </c>
      <c r="F2081" s="72" t="s">
        <v>70</v>
      </c>
      <c r="G2081" s="72" t="s">
        <v>71</v>
      </c>
      <c r="H2081" s="72" t="s">
        <v>72</v>
      </c>
    </row>
    <row r="2082" spans="1:8" x14ac:dyDescent="0.25">
      <c r="A2082" s="72" t="s">
        <v>3152</v>
      </c>
      <c r="B2082" s="72" t="s">
        <v>97</v>
      </c>
      <c r="C2082" s="73">
        <v>74</v>
      </c>
      <c r="D2082" s="73">
        <v>1786234.5553278239</v>
      </c>
      <c r="E2082" s="72">
        <v>107174.07331966945</v>
      </c>
      <c r="F2082" s="72" t="s">
        <v>70</v>
      </c>
      <c r="G2082" s="72" t="s">
        <v>71</v>
      </c>
      <c r="H2082" s="72" t="s">
        <v>72</v>
      </c>
    </row>
    <row r="2083" spans="1:8" x14ac:dyDescent="0.25">
      <c r="A2083" s="43" t="s">
        <v>3630</v>
      </c>
      <c r="B2083" s="43" t="s">
        <v>75</v>
      </c>
      <c r="C2083" s="46">
        <v>74</v>
      </c>
      <c r="D2083" s="46">
        <v>1633891.4274559065</v>
      </c>
      <c r="E2083" s="43">
        <v>81694.571372795326</v>
      </c>
      <c r="F2083" s="43" t="s">
        <v>70</v>
      </c>
      <c r="G2083" s="43" t="s">
        <v>71</v>
      </c>
      <c r="H2083" s="43" t="s">
        <v>72</v>
      </c>
    </row>
    <row r="2084" spans="1:8" x14ac:dyDescent="0.25">
      <c r="A2084" s="72" t="s">
        <v>1194</v>
      </c>
      <c r="B2084" s="72" t="s">
        <v>102</v>
      </c>
      <c r="C2084" s="73">
        <v>74</v>
      </c>
      <c r="D2084" s="73">
        <v>2252497.309273087</v>
      </c>
      <c r="E2084" s="72">
        <v>270299.6771127705</v>
      </c>
      <c r="F2084" s="72" t="s">
        <v>70</v>
      </c>
      <c r="G2084" s="72" t="s">
        <v>71</v>
      </c>
      <c r="H2084" s="72" t="s">
        <v>72</v>
      </c>
    </row>
    <row r="2085" spans="1:8" x14ac:dyDescent="0.25">
      <c r="A2085" s="43" t="s">
        <v>2064</v>
      </c>
      <c r="B2085" s="43" t="s">
        <v>119</v>
      </c>
      <c r="C2085" s="46">
        <v>73</v>
      </c>
      <c r="D2085" s="46">
        <v>2035801.191318121</v>
      </c>
      <c r="E2085" s="43">
        <v>183222.10721863087</v>
      </c>
      <c r="F2085" s="43" t="s">
        <v>70</v>
      </c>
      <c r="G2085" s="43" t="s">
        <v>71</v>
      </c>
      <c r="H2085" s="43" t="s">
        <v>72</v>
      </c>
    </row>
    <row r="2086" spans="1:8" x14ac:dyDescent="0.25">
      <c r="A2086" s="43" t="s">
        <v>2233</v>
      </c>
      <c r="B2086" s="43" t="s">
        <v>93</v>
      </c>
      <c r="C2086" s="46">
        <v>73</v>
      </c>
      <c r="D2086" s="46">
        <v>2100000.8466711496</v>
      </c>
      <c r="E2086" s="43">
        <v>168000.06773369198</v>
      </c>
      <c r="F2086" s="43" t="s">
        <v>87</v>
      </c>
      <c r="G2086" s="43" t="s">
        <v>71</v>
      </c>
      <c r="H2086" s="43" t="s">
        <v>88</v>
      </c>
    </row>
    <row r="2087" spans="1:8" x14ac:dyDescent="0.25">
      <c r="A2087" s="43" t="s">
        <v>743</v>
      </c>
      <c r="B2087" s="43" t="s">
        <v>75</v>
      </c>
      <c r="C2087" s="46">
        <v>73</v>
      </c>
      <c r="D2087" s="46">
        <v>2393829.8220493835</v>
      </c>
      <c r="E2087" s="43">
        <v>335136.17508691369</v>
      </c>
      <c r="F2087" s="43" t="s">
        <v>78</v>
      </c>
      <c r="G2087" s="43" t="s">
        <v>71</v>
      </c>
      <c r="H2087" s="43" t="s">
        <v>72</v>
      </c>
    </row>
    <row r="2088" spans="1:8" x14ac:dyDescent="0.25">
      <c r="A2088" s="43" t="s">
        <v>3933</v>
      </c>
      <c r="B2088" s="43" t="s">
        <v>77</v>
      </c>
      <c r="C2088" s="46">
        <v>73</v>
      </c>
      <c r="D2088" s="46">
        <v>1736416.5199161053</v>
      </c>
      <c r="E2088" s="43">
        <v>69456.66079664421</v>
      </c>
      <c r="F2088" s="43" t="s">
        <v>87</v>
      </c>
      <c r="G2088" s="43" t="s">
        <v>71</v>
      </c>
      <c r="H2088" s="43" t="s">
        <v>88</v>
      </c>
    </row>
    <row r="2089" spans="1:8" x14ac:dyDescent="0.25">
      <c r="A2089" s="72" t="s">
        <v>2065</v>
      </c>
      <c r="B2089" s="72" t="s">
        <v>97</v>
      </c>
      <c r="C2089" s="73">
        <v>73</v>
      </c>
      <c r="D2089" s="73">
        <v>2035801.191318121</v>
      </c>
      <c r="E2089" s="72">
        <v>183222.10721863087</v>
      </c>
      <c r="F2089" s="72" t="s">
        <v>70</v>
      </c>
      <c r="G2089" s="72" t="s">
        <v>71</v>
      </c>
      <c r="H2089" s="72" t="s">
        <v>72</v>
      </c>
    </row>
    <row r="2090" spans="1:8" x14ac:dyDescent="0.25">
      <c r="A2090" s="72" t="s">
        <v>1757</v>
      </c>
      <c r="B2090" s="72" t="s">
        <v>73</v>
      </c>
      <c r="C2090" s="73">
        <v>73</v>
      </c>
      <c r="D2090" s="73">
        <v>2103542.0807574214</v>
      </c>
      <c r="E2090" s="72">
        <v>210354.20807574215</v>
      </c>
      <c r="F2090" s="72" t="s">
        <v>70</v>
      </c>
      <c r="G2090" s="72" t="s">
        <v>71</v>
      </c>
      <c r="H2090" s="72" t="s">
        <v>72</v>
      </c>
    </row>
    <row r="2091" spans="1:8" x14ac:dyDescent="0.25">
      <c r="A2091" s="72" t="s">
        <v>2234</v>
      </c>
      <c r="B2091" s="72" t="s">
        <v>93</v>
      </c>
      <c r="C2091" s="73">
        <v>73</v>
      </c>
      <c r="D2091" s="73">
        <v>2100000.8466711496</v>
      </c>
      <c r="E2091" s="72">
        <v>168000.06773369198</v>
      </c>
      <c r="F2091" s="72" t="s">
        <v>87</v>
      </c>
      <c r="G2091" s="72" t="s">
        <v>71</v>
      </c>
      <c r="H2091" s="72" t="s">
        <v>88</v>
      </c>
    </row>
    <row r="2092" spans="1:8" x14ac:dyDescent="0.25">
      <c r="A2092" s="72" t="s">
        <v>3264</v>
      </c>
      <c r="B2092" s="72" t="s">
        <v>367</v>
      </c>
      <c r="C2092" s="73">
        <v>73</v>
      </c>
      <c r="D2092" s="73">
        <v>1685640.838290774</v>
      </c>
      <c r="E2092" s="72">
        <v>101138.45029744646</v>
      </c>
      <c r="F2092" s="72" t="s">
        <v>106</v>
      </c>
      <c r="G2092" s="72" t="s">
        <v>71</v>
      </c>
      <c r="H2092" s="72" t="s">
        <v>72</v>
      </c>
    </row>
    <row r="2093" spans="1:8" x14ac:dyDescent="0.25">
      <c r="A2093" s="72" t="s">
        <v>3934</v>
      </c>
      <c r="B2093" s="72" t="s">
        <v>1247</v>
      </c>
      <c r="C2093" s="73">
        <v>73</v>
      </c>
      <c r="D2093" s="73">
        <v>1736416.5199161053</v>
      </c>
      <c r="E2093" s="72">
        <v>69456.66079664421</v>
      </c>
      <c r="F2093" s="72" t="s">
        <v>87</v>
      </c>
      <c r="G2093" s="72" t="s">
        <v>71</v>
      </c>
      <c r="H2093" s="72" t="s">
        <v>88</v>
      </c>
    </row>
    <row r="2094" spans="1:8" x14ac:dyDescent="0.25">
      <c r="A2094" s="43" t="s">
        <v>3656</v>
      </c>
      <c r="B2094" s="43" t="s">
        <v>73</v>
      </c>
      <c r="C2094" s="46">
        <v>73</v>
      </c>
      <c r="D2094" s="46">
        <v>1610756.5561060396</v>
      </c>
      <c r="E2094" s="43">
        <v>80537.827805301989</v>
      </c>
      <c r="F2094" s="43" t="s">
        <v>70</v>
      </c>
      <c r="G2094" s="43" t="s">
        <v>71</v>
      </c>
      <c r="H2094" s="43" t="s">
        <v>72</v>
      </c>
    </row>
    <row r="2095" spans="1:8" x14ac:dyDescent="0.25">
      <c r="A2095" s="43" t="s">
        <v>2066</v>
      </c>
      <c r="B2095" s="43" t="s">
        <v>2067</v>
      </c>
      <c r="C2095" s="46">
        <v>73</v>
      </c>
      <c r="D2095" s="46">
        <v>2035801.191318121</v>
      </c>
      <c r="E2095" s="43">
        <v>183222.10721863087</v>
      </c>
      <c r="F2095" s="43" t="s">
        <v>70</v>
      </c>
      <c r="G2095" s="43" t="s">
        <v>71</v>
      </c>
      <c r="H2095" s="43" t="s">
        <v>72</v>
      </c>
    </row>
    <row r="2096" spans="1:8" x14ac:dyDescent="0.25">
      <c r="A2096" s="43" t="s">
        <v>2399</v>
      </c>
      <c r="B2096" s="43" t="s">
        <v>73</v>
      </c>
      <c r="C2096" s="46">
        <v>73</v>
      </c>
      <c r="D2096" s="46">
        <v>1959342.4964885837</v>
      </c>
      <c r="E2096" s="43">
        <v>156747.39971908671</v>
      </c>
      <c r="F2096" s="43" t="s">
        <v>70</v>
      </c>
      <c r="G2096" s="43" t="s">
        <v>71</v>
      </c>
      <c r="H2096" s="43" t="s">
        <v>72</v>
      </c>
    </row>
    <row r="2097" spans="1:8" x14ac:dyDescent="0.25">
      <c r="A2097" s="43" t="s">
        <v>1758</v>
      </c>
      <c r="B2097" s="43" t="s">
        <v>73</v>
      </c>
      <c r="C2097" s="46">
        <v>73</v>
      </c>
      <c r="D2097" s="46">
        <v>2103542.0807574214</v>
      </c>
      <c r="E2097" s="43">
        <v>210354.20807574215</v>
      </c>
      <c r="F2097" s="43" t="s">
        <v>70</v>
      </c>
      <c r="G2097" s="43" t="s">
        <v>71</v>
      </c>
      <c r="H2097" s="43" t="s">
        <v>72</v>
      </c>
    </row>
    <row r="2098" spans="1:8" x14ac:dyDescent="0.25">
      <c r="A2098" s="43" t="s">
        <v>2643</v>
      </c>
      <c r="B2098" s="43" t="s">
        <v>73</v>
      </c>
      <c r="C2098" s="46">
        <v>73</v>
      </c>
      <c r="D2098" s="46">
        <v>1751014.4514981939</v>
      </c>
      <c r="E2098" s="43">
        <v>140081.15611985553</v>
      </c>
      <c r="F2098" s="43" t="s">
        <v>106</v>
      </c>
      <c r="G2098" s="43" t="s">
        <v>71</v>
      </c>
      <c r="H2098" s="43" t="s">
        <v>72</v>
      </c>
    </row>
    <row r="2099" spans="1:8" x14ac:dyDescent="0.25">
      <c r="A2099" s="72" t="s">
        <v>1214</v>
      </c>
      <c r="B2099" s="72" t="s">
        <v>170</v>
      </c>
      <c r="C2099" s="73">
        <v>73</v>
      </c>
      <c r="D2099" s="73">
        <v>2221002.8989797444</v>
      </c>
      <c r="E2099" s="72">
        <v>266520.34787756938</v>
      </c>
      <c r="F2099" s="72" t="s">
        <v>70</v>
      </c>
      <c r="G2099" s="72" t="s">
        <v>71</v>
      </c>
      <c r="H2099" s="72" t="s">
        <v>72</v>
      </c>
    </row>
    <row r="2100" spans="1:8" x14ac:dyDescent="0.25">
      <c r="A2100" s="72" t="s">
        <v>3657</v>
      </c>
      <c r="B2100" s="72" t="s">
        <v>73</v>
      </c>
      <c r="C2100" s="73">
        <v>73</v>
      </c>
      <c r="D2100" s="73">
        <v>1610756.5561060396</v>
      </c>
      <c r="E2100" s="72">
        <v>80537.827805301989</v>
      </c>
      <c r="F2100" s="72" t="s">
        <v>70</v>
      </c>
      <c r="G2100" s="72" t="s">
        <v>71</v>
      </c>
      <c r="H2100" s="72" t="s">
        <v>72</v>
      </c>
    </row>
    <row r="2101" spans="1:8" x14ac:dyDescent="0.25">
      <c r="A2101" s="72" t="s">
        <v>1004</v>
      </c>
      <c r="B2101" s="72" t="s">
        <v>110</v>
      </c>
      <c r="C2101" s="73">
        <v>73</v>
      </c>
      <c r="D2101" s="73">
        <v>2273132.1868727803</v>
      </c>
      <c r="E2101" s="72">
        <v>295507.18429346144</v>
      </c>
      <c r="F2101" s="72" t="s">
        <v>70</v>
      </c>
      <c r="G2101" s="72" t="s">
        <v>71</v>
      </c>
      <c r="H2101" s="72" t="s">
        <v>72</v>
      </c>
    </row>
    <row r="2102" spans="1:8" x14ac:dyDescent="0.25">
      <c r="A2102" s="72" t="s">
        <v>1392</v>
      </c>
      <c r="B2102" s="72" t="s">
        <v>93</v>
      </c>
      <c r="C2102" s="73">
        <v>73</v>
      </c>
      <c r="D2102" s="73">
        <v>2243763.1252034446</v>
      </c>
      <c r="E2102" s="72">
        <v>246813.94377237893</v>
      </c>
      <c r="F2102" s="72" t="s">
        <v>87</v>
      </c>
      <c r="G2102" s="72" t="s">
        <v>71</v>
      </c>
      <c r="H2102" s="72" t="s">
        <v>88</v>
      </c>
    </row>
    <row r="2103" spans="1:8" x14ac:dyDescent="0.25">
      <c r="A2103" s="43" t="s">
        <v>2997</v>
      </c>
      <c r="B2103" s="43" t="s">
        <v>93</v>
      </c>
      <c r="C2103" s="46">
        <v>73</v>
      </c>
      <c r="D2103" s="46">
        <v>1965108.8183918004</v>
      </c>
      <c r="E2103" s="43">
        <v>117906.52910350802</v>
      </c>
      <c r="F2103" s="43" t="s">
        <v>87</v>
      </c>
      <c r="G2103" s="43" t="s">
        <v>71</v>
      </c>
      <c r="H2103" s="43" t="s">
        <v>88</v>
      </c>
    </row>
    <row r="2104" spans="1:8" x14ac:dyDescent="0.25">
      <c r="A2104" s="43" t="s">
        <v>3658</v>
      </c>
      <c r="B2104" s="43" t="s">
        <v>112</v>
      </c>
      <c r="C2104" s="46">
        <v>73</v>
      </c>
      <c r="D2104" s="46">
        <v>1610756.5561060396</v>
      </c>
      <c r="E2104" s="43">
        <v>80537.827805301989</v>
      </c>
      <c r="F2104" s="43" t="s">
        <v>70</v>
      </c>
      <c r="G2104" s="43" t="s">
        <v>71</v>
      </c>
      <c r="H2104" s="43" t="s">
        <v>72</v>
      </c>
    </row>
    <row r="2105" spans="1:8" x14ac:dyDescent="0.25">
      <c r="A2105" s="72" t="s">
        <v>3182</v>
      </c>
      <c r="B2105" s="72" t="s">
        <v>97</v>
      </c>
      <c r="C2105" s="73">
        <v>73</v>
      </c>
      <c r="D2105" s="73">
        <v>1761040.9930607686</v>
      </c>
      <c r="E2105" s="72">
        <v>105662.45958364614</v>
      </c>
      <c r="F2105" s="72" t="s">
        <v>70</v>
      </c>
      <c r="G2105" s="72" t="s">
        <v>71</v>
      </c>
      <c r="H2105" s="72" t="s">
        <v>72</v>
      </c>
    </row>
    <row r="2106" spans="1:8" x14ac:dyDescent="0.25">
      <c r="A2106" s="43" t="s">
        <v>3183</v>
      </c>
      <c r="B2106" s="43" t="s">
        <v>97</v>
      </c>
      <c r="C2106" s="46">
        <v>73</v>
      </c>
      <c r="D2106" s="46">
        <v>1761040.9930607686</v>
      </c>
      <c r="E2106" s="43">
        <v>105662.45958364614</v>
      </c>
      <c r="F2106" s="43" t="s">
        <v>70</v>
      </c>
      <c r="G2106" s="43" t="s">
        <v>71</v>
      </c>
      <c r="H2106" s="43" t="s">
        <v>72</v>
      </c>
    </row>
    <row r="2107" spans="1:8" x14ac:dyDescent="0.25">
      <c r="A2107" s="43" t="s">
        <v>3684</v>
      </c>
      <c r="B2107" s="43" t="s">
        <v>73</v>
      </c>
      <c r="C2107" s="46">
        <v>72</v>
      </c>
      <c r="D2107" s="46">
        <v>1587651.5581293467</v>
      </c>
      <c r="E2107" s="43">
        <v>79382.577906467341</v>
      </c>
      <c r="F2107" s="43" t="s">
        <v>70</v>
      </c>
      <c r="G2107" s="43" t="s">
        <v>71</v>
      </c>
      <c r="H2107" s="43" t="s">
        <v>72</v>
      </c>
    </row>
    <row r="2108" spans="1:8" x14ac:dyDescent="0.25">
      <c r="A2108" s="43" t="s">
        <v>838</v>
      </c>
      <c r="B2108" s="43" t="s">
        <v>102</v>
      </c>
      <c r="C2108" s="46">
        <v>72</v>
      </c>
      <c r="D2108" s="46">
        <v>2289044.1893554116</v>
      </c>
      <c r="E2108" s="43">
        <v>320466.18650975759</v>
      </c>
      <c r="F2108" s="43" t="s">
        <v>70</v>
      </c>
      <c r="G2108" s="43" t="s">
        <v>71</v>
      </c>
      <c r="H2108" s="43" t="s">
        <v>72</v>
      </c>
    </row>
    <row r="2109" spans="1:8" x14ac:dyDescent="0.25">
      <c r="A2109" s="43" t="s">
        <v>3207</v>
      </c>
      <c r="B2109" s="43" t="s">
        <v>73</v>
      </c>
      <c r="C2109" s="46">
        <v>72</v>
      </c>
      <c r="D2109" s="46">
        <v>1735877.3041668874</v>
      </c>
      <c r="E2109" s="43">
        <v>104152.63825001326</v>
      </c>
      <c r="F2109" s="43" t="s">
        <v>70</v>
      </c>
      <c r="G2109" s="43" t="s">
        <v>71</v>
      </c>
      <c r="H2109" s="43" t="s">
        <v>72</v>
      </c>
    </row>
    <row r="2110" spans="1:8" x14ac:dyDescent="0.25">
      <c r="A2110" s="43" t="s">
        <v>2825</v>
      </c>
      <c r="B2110" s="43" t="s">
        <v>97</v>
      </c>
      <c r="C2110" s="46">
        <v>72</v>
      </c>
      <c r="D2110" s="46">
        <v>1843663.1282130084</v>
      </c>
      <c r="E2110" s="43">
        <v>129056.41897491057</v>
      </c>
      <c r="F2110" s="43" t="s">
        <v>70</v>
      </c>
      <c r="G2110" s="43" t="s">
        <v>71</v>
      </c>
      <c r="H2110" s="43" t="s">
        <v>72</v>
      </c>
    </row>
    <row r="2111" spans="1:8" x14ac:dyDescent="0.25">
      <c r="A2111" s="72" t="s">
        <v>1037</v>
      </c>
      <c r="B2111" s="72" t="s">
        <v>97</v>
      </c>
      <c r="C2111" s="73">
        <v>72</v>
      </c>
      <c r="D2111" s="73">
        <v>2240953.5501184608</v>
      </c>
      <c r="E2111" s="72">
        <v>291323.96151539992</v>
      </c>
      <c r="F2111" s="72" t="s">
        <v>70</v>
      </c>
      <c r="G2111" s="72" t="s">
        <v>71</v>
      </c>
      <c r="H2111" s="72" t="s">
        <v>72</v>
      </c>
    </row>
    <row r="2112" spans="1:8" x14ac:dyDescent="0.25">
      <c r="A2112" s="72" t="s">
        <v>3685</v>
      </c>
      <c r="B2112" s="72" t="s">
        <v>79</v>
      </c>
      <c r="C2112" s="73">
        <v>72</v>
      </c>
      <c r="D2112" s="73">
        <v>1587651.5581293467</v>
      </c>
      <c r="E2112" s="72">
        <v>79382.577906467341</v>
      </c>
      <c r="F2112" s="72" t="s">
        <v>70</v>
      </c>
      <c r="G2112" s="72" t="s">
        <v>71</v>
      </c>
      <c r="H2112" s="72" t="s">
        <v>72</v>
      </c>
    </row>
    <row r="2113" spans="1:8" x14ac:dyDescent="0.25">
      <c r="A2113" s="72" t="s">
        <v>2090</v>
      </c>
      <c r="B2113" s="72" t="s">
        <v>107</v>
      </c>
      <c r="C2113" s="73">
        <v>72</v>
      </c>
      <c r="D2113" s="73">
        <v>2006873.6640919473</v>
      </c>
      <c r="E2113" s="72">
        <v>180618.62976827525</v>
      </c>
      <c r="F2113" s="72" t="s">
        <v>70</v>
      </c>
      <c r="G2113" s="72" t="s">
        <v>71</v>
      </c>
      <c r="H2113" s="72" t="s">
        <v>72</v>
      </c>
    </row>
    <row r="2114" spans="1:8" x14ac:dyDescent="0.25">
      <c r="A2114" s="72" t="s">
        <v>839</v>
      </c>
      <c r="B2114" s="72" t="s">
        <v>97</v>
      </c>
      <c r="C2114" s="73">
        <v>72</v>
      </c>
      <c r="D2114" s="73">
        <v>2289044.1893554116</v>
      </c>
      <c r="E2114" s="72">
        <v>320466.18650975759</v>
      </c>
      <c r="F2114" s="72" t="s">
        <v>70</v>
      </c>
      <c r="G2114" s="72" t="s">
        <v>71</v>
      </c>
      <c r="H2114" s="72" t="s">
        <v>72</v>
      </c>
    </row>
    <row r="2115" spans="1:8" x14ac:dyDescent="0.25">
      <c r="A2115" s="72" t="s">
        <v>1510</v>
      </c>
      <c r="B2115" s="72" t="s">
        <v>97</v>
      </c>
      <c r="C2115" s="73">
        <v>72</v>
      </c>
      <c r="D2115" s="73">
        <v>2134104.5649078707</v>
      </c>
      <c r="E2115" s="72">
        <v>234751.5021398658</v>
      </c>
      <c r="F2115" s="72" t="s">
        <v>70</v>
      </c>
      <c r="G2115" s="72" t="s">
        <v>71</v>
      </c>
      <c r="H2115" s="72" t="s">
        <v>72</v>
      </c>
    </row>
    <row r="2116" spans="1:8" x14ac:dyDescent="0.25">
      <c r="A2116" s="43" t="s">
        <v>1038</v>
      </c>
      <c r="B2116" s="43" t="s">
        <v>97</v>
      </c>
      <c r="C2116" s="46">
        <v>72</v>
      </c>
      <c r="D2116" s="46">
        <v>2240953.5501184608</v>
      </c>
      <c r="E2116" s="43">
        <v>291323.96151539992</v>
      </c>
      <c r="F2116" s="43" t="s">
        <v>70</v>
      </c>
      <c r="G2116" s="43" t="s">
        <v>71</v>
      </c>
      <c r="H2116" s="43" t="s">
        <v>72</v>
      </c>
    </row>
    <row r="2117" spans="1:8" x14ac:dyDescent="0.25">
      <c r="A2117" s="43" t="s">
        <v>3686</v>
      </c>
      <c r="B2117" s="43" t="s">
        <v>303</v>
      </c>
      <c r="C2117" s="46">
        <v>72</v>
      </c>
      <c r="D2117" s="46">
        <v>1587651.5581293467</v>
      </c>
      <c r="E2117" s="43">
        <v>79382.577906467341</v>
      </c>
      <c r="F2117" s="43" t="s">
        <v>70</v>
      </c>
      <c r="G2117" s="43" t="s">
        <v>71</v>
      </c>
      <c r="H2117" s="43" t="s">
        <v>72</v>
      </c>
    </row>
    <row r="2118" spans="1:8" x14ac:dyDescent="0.25">
      <c r="A2118" s="43" t="s">
        <v>840</v>
      </c>
      <c r="B2118" s="43" t="s">
        <v>97</v>
      </c>
      <c r="C2118" s="46">
        <v>72</v>
      </c>
      <c r="D2118" s="46">
        <v>2289044.1893554116</v>
      </c>
      <c r="E2118" s="43">
        <v>320466.18650975759</v>
      </c>
      <c r="F2118" s="43" t="s">
        <v>70</v>
      </c>
      <c r="G2118" s="43" t="s">
        <v>71</v>
      </c>
      <c r="H2118" s="43" t="s">
        <v>72</v>
      </c>
    </row>
    <row r="2119" spans="1:8" x14ac:dyDescent="0.25">
      <c r="A2119" s="72" t="s">
        <v>1039</v>
      </c>
      <c r="B2119" s="72" t="s">
        <v>269</v>
      </c>
      <c r="C2119" s="73">
        <v>72</v>
      </c>
      <c r="D2119" s="73">
        <v>2240953.5501184608</v>
      </c>
      <c r="E2119" s="72">
        <v>291323.96151539992</v>
      </c>
      <c r="F2119" s="72" t="s">
        <v>70</v>
      </c>
      <c r="G2119" s="72" t="s">
        <v>71</v>
      </c>
      <c r="H2119" s="72" t="s">
        <v>72</v>
      </c>
    </row>
    <row r="2120" spans="1:8" x14ac:dyDescent="0.25">
      <c r="A2120" s="72" t="s">
        <v>4128</v>
      </c>
      <c r="B2120" s="72" t="s">
        <v>75</v>
      </c>
      <c r="C2120" s="73">
        <v>72</v>
      </c>
      <c r="D2120" s="73">
        <v>1562711.3532424129</v>
      </c>
      <c r="E2120" s="72">
        <v>62508.454129696518</v>
      </c>
      <c r="F2120" s="72" t="s">
        <v>106</v>
      </c>
      <c r="G2120" s="72" t="s">
        <v>71</v>
      </c>
      <c r="H2120" s="72" t="s">
        <v>72</v>
      </c>
    </row>
    <row r="2121" spans="1:8" x14ac:dyDescent="0.25">
      <c r="A2121" s="43" t="s">
        <v>1970</v>
      </c>
      <c r="B2121" s="43" t="s">
        <v>93</v>
      </c>
      <c r="C2121" s="46">
        <v>72</v>
      </c>
      <c r="D2121" s="46">
        <v>2122980.2738738982</v>
      </c>
      <c r="E2121" s="43">
        <v>191068.22464865082</v>
      </c>
      <c r="F2121" s="43" t="s">
        <v>87</v>
      </c>
      <c r="G2121" s="43" t="s">
        <v>71</v>
      </c>
      <c r="H2121" s="43" t="s">
        <v>88</v>
      </c>
    </row>
    <row r="2122" spans="1:8" x14ac:dyDescent="0.25">
      <c r="A2122" s="72" t="s">
        <v>3643</v>
      </c>
      <c r="B2122" s="72" t="s">
        <v>75</v>
      </c>
      <c r="C2122" s="73">
        <v>72</v>
      </c>
      <c r="D2122" s="73">
        <v>1618842.785814665</v>
      </c>
      <c r="E2122" s="72">
        <v>80942.139290733263</v>
      </c>
      <c r="F2122" s="72" t="s">
        <v>106</v>
      </c>
      <c r="G2122" s="72" t="s">
        <v>71</v>
      </c>
      <c r="H2122" s="72" t="s">
        <v>72</v>
      </c>
    </row>
    <row r="2123" spans="1:8" x14ac:dyDescent="0.25">
      <c r="A2123" s="72" t="s">
        <v>3687</v>
      </c>
      <c r="B2123" s="72" t="s">
        <v>97</v>
      </c>
      <c r="C2123" s="73">
        <v>72</v>
      </c>
      <c r="D2123" s="73">
        <v>1587651.5581293467</v>
      </c>
      <c r="E2123" s="72">
        <v>79382.577906467341</v>
      </c>
      <c r="F2123" s="72" t="s">
        <v>70</v>
      </c>
      <c r="G2123" s="72" t="s">
        <v>71</v>
      </c>
      <c r="H2123" s="72" t="s">
        <v>72</v>
      </c>
    </row>
    <row r="2124" spans="1:8" x14ac:dyDescent="0.25">
      <c r="A2124" s="72" t="s">
        <v>3290</v>
      </c>
      <c r="B2124" s="72" t="s">
        <v>105</v>
      </c>
      <c r="C2124" s="73">
        <v>72</v>
      </c>
      <c r="D2124" s="73">
        <v>1661521.3055942617</v>
      </c>
      <c r="E2124" s="72">
        <v>99691.278335655719</v>
      </c>
      <c r="F2124" s="72" t="s">
        <v>106</v>
      </c>
      <c r="G2124" s="72" t="s">
        <v>71</v>
      </c>
      <c r="H2124" s="72" t="s">
        <v>72</v>
      </c>
    </row>
    <row r="2125" spans="1:8" x14ac:dyDescent="0.25">
      <c r="A2125" s="43" t="s">
        <v>2091</v>
      </c>
      <c r="B2125" s="43" t="s">
        <v>97</v>
      </c>
      <c r="C2125" s="46">
        <v>72</v>
      </c>
      <c r="D2125" s="46">
        <v>2006873.6640919473</v>
      </c>
      <c r="E2125" s="43">
        <v>180618.62976827525</v>
      </c>
      <c r="F2125" s="43" t="s">
        <v>70</v>
      </c>
      <c r="G2125" s="43" t="s">
        <v>71</v>
      </c>
      <c r="H2125" s="43" t="s">
        <v>72</v>
      </c>
    </row>
    <row r="2126" spans="1:8" x14ac:dyDescent="0.25">
      <c r="A2126" s="43" t="s">
        <v>1040</v>
      </c>
      <c r="B2126" s="43" t="s">
        <v>211</v>
      </c>
      <c r="C2126" s="46">
        <v>72</v>
      </c>
      <c r="D2126" s="46">
        <v>2240953.5501184608</v>
      </c>
      <c r="E2126" s="43">
        <v>291323.96151539992</v>
      </c>
      <c r="F2126" s="43" t="s">
        <v>70</v>
      </c>
      <c r="G2126" s="43" t="s">
        <v>71</v>
      </c>
      <c r="H2126" s="43" t="s">
        <v>72</v>
      </c>
    </row>
    <row r="2127" spans="1:8" x14ac:dyDescent="0.25">
      <c r="A2127" s="72" t="s">
        <v>2624</v>
      </c>
      <c r="B2127" s="72" t="s">
        <v>73</v>
      </c>
      <c r="C2127" s="73">
        <v>72</v>
      </c>
      <c r="D2127" s="73">
        <v>2009704.3650440646</v>
      </c>
      <c r="E2127" s="72">
        <v>140679.3055530845</v>
      </c>
      <c r="F2127" s="72" t="s">
        <v>87</v>
      </c>
      <c r="G2127" s="72" t="s">
        <v>71</v>
      </c>
      <c r="H2127" s="72" t="s">
        <v>88</v>
      </c>
    </row>
    <row r="2128" spans="1:8" x14ac:dyDescent="0.25">
      <c r="A2128" s="43" t="s">
        <v>3421</v>
      </c>
      <c r="B2128" s="43" t="s">
        <v>83</v>
      </c>
      <c r="C2128" s="46">
        <v>72</v>
      </c>
      <c r="D2128" s="46">
        <v>1532376.0490081736</v>
      </c>
      <c r="E2128" s="43">
        <v>91942.562940490418</v>
      </c>
      <c r="F2128" s="43" t="s">
        <v>84</v>
      </c>
      <c r="G2128" s="43" t="s">
        <v>71</v>
      </c>
      <c r="H2128" s="43" t="s">
        <v>72</v>
      </c>
    </row>
    <row r="2129" spans="1:8" x14ac:dyDescent="0.25">
      <c r="A2129" s="43" t="s">
        <v>3959</v>
      </c>
      <c r="B2129" s="43" t="s">
        <v>73</v>
      </c>
      <c r="C2129" s="46">
        <v>72</v>
      </c>
      <c r="D2129" s="46">
        <v>1711733.0231392377</v>
      </c>
      <c r="E2129" s="43">
        <v>68469.320925569511</v>
      </c>
      <c r="F2129" s="43" t="s">
        <v>87</v>
      </c>
      <c r="G2129" s="43" t="s">
        <v>71</v>
      </c>
      <c r="H2129" s="43" t="s">
        <v>88</v>
      </c>
    </row>
    <row r="2130" spans="1:8" x14ac:dyDescent="0.25">
      <c r="A2130" s="72" t="s">
        <v>2982</v>
      </c>
      <c r="B2130" s="72" t="s">
        <v>105</v>
      </c>
      <c r="C2130" s="73">
        <v>72</v>
      </c>
      <c r="D2130" s="73">
        <v>1696358.3982207791</v>
      </c>
      <c r="E2130" s="72">
        <v>118745.08787545453</v>
      </c>
      <c r="F2130" s="72" t="s">
        <v>106</v>
      </c>
      <c r="G2130" s="72" t="s">
        <v>71</v>
      </c>
      <c r="H2130" s="72" t="s">
        <v>72</v>
      </c>
    </row>
    <row r="2131" spans="1:8" x14ac:dyDescent="0.25">
      <c r="A2131" s="43" t="s">
        <v>3688</v>
      </c>
      <c r="B2131" s="43" t="s">
        <v>112</v>
      </c>
      <c r="C2131" s="46">
        <v>72</v>
      </c>
      <c r="D2131" s="46">
        <v>1587651.5581293467</v>
      </c>
      <c r="E2131" s="43">
        <v>79382.577906467341</v>
      </c>
      <c r="F2131" s="43" t="s">
        <v>70</v>
      </c>
      <c r="G2131" s="43" t="s">
        <v>71</v>
      </c>
      <c r="H2131" s="43" t="s">
        <v>72</v>
      </c>
    </row>
    <row r="2132" spans="1:8" x14ac:dyDescent="0.25">
      <c r="A2132" s="72" t="s">
        <v>1041</v>
      </c>
      <c r="B2132" s="72" t="s">
        <v>102</v>
      </c>
      <c r="C2132" s="73">
        <v>72</v>
      </c>
      <c r="D2132" s="73">
        <v>2240953.5501184608</v>
      </c>
      <c r="E2132" s="72">
        <v>291323.96151539992</v>
      </c>
      <c r="F2132" s="72" t="s">
        <v>70</v>
      </c>
      <c r="G2132" s="72" t="s">
        <v>71</v>
      </c>
      <c r="H2132" s="72" t="s">
        <v>72</v>
      </c>
    </row>
    <row r="2133" spans="1:8" x14ac:dyDescent="0.25">
      <c r="A2133" s="72" t="s">
        <v>966</v>
      </c>
      <c r="B2133" s="72" t="s">
        <v>143</v>
      </c>
      <c r="C2133" s="73">
        <v>72</v>
      </c>
      <c r="D2133" s="73">
        <v>2310490.1795116034</v>
      </c>
      <c r="E2133" s="72">
        <v>300363.72333650844</v>
      </c>
      <c r="F2133" s="72" t="s">
        <v>78</v>
      </c>
      <c r="G2133" s="72" t="s">
        <v>71</v>
      </c>
      <c r="H2133" s="72" t="s">
        <v>72</v>
      </c>
    </row>
    <row r="2134" spans="1:8" x14ac:dyDescent="0.25">
      <c r="A2134" s="43" t="s">
        <v>1696</v>
      </c>
      <c r="B2134" s="43" t="s">
        <v>133</v>
      </c>
      <c r="C2134" s="46">
        <v>72</v>
      </c>
      <c r="D2134" s="46">
        <v>2169792.1670979108</v>
      </c>
      <c r="E2134" s="43">
        <v>216979.2167097911</v>
      </c>
      <c r="F2134" s="43" t="s">
        <v>87</v>
      </c>
      <c r="G2134" s="43" t="s">
        <v>71</v>
      </c>
      <c r="H2134" s="43" t="s">
        <v>88</v>
      </c>
    </row>
    <row r="2135" spans="1:8" x14ac:dyDescent="0.25">
      <c r="A2135" s="43" t="s">
        <v>2625</v>
      </c>
      <c r="B2135" s="43" t="s">
        <v>93</v>
      </c>
      <c r="C2135" s="46">
        <v>72</v>
      </c>
      <c r="D2135" s="46">
        <v>2009704.3650440646</v>
      </c>
      <c r="E2135" s="43">
        <v>140679.3055530845</v>
      </c>
      <c r="F2135" s="43" t="s">
        <v>87</v>
      </c>
      <c r="G2135" s="43" t="s">
        <v>71</v>
      </c>
      <c r="H2135" s="43" t="s">
        <v>88</v>
      </c>
    </row>
    <row r="2136" spans="1:8" x14ac:dyDescent="0.25">
      <c r="A2136" s="72" t="s">
        <v>2626</v>
      </c>
      <c r="B2136" s="72" t="s">
        <v>81</v>
      </c>
      <c r="C2136" s="73">
        <v>72</v>
      </c>
      <c r="D2136" s="73">
        <v>2009704.3650440646</v>
      </c>
      <c r="E2136" s="72">
        <v>140679.3055530845</v>
      </c>
      <c r="F2136" s="72" t="s">
        <v>87</v>
      </c>
      <c r="G2136" s="72" t="s">
        <v>71</v>
      </c>
      <c r="H2136" s="72" t="s">
        <v>88</v>
      </c>
    </row>
    <row r="2137" spans="1:8" x14ac:dyDescent="0.25">
      <c r="A2137" s="72" t="s">
        <v>2826</v>
      </c>
      <c r="B2137" s="72" t="s">
        <v>74</v>
      </c>
      <c r="C2137" s="73">
        <v>72</v>
      </c>
      <c r="D2137" s="73">
        <v>1843663.1282130084</v>
      </c>
      <c r="E2137" s="72">
        <v>129056.41897491057</v>
      </c>
      <c r="F2137" s="72" t="s">
        <v>70</v>
      </c>
      <c r="G2137" s="72" t="s">
        <v>71</v>
      </c>
      <c r="H2137" s="72" t="s">
        <v>72</v>
      </c>
    </row>
    <row r="2138" spans="1:8" x14ac:dyDescent="0.25">
      <c r="A2138" s="43" t="s">
        <v>1511</v>
      </c>
      <c r="B2138" s="43" t="s">
        <v>145</v>
      </c>
      <c r="C2138" s="46">
        <v>72</v>
      </c>
      <c r="D2138" s="46">
        <v>2134104.5649078707</v>
      </c>
      <c r="E2138" s="43">
        <v>234751.5021398658</v>
      </c>
      <c r="F2138" s="43" t="s">
        <v>70</v>
      </c>
      <c r="G2138" s="43" t="s">
        <v>71</v>
      </c>
      <c r="H2138" s="43" t="s">
        <v>72</v>
      </c>
    </row>
    <row r="2139" spans="1:8" x14ac:dyDescent="0.25">
      <c r="A2139" s="43" t="s">
        <v>2423</v>
      </c>
      <c r="B2139" s="43" t="s">
        <v>74</v>
      </c>
      <c r="C2139" s="46">
        <v>72</v>
      </c>
      <c r="D2139" s="46">
        <v>1931462.348643637</v>
      </c>
      <c r="E2139" s="43">
        <v>154516.98789149098</v>
      </c>
      <c r="F2139" s="43" t="s">
        <v>70</v>
      </c>
      <c r="G2139" s="43" t="s">
        <v>71</v>
      </c>
      <c r="H2139" s="43" t="s">
        <v>72</v>
      </c>
    </row>
    <row r="2140" spans="1:8" x14ac:dyDescent="0.25">
      <c r="A2140" s="72" t="s">
        <v>2424</v>
      </c>
      <c r="B2140" s="72" t="s">
        <v>162</v>
      </c>
      <c r="C2140" s="73">
        <v>72</v>
      </c>
      <c r="D2140" s="73">
        <v>1931462.348643637</v>
      </c>
      <c r="E2140" s="72">
        <v>154516.98789149098</v>
      </c>
      <c r="F2140" s="72" t="s">
        <v>70</v>
      </c>
      <c r="G2140" s="72" t="s">
        <v>71</v>
      </c>
      <c r="H2140" s="72" t="s">
        <v>72</v>
      </c>
    </row>
    <row r="2141" spans="1:8" x14ac:dyDescent="0.25">
      <c r="A2141" s="43" t="s">
        <v>2627</v>
      </c>
      <c r="B2141" s="43" t="s">
        <v>73</v>
      </c>
      <c r="C2141" s="46">
        <v>72</v>
      </c>
      <c r="D2141" s="46">
        <v>2009704.3650440646</v>
      </c>
      <c r="E2141" s="43">
        <v>140679.3055530845</v>
      </c>
      <c r="F2141" s="43" t="s">
        <v>87</v>
      </c>
      <c r="G2141" s="43" t="s">
        <v>71</v>
      </c>
      <c r="H2141" s="43" t="s">
        <v>88</v>
      </c>
    </row>
    <row r="2142" spans="1:8" x14ac:dyDescent="0.25">
      <c r="A2142" s="72" t="s">
        <v>1711</v>
      </c>
      <c r="B2142" s="72" t="s">
        <v>77</v>
      </c>
      <c r="C2142" s="73">
        <v>71</v>
      </c>
      <c r="D2142" s="73">
        <v>1788819.4207552359</v>
      </c>
      <c r="E2142" s="72">
        <v>214658.33049062832</v>
      </c>
      <c r="F2142" s="72" t="s">
        <v>106</v>
      </c>
      <c r="G2142" s="72" t="s">
        <v>71</v>
      </c>
      <c r="H2142" s="72" t="s">
        <v>72</v>
      </c>
    </row>
    <row r="2143" spans="1:8" x14ac:dyDescent="0.25">
      <c r="A2143" s="72" t="s">
        <v>3006</v>
      </c>
      <c r="B2143" s="72" t="s">
        <v>176</v>
      </c>
      <c r="C2143" s="73">
        <v>71</v>
      </c>
      <c r="D2143" s="73">
        <v>1668148.6291468679</v>
      </c>
      <c r="E2143" s="72">
        <v>116770.40404028074</v>
      </c>
      <c r="F2143" s="72" t="s">
        <v>84</v>
      </c>
      <c r="G2143" s="72" t="s">
        <v>71</v>
      </c>
      <c r="H2143" s="72" t="s">
        <v>72</v>
      </c>
    </row>
    <row r="2144" spans="1:8" x14ac:dyDescent="0.25">
      <c r="A2144" s="72" t="s">
        <v>3004</v>
      </c>
      <c r="B2144" s="72" t="s">
        <v>85</v>
      </c>
      <c r="C2144" s="73">
        <v>71</v>
      </c>
      <c r="D2144" s="73">
        <v>1671784.7483328106</v>
      </c>
      <c r="E2144" s="72">
        <v>117024.93238329673</v>
      </c>
      <c r="F2144" s="72" t="s">
        <v>106</v>
      </c>
      <c r="G2144" s="72" t="s">
        <v>71</v>
      </c>
      <c r="H2144" s="72" t="s">
        <v>72</v>
      </c>
    </row>
    <row r="2145" spans="1:8" x14ac:dyDescent="0.25">
      <c r="A2145" s="43" t="s">
        <v>3443</v>
      </c>
      <c r="B2145" s="43" t="s">
        <v>92</v>
      </c>
      <c r="C2145" s="46">
        <v>71</v>
      </c>
      <c r="D2145" s="46">
        <v>1509854.0847766295</v>
      </c>
      <c r="E2145" s="43">
        <v>90591.245086597759</v>
      </c>
      <c r="F2145" s="43" t="s">
        <v>84</v>
      </c>
      <c r="G2145" s="43" t="s">
        <v>71</v>
      </c>
      <c r="H2145" s="43" t="s">
        <v>72</v>
      </c>
    </row>
    <row r="2146" spans="1:8" x14ac:dyDescent="0.25">
      <c r="A2146" s="43" t="s">
        <v>2306</v>
      </c>
      <c r="B2146" s="43" t="s">
        <v>1247</v>
      </c>
      <c r="C2146" s="46">
        <v>71</v>
      </c>
      <c r="D2146" s="46">
        <v>2040698.2535999652</v>
      </c>
      <c r="E2146" s="43">
        <v>163255.86028799723</v>
      </c>
      <c r="F2146" s="43" t="s">
        <v>87</v>
      </c>
      <c r="G2146" s="43" t="s">
        <v>71</v>
      </c>
      <c r="H2146" s="43" t="s">
        <v>88</v>
      </c>
    </row>
    <row r="2147" spans="1:8" x14ac:dyDescent="0.25">
      <c r="A2147" s="43" t="s">
        <v>2212</v>
      </c>
      <c r="B2147" s="43" t="s">
        <v>83</v>
      </c>
      <c r="C2147" s="46">
        <v>71</v>
      </c>
      <c r="D2147" s="46">
        <v>1892010.9206449285</v>
      </c>
      <c r="E2147" s="43">
        <v>170280.98285804354</v>
      </c>
      <c r="F2147" s="43" t="s">
        <v>84</v>
      </c>
      <c r="G2147" s="43" t="s">
        <v>71</v>
      </c>
      <c r="H2147" s="43" t="s">
        <v>72</v>
      </c>
    </row>
    <row r="2148" spans="1:8" x14ac:dyDescent="0.25">
      <c r="A2148" s="43" t="s">
        <v>2409</v>
      </c>
      <c r="B2148" s="43" t="s">
        <v>291</v>
      </c>
      <c r="C2148" s="46">
        <v>71</v>
      </c>
      <c r="D2148" s="46">
        <v>1726572.3585948597</v>
      </c>
      <c r="E2148" s="43">
        <v>155391.51227353737</v>
      </c>
      <c r="F2148" s="43" t="s">
        <v>106</v>
      </c>
      <c r="G2148" s="43" t="s">
        <v>71</v>
      </c>
      <c r="H2148" s="43" t="s">
        <v>72</v>
      </c>
    </row>
    <row r="2149" spans="1:8" x14ac:dyDescent="0.25">
      <c r="A2149" s="72" t="s">
        <v>803</v>
      </c>
      <c r="B2149" s="72" t="s">
        <v>92</v>
      </c>
      <c r="C2149" s="73">
        <v>71</v>
      </c>
      <c r="D2149" s="73">
        <v>2325862.1364898151</v>
      </c>
      <c r="E2149" s="72">
        <v>325620.69910857407</v>
      </c>
      <c r="F2149" s="72" t="s">
        <v>78</v>
      </c>
      <c r="G2149" s="72" t="s">
        <v>71</v>
      </c>
      <c r="H2149" s="72" t="s">
        <v>72</v>
      </c>
    </row>
    <row r="2150" spans="1:8" x14ac:dyDescent="0.25">
      <c r="A2150" s="43" t="s">
        <v>3714</v>
      </c>
      <c r="B2150" s="43" t="s">
        <v>112</v>
      </c>
      <c r="C2150" s="46">
        <v>71</v>
      </c>
      <c r="D2150" s="46">
        <v>1564576.3925565584</v>
      </c>
      <c r="E2150" s="43">
        <v>78228.819627827921</v>
      </c>
      <c r="F2150" s="43" t="s">
        <v>70</v>
      </c>
      <c r="G2150" s="43" t="s">
        <v>71</v>
      </c>
      <c r="H2150" s="43" t="s">
        <v>72</v>
      </c>
    </row>
    <row r="2151" spans="1:8" x14ac:dyDescent="0.25">
      <c r="A2151" s="72" t="s">
        <v>1457</v>
      </c>
      <c r="B2151" s="72" t="s">
        <v>73</v>
      </c>
      <c r="C2151" s="73">
        <v>71</v>
      </c>
      <c r="D2151" s="73">
        <v>2180521.8395697311</v>
      </c>
      <c r="E2151" s="72">
        <v>239857.40235267047</v>
      </c>
      <c r="F2151" s="72" t="s">
        <v>87</v>
      </c>
      <c r="G2151" s="72" t="s">
        <v>71</v>
      </c>
      <c r="H2151" s="72" t="s">
        <v>88</v>
      </c>
    </row>
    <row r="2152" spans="1:8" x14ac:dyDescent="0.25">
      <c r="A2152" s="43" t="s">
        <v>1281</v>
      </c>
      <c r="B2152" s="43" t="s">
        <v>85</v>
      </c>
      <c r="C2152" s="46">
        <v>71</v>
      </c>
      <c r="D2152" s="46">
        <v>2158103.6575433123</v>
      </c>
      <c r="E2152" s="43">
        <v>258972.43890519752</v>
      </c>
      <c r="F2152" s="43" t="s">
        <v>70</v>
      </c>
      <c r="G2152" s="43" t="s">
        <v>71</v>
      </c>
      <c r="H2152" s="43" t="s">
        <v>72</v>
      </c>
    </row>
    <row r="2153" spans="1:8" x14ac:dyDescent="0.25">
      <c r="A2153" s="43" t="s">
        <v>1065</v>
      </c>
      <c r="B2153" s="43" t="s">
        <v>236</v>
      </c>
      <c r="C2153" s="46">
        <v>71</v>
      </c>
      <c r="D2153" s="46">
        <v>2208600.0093854051</v>
      </c>
      <c r="E2153" s="43">
        <v>287118.00122010265</v>
      </c>
      <c r="F2153" s="43" t="s">
        <v>84</v>
      </c>
      <c r="G2153" s="43" t="s">
        <v>71</v>
      </c>
      <c r="H2153" s="43" t="s">
        <v>72</v>
      </c>
    </row>
    <row r="2154" spans="1:8" x14ac:dyDescent="0.25">
      <c r="A2154" s="43" t="s">
        <v>3007</v>
      </c>
      <c r="B2154" s="43" t="s">
        <v>236</v>
      </c>
      <c r="C2154" s="46">
        <v>71</v>
      </c>
      <c r="D2154" s="46">
        <v>1668148.6291468679</v>
      </c>
      <c r="E2154" s="43">
        <v>116770.40404028074</v>
      </c>
      <c r="F2154" s="43" t="s">
        <v>84</v>
      </c>
      <c r="G2154" s="43" t="s">
        <v>71</v>
      </c>
      <c r="H2154" s="43" t="s">
        <v>72</v>
      </c>
    </row>
    <row r="2155" spans="1:8" x14ac:dyDescent="0.25">
      <c r="A2155" s="43" t="s">
        <v>1537</v>
      </c>
      <c r="B2155" s="43" t="s">
        <v>73</v>
      </c>
      <c r="C2155" s="46">
        <v>71</v>
      </c>
      <c r="D2155" s="46">
        <v>2103439.7742409362</v>
      </c>
      <c r="E2155" s="43">
        <v>231378.37516650301</v>
      </c>
      <c r="F2155" s="43" t="s">
        <v>70</v>
      </c>
      <c r="G2155" s="43" t="s">
        <v>71</v>
      </c>
      <c r="H2155" s="43" t="s">
        <v>72</v>
      </c>
    </row>
    <row r="2156" spans="1:8" x14ac:dyDescent="0.25">
      <c r="A2156" s="72" t="s">
        <v>2451</v>
      </c>
      <c r="B2156" s="72" t="s">
        <v>102</v>
      </c>
      <c r="C2156" s="73">
        <v>71</v>
      </c>
      <c r="D2156" s="73">
        <v>1903612.0332025948</v>
      </c>
      <c r="E2156" s="72">
        <v>152288.96265620759</v>
      </c>
      <c r="F2156" s="72" t="s">
        <v>70</v>
      </c>
      <c r="G2156" s="72" t="s">
        <v>71</v>
      </c>
      <c r="H2156" s="72" t="s">
        <v>72</v>
      </c>
    </row>
    <row r="2157" spans="1:8" x14ac:dyDescent="0.25">
      <c r="A2157" s="72" t="s">
        <v>3715</v>
      </c>
      <c r="B2157" s="72" t="s">
        <v>105</v>
      </c>
      <c r="C2157" s="73">
        <v>71</v>
      </c>
      <c r="D2157" s="73">
        <v>1564576.3925565584</v>
      </c>
      <c r="E2157" s="72">
        <v>78228.819627827921</v>
      </c>
      <c r="F2157" s="72" t="s">
        <v>70</v>
      </c>
      <c r="G2157" s="72" t="s">
        <v>71</v>
      </c>
      <c r="H2157" s="72" t="s">
        <v>72</v>
      </c>
    </row>
    <row r="2158" spans="1:8" x14ac:dyDescent="0.25">
      <c r="A2158" s="72" t="s">
        <v>3444</v>
      </c>
      <c r="B2158" s="72" t="s">
        <v>83</v>
      </c>
      <c r="C2158" s="73">
        <v>71</v>
      </c>
      <c r="D2158" s="73">
        <v>1509854.0847766295</v>
      </c>
      <c r="E2158" s="72">
        <v>90591.245086597759</v>
      </c>
      <c r="F2158" s="72" t="s">
        <v>84</v>
      </c>
      <c r="G2158" s="72" t="s">
        <v>71</v>
      </c>
      <c r="H2158" s="72" t="s">
        <v>72</v>
      </c>
    </row>
    <row r="2159" spans="1:8" x14ac:dyDescent="0.25">
      <c r="A2159" s="72" t="s">
        <v>1717</v>
      </c>
      <c r="B2159" s="72" t="s">
        <v>93</v>
      </c>
      <c r="C2159" s="73">
        <v>71</v>
      </c>
      <c r="D2159" s="73">
        <v>2138772.3526802571</v>
      </c>
      <c r="E2159" s="72">
        <v>213877.23526802572</v>
      </c>
      <c r="F2159" s="72" t="s">
        <v>87</v>
      </c>
      <c r="G2159" s="72" t="s">
        <v>71</v>
      </c>
      <c r="H2159" s="72" t="s">
        <v>88</v>
      </c>
    </row>
    <row r="2160" spans="1:8" x14ac:dyDescent="0.25">
      <c r="A2160" s="72" t="s">
        <v>1282</v>
      </c>
      <c r="B2160" s="72" t="s">
        <v>112</v>
      </c>
      <c r="C2160" s="73">
        <v>71</v>
      </c>
      <c r="D2160" s="73">
        <v>2158103.6575433123</v>
      </c>
      <c r="E2160" s="72">
        <v>258972.43890519752</v>
      </c>
      <c r="F2160" s="72" t="s">
        <v>70</v>
      </c>
      <c r="G2160" s="72" t="s">
        <v>71</v>
      </c>
      <c r="H2160" s="72" t="s">
        <v>72</v>
      </c>
    </row>
    <row r="2161" spans="1:8" x14ac:dyDescent="0.25">
      <c r="A2161" s="43" t="s">
        <v>2119</v>
      </c>
      <c r="B2161" s="43" t="s">
        <v>85</v>
      </c>
      <c r="C2161" s="46">
        <v>71</v>
      </c>
      <c r="D2161" s="46">
        <v>1977975.9692696785</v>
      </c>
      <c r="E2161" s="43">
        <v>178017.83723427105</v>
      </c>
      <c r="F2161" s="43" t="s">
        <v>70</v>
      </c>
      <c r="G2161" s="43" t="s">
        <v>71</v>
      </c>
      <c r="H2161" s="43" t="s">
        <v>72</v>
      </c>
    </row>
    <row r="2162" spans="1:8" x14ac:dyDescent="0.25">
      <c r="A2162" s="72" t="s">
        <v>1820</v>
      </c>
      <c r="B2162" s="72" t="s">
        <v>85</v>
      </c>
      <c r="C2162" s="73">
        <v>71</v>
      </c>
      <c r="D2162" s="73">
        <v>2043860.9439298201</v>
      </c>
      <c r="E2162" s="72">
        <v>204386.09439298202</v>
      </c>
      <c r="F2162" s="72" t="s">
        <v>70</v>
      </c>
      <c r="G2162" s="72" t="s">
        <v>71</v>
      </c>
      <c r="H2162" s="72" t="s">
        <v>72</v>
      </c>
    </row>
    <row r="2163" spans="1:8" x14ac:dyDescent="0.25">
      <c r="A2163" s="43" t="s">
        <v>1458</v>
      </c>
      <c r="B2163" s="43" t="s">
        <v>133</v>
      </c>
      <c r="C2163" s="46">
        <v>71</v>
      </c>
      <c r="D2163" s="46">
        <v>2180521.8395697311</v>
      </c>
      <c r="E2163" s="43">
        <v>239857.40235267047</v>
      </c>
      <c r="F2163" s="43" t="s">
        <v>87</v>
      </c>
      <c r="G2163" s="43" t="s">
        <v>71</v>
      </c>
      <c r="H2163" s="43" t="s">
        <v>88</v>
      </c>
    </row>
    <row r="2164" spans="1:8" x14ac:dyDescent="0.25">
      <c r="A2164" s="72" t="s">
        <v>2668</v>
      </c>
      <c r="B2164" s="72" t="s">
        <v>93</v>
      </c>
      <c r="C2164" s="73">
        <v>71</v>
      </c>
      <c r="D2164" s="73">
        <v>1980907.9923216035</v>
      </c>
      <c r="E2164" s="72">
        <v>138663.55946251223</v>
      </c>
      <c r="F2164" s="72" t="s">
        <v>87</v>
      </c>
      <c r="G2164" s="72" t="s">
        <v>71</v>
      </c>
      <c r="H2164" s="72" t="s">
        <v>88</v>
      </c>
    </row>
    <row r="2165" spans="1:8" x14ac:dyDescent="0.25">
      <c r="A2165" s="43" t="s">
        <v>1063</v>
      </c>
      <c r="B2165" s="43" t="s">
        <v>74</v>
      </c>
      <c r="C2165" s="46">
        <v>71</v>
      </c>
      <c r="D2165" s="46">
        <v>2208804.745768046</v>
      </c>
      <c r="E2165" s="43">
        <v>287144.61694984598</v>
      </c>
      <c r="F2165" s="43" t="s">
        <v>70</v>
      </c>
      <c r="G2165" s="43" t="s">
        <v>71</v>
      </c>
      <c r="H2165" s="43" t="s">
        <v>72</v>
      </c>
    </row>
    <row r="2166" spans="1:8" x14ac:dyDescent="0.25">
      <c r="A2166" s="43" t="s">
        <v>1283</v>
      </c>
      <c r="B2166" s="43" t="s">
        <v>85</v>
      </c>
      <c r="C2166" s="46">
        <v>71</v>
      </c>
      <c r="D2166" s="46">
        <v>2158103.6575433123</v>
      </c>
      <c r="E2166" s="43">
        <v>258972.43890519752</v>
      </c>
      <c r="F2166" s="43" t="s">
        <v>70</v>
      </c>
      <c r="G2166" s="43" t="s">
        <v>71</v>
      </c>
      <c r="H2166" s="43" t="s">
        <v>72</v>
      </c>
    </row>
    <row r="2167" spans="1:8" x14ac:dyDescent="0.25">
      <c r="A2167" s="43" t="s">
        <v>3439</v>
      </c>
      <c r="B2167" s="43" t="s">
        <v>93</v>
      </c>
      <c r="C2167" s="46">
        <v>71</v>
      </c>
      <c r="D2167" s="46">
        <v>1818771.1665484246</v>
      </c>
      <c r="E2167" s="43">
        <v>90938.55832742124</v>
      </c>
      <c r="F2167" s="43" t="s">
        <v>87</v>
      </c>
      <c r="G2167" s="43" t="s">
        <v>71</v>
      </c>
      <c r="H2167" s="43" t="s">
        <v>88</v>
      </c>
    </row>
    <row r="2168" spans="1:8" x14ac:dyDescent="0.25">
      <c r="A2168" s="43" t="s">
        <v>1569</v>
      </c>
      <c r="B2168" s="43" t="s">
        <v>119</v>
      </c>
      <c r="C2168" s="46">
        <v>70</v>
      </c>
      <c r="D2168" s="46">
        <v>2072804.775058856</v>
      </c>
      <c r="E2168" s="43">
        <v>228008.52525647418</v>
      </c>
      <c r="F2168" s="43" t="s">
        <v>70</v>
      </c>
      <c r="G2168" s="43" t="s">
        <v>71</v>
      </c>
      <c r="H2168" s="43" t="s">
        <v>72</v>
      </c>
    </row>
    <row r="2169" spans="1:8" x14ac:dyDescent="0.25">
      <c r="A2169" s="72" t="s">
        <v>2479</v>
      </c>
      <c r="B2169" s="72" t="s">
        <v>97</v>
      </c>
      <c r="C2169" s="73">
        <v>70</v>
      </c>
      <c r="D2169" s="73">
        <v>1875791.5092464061</v>
      </c>
      <c r="E2169" s="72">
        <v>150063.32073971251</v>
      </c>
      <c r="F2169" s="72" t="s">
        <v>70</v>
      </c>
      <c r="G2169" s="72" t="s">
        <v>71</v>
      </c>
      <c r="H2169" s="72" t="s">
        <v>72</v>
      </c>
    </row>
    <row r="2170" spans="1:8" x14ac:dyDescent="0.25">
      <c r="A2170" s="72" t="s">
        <v>2152</v>
      </c>
      <c r="B2170" s="72" t="s">
        <v>97</v>
      </c>
      <c r="C2170" s="73">
        <v>70</v>
      </c>
      <c r="D2170" s="73">
        <v>1949108.0659322636</v>
      </c>
      <c r="E2170" s="72">
        <v>175419.72593390371</v>
      </c>
      <c r="F2170" s="72" t="s">
        <v>70</v>
      </c>
      <c r="G2170" s="72" t="s">
        <v>71</v>
      </c>
      <c r="H2170" s="72" t="s">
        <v>72</v>
      </c>
    </row>
    <row r="2171" spans="1:8" x14ac:dyDescent="0.25">
      <c r="A2171" s="72" t="s">
        <v>1862</v>
      </c>
      <c r="B2171" s="72" t="s">
        <v>69</v>
      </c>
      <c r="C2171" s="73">
        <v>70</v>
      </c>
      <c r="D2171" s="73">
        <v>2014065.0832028259</v>
      </c>
      <c r="E2171" s="72">
        <v>201406.50832028259</v>
      </c>
      <c r="F2171" s="72" t="s">
        <v>70</v>
      </c>
      <c r="G2171" s="72" t="s">
        <v>71</v>
      </c>
      <c r="H2171" s="72" t="s">
        <v>72</v>
      </c>
    </row>
    <row r="2172" spans="1:8" x14ac:dyDescent="0.25">
      <c r="A2172" s="72" t="s">
        <v>1311</v>
      </c>
      <c r="B2172" s="72" t="s">
        <v>102</v>
      </c>
      <c r="C2172" s="73">
        <v>70</v>
      </c>
      <c r="D2172" s="73">
        <v>2126698.7445119028</v>
      </c>
      <c r="E2172" s="72">
        <v>255203.84934142837</v>
      </c>
      <c r="F2172" s="72" t="s">
        <v>70</v>
      </c>
      <c r="G2172" s="72" t="s">
        <v>71</v>
      </c>
      <c r="H2172" s="72" t="s">
        <v>72</v>
      </c>
    </row>
    <row r="2173" spans="1:8" x14ac:dyDescent="0.25">
      <c r="A2173" s="43" t="s">
        <v>3743</v>
      </c>
      <c r="B2173" s="43" t="s">
        <v>179</v>
      </c>
      <c r="C2173" s="46">
        <v>70</v>
      </c>
      <c r="D2173" s="46">
        <v>1541531.0184686242</v>
      </c>
      <c r="E2173" s="43">
        <v>77076.550923431219</v>
      </c>
      <c r="F2173" s="43" t="s">
        <v>70</v>
      </c>
      <c r="G2173" s="43" t="s">
        <v>71</v>
      </c>
      <c r="H2173" s="43" t="s">
        <v>72</v>
      </c>
    </row>
    <row r="2174" spans="1:8" x14ac:dyDescent="0.25">
      <c r="A2174" s="72" t="s">
        <v>1239</v>
      </c>
      <c r="B2174" s="72" t="s">
        <v>176</v>
      </c>
      <c r="C2174" s="73">
        <v>70</v>
      </c>
      <c r="D2174" s="73">
        <v>2186640.810719891</v>
      </c>
      <c r="E2174" s="72">
        <v>262396.89728638693</v>
      </c>
      <c r="F2174" s="72" t="s">
        <v>87</v>
      </c>
      <c r="G2174" s="72" t="s">
        <v>71</v>
      </c>
      <c r="H2174" s="72" t="s">
        <v>88</v>
      </c>
    </row>
    <row r="2175" spans="1:8" x14ac:dyDescent="0.25">
      <c r="A2175" s="72" t="s">
        <v>2240</v>
      </c>
      <c r="B2175" s="72" t="s">
        <v>176</v>
      </c>
      <c r="C2175" s="73">
        <v>70</v>
      </c>
      <c r="D2175" s="73">
        <v>1864142.7067124338</v>
      </c>
      <c r="E2175" s="72">
        <v>167772.84360411903</v>
      </c>
      <c r="F2175" s="72" t="s">
        <v>84</v>
      </c>
      <c r="G2175" s="72" t="s">
        <v>71</v>
      </c>
      <c r="H2175" s="72" t="s">
        <v>72</v>
      </c>
    </row>
    <row r="2176" spans="1:8" x14ac:dyDescent="0.25">
      <c r="A2176" s="43" t="s">
        <v>2739</v>
      </c>
      <c r="B2176" s="43" t="s">
        <v>85</v>
      </c>
      <c r="C2176" s="46">
        <v>70</v>
      </c>
      <c r="D2176" s="46">
        <v>1676058.410187874</v>
      </c>
      <c r="E2176" s="43">
        <v>134084.67281502992</v>
      </c>
      <c r="F2176" s="43" t="s">
        <v>106</v>
      </c>
      <c r="G2176" s="43" t="s">
        <v>71</v>
      </c>
      <c r="H2176" s="43" t="s">
        <v>72</v>
      </c>
    </row>
    <row r="2177" spans="1:8" x14ac:dyDescent="0.25">
      <c r="A2177" s="43" t="s">
        <v>1312</v>
      </c>
      <c r="B2177" s="43" t="s">
        <v>107</v>
      </c>
      <c r="C2177" s="46">
        <v>70</v>
      </c>
      <c r="D2177" s="46">
        <v>2126698.7445119028</v>
      </c>
      <c r="E2177" s="43">
        <v>255203.84934142837</v>
      </c>
      <c r="F2177" s="43" t="s">
        <v>70</v>
      </c>
      <c r="G2177" s="43" t="s">
        <v>71</v>
      </c>
      <c r="H2177" s="43" t="s">
        <v>72</v>
      </c>
    </row>
    <row r="2178" spans="1:8" x14ac:dyDescent="0.25">
      <c r="A2178" s="72" t="s">
        <v>1570</v>
      </c>
      <c r="B2178" s="72" t="s">
        <v>85</v>
      </c>
      <c r="C2178" s="73">
        <v>70</v>
      </c>
      <c r="D2178" s="73">
        <v>2072804.775058856</v>
      </c>
      <c r="E2178" s="72">
        <v>228008.52525647418</v>
      </c>
      <c r="F2178" s="72" t="s">
        <v>70</v>
      </c>
      <c r="G2178" s="72" t="s">
        <v>71</v>
      </c>
      <c r="H2178" s="72" t="s">
        <v>72</v>
      </c>
    </row>
    <row r="2179" spans="1:8" x14ac:dyDescent="0.25">
      <c r="A2179" s="43" t="s">
        <v>1571</v>
      </c>
      <c r="B2179" s="43" t="s">
        <v>97</v>
      </c>
      <c r="C2179" s="46">
        <v>70</v>
      </c>
      <c r="D2179" s="46">
        <v>2072804.775058856</v>
      </c>
      <c r="E2179" s="43">
        <v>228008.52525647418</v>
      </c>
      <c r="F2179" s="43" t="s">
        <v>70</v>
      </c>
      <c r="G2179" s="43" t="s">
        <v>71</v>
      </c>
      <c r="H2179" s="43" t="s">
        <v>72</v>
      </c>
    </row>
    <row r="2180" spans="1:8" x14ac:dyDescent="0.25">
      <c r="A2180" s="43" t="s">
        <v>3339</v>
      </c>
      <c r="B2180" s="43" t="s">
        <v>73</v>
      </c>
      <c r="C2180" s="46">
        <v>70</v>
      </c>
      <c r="D2180" s="46">
        <v>1613371.3838245948</v>
      </c>
      <c r="E2180" s="43">
        <v>96802.2830294757</v>
      </c>
      <c r="F2180" s="43" t="s">
        <v>106</v>
      </c>
      <c r="G2180" s="43" t="s">
        <v>71</v>
      </c>
      <c r="H2180" s="43" t="s">
        <v>72</v>
      </c>
    </row>
    <row r="2181" spans="1:8" x14ac:dyDescent="0.25">
      <c r="A2181" s="43" t="s">
        <v>1863</v>
      </c>
      <c r="B2181" s="43" t="s">
        <v>77</v>
      </c>
      <c r="C2181" s="46">
        <v>70</v>
      </c>
      <c r="D2181" s="46">
        <v>2014065.0832028259</v>
      </c>
      <c r="E2181" s="43">
        <v>201406.50832028259</v>
      </c>
      <c r="F2181" s="43" t="s">
        <v>70</v>
      </c>
      <c r="G2181" s="43" t="s">
        <v>71</v>
      </c>
      <c r="H2181" s="43" t="s">
        <v>72</v>
      </c>
    </row>
    <row r="2182" spans="1:8" x14ac:dyDescent="0.25">
      <c r="A2182" s="72" t="s">
        <v>3744</v>
      </c>
      <c r="B2182" s="72" t="s">
        <v>211</v>
      </c>
      <c r="C2182" s="73">
        <v>70</v>
      </c>
      <c r="D2182" s="73">
        <v>1541531.0184686242</v>
      </c>
      <c r="E2182" s="72">
        <v>77076.550923431219</v>
      </c>
      <c r="F2182" s="72" t="s">
        <v>70</v>
      </c>
      <c r="G2182" s="72" t="s">
        <v>71</v>
      </c>
      <c r="H2182" s="72" t="s">
        <v>72</v>
      </c>
    </row>
    <row r="2183" spans="1:8" x14ac:dyDescent="0.25">
      <c r="A2183" s="43" t="s">
        <v>2030</v>
      </c>
      <c r="B2183" s="43" t="s">
        <v>202</v>
      </c>
      <c r="C2183" s="46">
        <v>70</v>
      </c>
      <c r="D2183" s="46">
        <v>2062266.560235664</v>
      </c>
      <c r="E2183" s="43">
        <v>185603.99042120975</v>
      </c>
      <c r="F2183" s="43" t="s">
        <v>87</v>
      </c>
      <c r="G2183" s="43" t="s">
        <v>71</v>
      </c>
      <c r="H2183" s="43" t="s">
        <v>88</v>
      </c>
    </row>
    <row r="2184" spans="1:8" x14ac:dyDescent="0.25">
      <c r="A2184" s="43" t="s">
        <v>3745</v>
      </c>
      <c r="B2184" s="43" t="s">
        <v>77</v>
      </c>
      <c r="C2184" s="46">
        <v>70</v>
      </c>
      <c r="D2184" s="46">
        <v>1541531.0184686242</v>
      </c>
      <c r="E2184" s="43">
        <v>77076.550923431219</v>
      </c>
      <c r="F2184" s="43" t="s">
        <v>70</v>
      </c>
      <c r="G2184" s="43" t="s">
        <v>71</v>
      </c>
      <c r="H2184" s="43" t="s">
        <v>72</v>
      </c>
    </row>
    <row r="2185" spans="1:8" x14ac:dyDescent="0.25">
      <c r="A2185" s="43" t="s">
        <v>2344</v>
      </c>
      <c r="B2185" s="43" t="s">
        <v>73</v>
      </c>
      <c r="C2185" s="46">
        <v>70</v>
      </c>
      <c r="D2185" s="46">
        <v>2011085.3493512103</v>
      </c>
      <c r="E2185" s="43">
        <v>160886.82794809682</v>
      </c>
      <c r="F2185" s="43" t="s">
        <v>87</v>
      </c>
      <c r="G2185" s="43" t="s">
        <v>71</v>
      </c>
      <c r="H2185" s="43" t="s">
        <v>88</v>
      </c>
    </row>
    <row r="2186" spans="1:8" x14ac:dyDescent="0.25">
      <c r="A2186" s="43" t="s">
        <v>1748</v>
      </c>
      <c r="B2186" s="43" t="s">
        <v>257</v>
      </c>
      <c r="C2186" s="46">
        <v>70</v>
      </c>
      <c r="D2186" s="46">
        <v>1762627.0761882125</v>
      </c>
      <c r="E2186" s="43">
        <v>211515.2491425855</v>
      </c>
      <c r="F2186" s="43" t="s">
        <v>106</v>
      </c>
      <c r="G2186" s="43" t="s">
        <v>71</v>
      </c>
      <c r="H2186" s="43" t="s">
        <v>72</v>
      </c>
    </row>
    <row r="2187" spans="1:8" x14ac:dyDescent="0.25">
      <c r="A2187" s="43" t="s">
        <v>4171</v>
      </c>
      <c r="B2187" s="43" t="s">
        <v>257</v>
      </c>
      <c r="C2187" s="46">
        <v>70</v>
      </c>
      <c r="D2187" s="46">
        <v>1517306.1523714084</v>
      </c>
      <c r="E2187" s="43">
        <v>60692.246094856338</v>
      </c>
      <c r="F2187" s="43" t="s">
        <v>106</v>
      </c>
      <c r="G2187" s="43" t="s">
        <v>71</v>
      </c>
      <c r="H2187" s="43" t="s">
        <v>72</v>
      </c>
    </row>
    <row r="2188" spans="1:8" x14ac:dyDescent="0.25">
      <c r="A2188" s="72" t="s">
        <v>1864</v>
      </c>
      <c r="B2188" s="72" t="s">
        <v>179</v>
      </c>
      <c r="C2188" s="73">
        <v>70</v>
      </c>
      <c r="D2188" s="73">
        <v>2014065.0832028259</v>
      </c>
      <c r="E2188" s="72">
        <v>201406.50832028259</v>
      </c>
      <c r="F2188" s="72" t="s">
        <v>70</v>
      </c>
      <c r="G2188" s="72" t="s">
        <v>71</v>
      </c>
      <c r="H2188" s="72" t="s">
        <v>72</v>
      </c>
    </row>
    <row r="2189" spans="1:8" x14ac:dyDescent="0.25">
      <c r="A2189" s="43" t="s">
        <v>3265</v>
      </c>
      <c r="B2189" s="43" t="s">
        <v>97</v>
      </c>
      <c r="C2189" s="46">
        <v>70</v>
      </c>
      <c r="D2189" s="46">
        <v>1685639.382671789</v>
      </c>
      <c r="E2189" s="43">
        <v>101138.36296030736</v>
      </c>
      <c r="F2189" s="43" t="s">
        <v>70</v>
      </c>
      <c r="G2189" s="43" t="s">
        <v>71</v>
      </c>
      <c r="H2189" s="43" t="s">
        <v>72</v>
      </c>
    </row>
    <row r="2190" spans="1:8" x14ac:dyDescent="0.25">
      <c r="A2190" s="43" t="s">
        <v>834</v>
      </c>
      <c r="B2190" s="43" t="s">
        <v>75</v>
      </c>
      <c r="C2190" s="46">
        <v>70</v>
      </c>
      <c r="D2190" s="46">
        <v>2291930.4731375566</v>
      </c>
      <c r="E2190" s="43">
        <v>320870.26623925788</v>
      </c>
      <c r="F2190" s="43" t="s">
        <v>78</v>
      </c>
      <c r="G2190" s="43" t="s">
        <v>71</v>
      </c>
      <c r="H2190" s="43" t="s">
        <v>72</v>
      </c>
    </row>
    <row r="2191" spans="1:8" x14ac:dyDescent="0.25">
      <c r="A2191" s="72" t="s">
        <v>1499</v>
      </c>
      <c r="B2191" s="72" t="s">
        <v>93</v>
      </c>
      <c r="C2191" s="73">
        <v>70</v>
      </c>
      <c r="D2191" s="73">
        <v>2148939.5890397113</v>
      </c>
      <c r="E2191" s="72">
        <v>236383.35479436826</v>
      </c>
      <c r="F2191" s="72" t="s">
        <v>87</v>
      </c>
      <c r="G2191" s="72" t="s">
        <v>71</v>
      </c>
      <c r="H2191" s="72" t="s">
        <v>88</v>
      </c>
    </row>
    <row r="2192" spans="1:8" x14ac:dyDescent="0.25">
      <c r="A2192" s="43" t="s">
        <v>892</v>
      </c>
      <c r="B2192" s="43" t="s">
        <v>97</v>
      </c>
      <c r="C2192" s="46">
        <v>70</v>
      </c>
      <c r="D2192" s="46">
        <v>2223440.5210495205</v>
      </c>
      <c r="E2192" s="43">
        <v>311281.67294693284</v>
      </c>
      <c r="F2192" s="43" t="s">
        <v>70</v>
      </c>
      <c r="G2192" s="43" t="s">
        <v>71</v>
      </c>
      <c r="H2192" s="43" t="s">
        <v>72</v>
      </c>
    </row>
    <row r="2193" spans="1:8" x14ac:dyDescent="0.25">
      <c r="A2193" s="43" t="s">
        <v>2878</v>
      </c>
      <c r="B2193" s="43" t="s">
        <v>85</v>
      </c>
      <c r="C2193" s="46">
        <v>70</v>
      </c>
      <c r="D2193" s="46">
        <v>1790431.1560499619</v>
      </c>
      <c r="E2193" s="43">
        <v>125330.18092349732</v>
      </c>
      <c r="F2193" s="43" t="s">
        <v>70</v>
      </c>
      <c r="G2193" s="43" t="s">
        <v>71</v>
      </c>
      <c r="H2193" s="43" t="s">
        <v>72</v>
      </c>
    </row>
    <row r="2194" spans="1:8" x14ac:dyDescent="0.25">
      <c r="A2194" s="72" t="s">
        <v>3746</v>
      </c>
      <c r="B2194" s="72" t="s">
        <v>112</v>
      </c>
      <c r="C2194" s="73">
        <v>70</v>
      </c>
      <c r="D2194" s="73">
        <v>1541531.0184686242</v>
      </c>
      <c r="E2194" s="72">
        <v>77076.550923431219</v>
      </c>
      <c r="F2194" s="72" t="s">
        <v>70</v>
      </c>
      <c r="G2194" s="72" t="s">
        <v>71</v>
      </c>
      <c r="H2194" s="72" t="s">
        <v>72</v>
      </c>
    </row>
    <row r="2195" spans="1:8" x14ac:dyDescent="0.25">
      <c r="A2195" s="72" t="s">
        <v>1091</v>
      </c>
      <c r="B2195" s="72" t="s">
        <v>112</v>
      </c>
      <c r="C2195" s="73">
        <v>70</v>
      </c>
      <c r="D2195" s="73">
        <v>2176685.7329024849</v>
      </c>
      <c r="E2195" s="72">
        <v>282969.14527732303</v>
      </c>
      <c r="F2195" s="72" t="s">
        <v>70</v>
      </c>
      <c r="G2195" s="72" t="s">
        <v>71</v>
      </c>
      <c r="H2195" s="72" t="s">
        <v>72</v>
      </c>
    </row>
    <row r="2196" spans="1:8" x14ac:dyDescent="0.25">
      <c r="A2196" s="43" t="s">
        <v>1055</v>
      </c>
      <c r="B2196" s="43" t="s">
        <v>93</v>
      </c>
      <c r="C2196" s="46">
        <v>70</v>
      </c>
      <c r="D2196" s="46">
        <v>2221513.2683378831</v>
      </c>
      <c r="E2196" s="43">
        <v>288796.72488392482</v>
      </c>
      <c r="F2196" s="43" t="s">
        <v>87</v>
      </c>
      <c r="G2196" s="43" t="s">
        <v>71</v>
      </c>
      <c r="H2196" s="43" t="s">
        <v>88</v>
      </c>
    </row>
    <row r="2197" spans="1:8" x14ac:dyDescent="0.25">
      <c r="A2197" s="72" t="s">
        <v>893</v>
      </c>
      <c r="B2197" s="72" t="s">
        <v>73</v>
      </c>
      <c r="C2197" s="73">
        <v>70</v>
      </c>
      <c r="D2197" s="73">
        <v>2223440.5210495205</v>
      </c>
      <c r="E2197" s="72">
        <v>311281.67294693284</v>
      </c>
      <c r="F2197" s="72" t="s">
        <v>70</v>
      </c>
      <c r="G2197" s="72" t="s">
        <v>71</v>
      </c>
      <c r="H2197" s="72" t="s">
        <v>72</v>
      </c>
    </row>
    <row r="2198" spans="1:8" x14ac:dyDescent="0.25">
      <c r="A2198" s="43" t="s">
        <v>2480</v>
      </c>
      <c r="B2198" s="43" t="s">
        <v>73</v>
      </c>
      <c r="C2198" s="46">
        <v>70</v>
      </c>
      <c r="D2198" s="46">
        <v>1875791.5092464061</v>
      </c>
      <c r="E2198" s="43">
        <v>150063.32073971251</v>
      </c>
      <c r="F2198" s="43" t="s">
        <v>70</v>
      </c>
      <c r="G2198" s="43" t="s">
        <v>71</v>
      </c>
      <c r="H2198" s="43" t="s">
        <v>72</v>
      </c>
    </row>
    <row r="2199" spans="1:8" x14ac:dyDescent="0.25">
      <c r="A2199" s="43" t="s">
        <v>3205</v>
      </c>
      <c r="B2199" s="43" t="s">
        <v>75</v>
      </c>
      <c r="C2199" s="46">
        <v>70</v>
      </c>
      <c r="D2199" s="46">
        <v>1740175.6603694553</v>
      </c>
      <c r="E2199" s="43">
        <v>104410.53962216734</v>
      </c>
      <c r="F2199" s="43" t="s">
        <v>78</v>
      </c>
      <c r="G2199" s="43" t="s">
        <v>71</v>
      </c>
      <c r="H2199" s="43" t="s">
        <v>72</v>
      </c>
    </row>
    <row r="2200" spans="1:8" x14ac:dyDescent="0.25">
      <c r="A2200" s="43" t="s">
        <v>3747</v>
      </c>
      <c r="B2200" s="43" t="s">
        <v>113</v>
      </c>
      <c r="C2200" s="46">
        <v>70</v>
      </c>
      <c r="D2200" s="46">
        <v>1541531.0184686242</v>
      </c>
      <c r="E2200" s="43">
        <v>77076.550923431219</v>
      </c>
      <c r="F2200" s="43" t="s">
        <v>70</v>
      </c>
      <c r="G2200" s="43" t="s">
        <v>71</v>
      </c>
      <c r="H2200" s="43" t="s">
        <v>72</v>
      </c>
    </row>
    <row r="2201" spans="1:8" x14ac:dyDescent="0.25">
      <c r="A2201" s="72" t="s">
        <v>1313</v>
      </c>
      <c r="B2201" s="72" t="s">
        <v>102</v>
      </c>
      <c r="C2201" s="73">
        <v>70</v>
      </c>
      <c r="D2201" s="73">
        <v>2126698.7445119028</v>
      </c>
      <c r="E2201" s="72">
        <v>255203.84934142837</v>
      </c>
      <c r="F2201" s="72" t="s">
        <v>70</v>
      </c>
      <c r="G2201" s="72" t="s">
        <v>71</v>
      </c>
      <c r="H2201" s="72" t="s">
        <v>72</v>
      </c>
    </row>
    <row r="2202" spans="1:8" x14ac:dyDescent="0.25">
      <c r="A2202" s="43" t="s">
        <v>1865</v>
      </c>
      <c r="B2202" s="43" t="s">
        <v>105</v>
      </c>
      <c r="C2202" s="46">
        <v>70</v>
      </c>
      <c r="D2202" s="46">
        <v>2014065.0832028259</v>
      </c>
      <c r="E2202" s="43">
        <v>201406.50832028259</v>
      </c>
      <c r="F2202" s="43" t="s">
        <v>70</v>
      </c>
      <c r="G2202" s="43" t="s">
        <v>71</v>
      </c>
      <c r="H2202" s="43" t="s">
        <v>72</v>
      </c>
    </row>
    <row r="2203" spans="1:8" x14ac:dyDescent="0.25">
      <c r="A2203" s="43" t="s">
        <v>2153</v>
      </c>
      <c r="B2203" s="43" t="s">
        <v>97</v>
      </c>
      <c r="C2203" s="46">
        <v>70</v>
      </c>
      <c r="D2203" s="46">
        <v>1949108.0659322636</v>
      </c>
      <c r="E2203" s="43">
        <v>175419.72593390371</v>
      </c>
      <c r="F2203" s="43" t="s">
        <v>70</v>
      </c>
      <c r="G2203" s="43" t="s">
        <v>71</v>
      </c>
      <c r="H2203" s="43" t="s">
        <v>72</v>
      </c>
    </row>
    <row r="2204" spans="1:8" x14ac:dyDescent="0.25">
      <c r="A2204" s="72" t="s">
        <v>2345</v>
      </c>
      <c r="B2204" s="72" t="s">
        <v>93</v>
      </c>
      <c r="C2204" s="73">
        <v>70</v>
      </c>
      <c r="D2204" s="73">
        <v>2011085.3493512103</v>
      </c>
      <c r="E2204" s="72">
        <v>160886.82794809682</v>
      </c>
      <c r="F2204" s="72" t="s">
        <v>87</v>
      </c>
      <c r="G2204" s="72" t="s">
        <v>71</v>
      </c>
      <c r="H2204" s="72" t="s">
        <v>88</v>
      </c>
    </row>
    <row r="2205" spans="1:8" x14ac:dyDescent="0.25">
      <c r="A2205" s="72" t="s">
        <v>1866</v>
      </c>
      <c r="B2205" s="72" t="s">
        <v>269</v>
      </c>
      <c r="C2205" s="73">
        <v>70</v>
      </c>
      <c r="D2205" s="73">
        <v>2014065.0832028259</v>
      </c>
      <c r="E2205" s="72">
        <v>201406.50832028259</v>
      </c>
      <c r="F2205" s="72" t="s">
        <v>70</v>
      </c>
      <c r="G2205" s="72" t="s">
        <v>71</v>
      </c>
      <c r="H2205" s="72" t="s">
        <v>72</v>
      </c>
    </row>
    <row r="2206" spans="1:8" x14ac:dyDescent="0.25">
      <c r="A2206" s="72" t="s">
        <v>1572</v>
      </c>
      <c r="B2206" s="72" t="s">
        <v>112</v>
      </c>
      <c r="C2206" s="73">
        <v>70</v>
      </c>
      <c r="D2206" s="73">
        <v>2072804.775058856</v>
      </c>
      <c r="E2206" s="72">
        <v>228008.52525647418</v>
      </c>
      <c r="F2206" s="72" t="s">
        <v>70</v>
      </c>
      <c r="G2206" s="72" t="s">
        <v>71</v>
      </c>
      <c r="H2206" s="72" t="s">
        <v>72</v>
      </c>
    </row>
    <row r="2207" spans="1:8" x14ac:dyDescent="0.25">
      <c r="A2207" s="72" t="s">
        <v>2154</v>
      </c>
      <c r="B2207" s="72" t="s">
        <v>113</v>
      </c>
      <c r="C2207" s="73">
        <v>70</v>
      </c>
      <c r="D2207" s="73">
        <v>1949108.0659322636</v>
      </c>
      <c r="E2207" s="72">
        <v>175419.72593390371</v>
      </c>
      <c r="F2207" s="72" t="s">
        <v>70</v>
      </c>
      <c r="G2207" s="72" t="s">
        <v>71</v>
      </c>
      <c r="H2207" s="72" t="s">
        <v>72</v>
      </c>
    </row>
    <row r="2208" spans="1:8" x14ac:dyDescent="0.25">
      <c r="A2208" s="72" t="s">
        <v>4010</v>
      </c>
      <c r="B2208" s="72" t="s">
        <v>73</v>
      </c>
      <c r="C2208" s="73">
        <v>70</v>
      </c>
      <c r="D2208" s="73">
        <v>1662442.8442436329</v>
      </c>
      <c r="E2208" s="72">
        <v>66497.713769745314</v>
      </c>
      <c r="F2208" s="72" t="s">
        <v>87</v>
      </c>
      <c r="G2208" s="72" t="s">
        <v>71</v>
      </c>
      <c r="H2208" s="72" t="s">
        <v>88</v>
      </c>
    </row>
    <row r="2209" spans="1:8" x14ac:dyDescent="0.25">
      <c r="A2209" s="43" t="s">
        <v>2346</v>
      </c>
      <c r="B2209" s="43" t="s">
        <v>93</v>
      </c>
      <c r="C2209" s="46">
        <v>70</v>
      </c>
      <c r="D2209" s="46">
        <v>2011085.3493512103</v>
      </c>
      <c r="E2209" s="43">
        <v>160886.82794809682</v>
      </c>
      <c r="F2209" s="43" t="s">
        <v>87</v>
      </c>
      <c r="G2209" s="43" t="s">
        <v>71</v>
      </c>
      <c r="H2209" s="43" t="s">
        <v>88</v>
      </c>
    </row>
    <row r="2210" spans="1:8" x14ac:dyDescent="0.25">
      <c r="A2210" s="72" t="s">
        <v>3266</v>
      </c>
      <c r="B2210" s="72" t="s">
        <v>102</v>
      </c>
      <c r="C2210" s="73">
        <v>70</v>
      </c>
      <c r="D2210" s="73">
        <v>1685639.382671789</v>
      </c>
      <c r="E2210" s="72">
        <v>101138.36296030736</v>
      </c>
      <c r="F2210" s="72" t="s">
        <v>70</v>
      </c>
      <c r="G2210" s="72" t="s">
        <v>71</v>
      </c>
      <c r="H2210" s="72" t="s">
        <v>72</v>
      </c>
    </row>
    <row r="2211" spans="1:8" x14ac:dyDescent="0.25">
      <c r="A2211" s="43" t="s">
        <v>1092</v>
      </c>
      <c r="B2211" s="43" t="s">
        <v>102</v>
      </c>
      <c r="C2211" s="46">
        <v>70</v>
      </c>
      <c r="D2211" s="46">
        <v>2176685.7329024849</v>
      </c>
      <c r="E2211" s="43">
        <v>282969.14527732303</v>
      </c>
      <c r="F2211" s="43" t="s">
        <v>70</v>
      </c>
      <c r="G2211" s="43" t="s">
        <v>71</v>
      </c>
      <c r="H2211" s="43" t="s">
        <v>72</v>
      </c>
    </row>
    <row r="2212" spans="1:8" x14ac:dyDescent="0.25">
      <c r="A2212" s="43" t="s">
        <v>1240</v>
      </c>
      <c r="B2212" s="43" t="s">
        <v>133</v>
      </c>
      <c r="C2212" s="46">
        <v>70</v>
      </c>
      <c r="D2212" s="46">
        <v>2186640.810719891</v>
      </c>
      <c r="E2212" s="43">
        <v>262396.89728638693</v>
      </c>
      <c r="F2212" s="43" t="s">
        <v>87</v>
      </c>
      <c r="G2212" s="43" t="s">
        <v>71</v>
      </c>
      <c r="H2212" s="43" t="s">
        <v>88</v>
      </c>
    </row>
    <row r="2213" spans="1:8" x14ac:dyDescent="0.25">
      <c r="A2213" s="43" t="s">
        <v>894</v>
      </c>
      <c r="B2213" s="43" t="s">
        <v>127</v>
      </c>
      <c r="C2213" s="46">
        <v>70</v>
      </c>
      <c r="D2213" s="46">
        <v>2223440.5210495205</v>
      </c>
      <c r="E2213" s="43">
        <v>311281.67294693284</v>
      </c>
      <c r="F2213" s="43" t="s">
        <v>70</v>
      </c>
      <c r="G2213" s="43" t="s">
        <v>71</v>
      </c>
      <c r="H2213" s="43" t="s">
        <v>72</v>
      </c>
    </row>
    <row r="2214" spans="1:8" x14ac:dyDescent="0.25">
      <c r="A2214" s="43" t="s">
        <v>3463</v>
      </c>
      <c r="B2214" s="43" t="s">
        <v>73</v>
      </c>
      <c r="C2214" s="46">
        <v>70</v>
      </c>
      <c r="D2214" s="46">
        <v>1792283.9959201131</v>
      </c>
      <c r="E2214" s="43">
        <v>89614.199796005661</v>
      </c>
      <c r="F2214" s="43" t="s">
        <v>87</v>
      </c>
      <c r="G2214" s="43" t="s">
        <v>71</v>
      </c>
      <c r="H2214" s="43" t="s">
        <v>88</v>
      </c>
    </row>
    <row r="2215" spans="1:8" x14ac:dyDescent="0.25">
      <c r="A2215" s="72" t="s">
        <v>2879</v>
      </c>
      <c r="B2215" s="72" t="s">
        <v>211</v>
      </c>
      <c r="C2215" s="73">
        <v>70</v>
      </c>
      <c r="D2215" s="73">
        <v>1790431.1560499619</v>
      </c>
      <c r="E2215" s="72">
        <v>125330.18092349732</v>
      </c>
      <c r="F2215" s="72" t="s">
        <v>70</v>
      </c>
      <c r="G2215" s="72" t="s">
        <v>71</v>
      </c>
      <c r="H2215" s="72" t="s">
        <v>72</v>
      </c>
    </row>
    <row r="2216" spans="1:8" x14ac:dyDescent="0.25">
      <c r="A2216" s="72" t="s">
        <v>2481</v>
      </c>
      <c r="B2216" s="72" t="s">
        <v>74</v>
      </c>
      <c r="C2216" s="73">
        <v>70</v>
      </c>
      <c r="D2216" s="73">
        <v>1875791.5092464061</v>
      </c>
      <c r="E2216" s="72">
        <v>150063.32073971251</v>
      </c>
      <c r="F2216" s="72" t="s">
        <v>70</v>
      </c>
      <c r="G2216" s="72" t="s">
        <v>71</v>
      </c>
      <c r="H2216" s="72" t="s">
        <v>72</v>
      </c>
    </row>
    <row r="2217" spans="1:8" x14ac:dyDescent="0.25">
      <c r="A2217" s="43" t="s">
        <v>1867</v>
      </c>
      <c r="B2217" s="43" t="s">
        <v>102</v>
      </c>
      <c r="C2217" s="46">
        <v>70</v>
      </c>
      <c r="D2217" s="46">
        <v>2014065.0832028259</v>
      </c>
      <c r="E2217" s="43">
        <v>201406.50832028259</v>
      </c>
      <c r="F2217" s="43" t="s">
        <v>70</v>
      </c>
      <c r="G2217" s="43" t="s">
        <v>71</v>
      </c>
      <c r="H2217" s="43" t="s">
        <v>72</v>
      </c>
    </row>
    <row r="2218" spans="1:8" x14ac:dyDescent="0.25">
      <c r="A2218" s="72" t="s">
        <v>1749</v>
      </c>
      <c r="B2218" s="72" t="s">
        <v>252</v>
      </c>
      <c r="C2218" s="73">
        <v>70</v>
      </c>
      <c r="D2218" s="73">
        <v>1762627.0761882125</v>
      </c>
      <c r="E2218" s="72">
        <v>211515.2491425855</v>
      </c>
      <c r="F2218" s="72" t="s">
        <v>106</v>
      </c>
      <c r="G2218" s="72" t="s">
        <v>71</v>
      </c>
      <c r="H2218" s="72" t="s">
        <v>72</v>
      </c>
    </row>
    <row r="2219" spans="1:8" x14ac:dyDescent="0.25">
      <c r="A2219" s="43" t="s">
        <v>1573</v>
      </c>
      <c r="B2219" s="43" t="s">
        <v>162</v>
      </c>
      <c r="C2219" s="46">
        <v>70</v>
      </c>
      <c r="D2219" s="46">
        <v>2072804.775058856</v>
      </c>
      <c r="E2219" s="43">
        <v>228008.52525647418</v>
      </c>
      <c r="F2219" s="43" t="s">
        <v>70</v>
      </c>
      <c r="G2219" s="43" t="s">
        <v>71</v>
      </c>
      <c r="H2219" s="43" t="s">
        <v>72</v>
      </c>
    </row>
    <row r="2220" spans="1:8" x14ac:dyDescent="0.25">
      <c r="A2220" s="43" t="s">
        <v>1314</v>
      </c>
      <c r="B2220" s="43" t="s">
        <v>162</v>
      </c>
      <c r="C2220" s="46">
        <v>70</v>
      </c>
      <c r="D2220" s="46">
        <v>2126698.7445119028</v>
      </c>
      <c r="E2220" s="43">
        <v>255203.84934142837</v>
      </c>
      <c r="F2220" s="43" t="s">
        <v>70</v>
      </c>
      <c r="G2220" s="43" t="s">
        <v>71</v>
      </c>
      <c r="H2220" s="43" t="s">
        <v>72</v>
      </c>
    </row>
    <row r="2221" spans="1:8" x14ac:dyDescent="0.25">
      <c r="A2221" s="43" t="s">
        <v>1756</v>
      </c>
      <c r="B2221" s="43" t="s">
        <v>93</v>
      </c>
      <c r="C2221" s="46">
        <v>70</v>
      </c>
      <c r="D2221" s="46">
        <v>2107778.1230923431</v>
      </c>
      <c r="E2221" s="43">
        <v>210777.81230923432</v>
      </c>
      <c r="F2221" s="43" t="s">
        <v>87</v>
      </c>
      <c r="G2221" s="43" t="s">
        <v>71</v>
      </c>
      <c r="H2221" s="43" t="s">
        <v>88</v>
      </c>
    </row>
    <row r="2222" spans="1:8" x14ac:dyDescent="0.25">
      <c r="A2222" s="72" t="s">
        <v>1347</v>
      </c>
      <c r="B2222" s="72" t="s">
        <v>119</v>
      </c>
      <c r="C2222" s="73">
        <v>69</v>
      </c>
      <c r="D2222" s="73">
        <v>2095323.5820964572</v>
      </c>
      <c r="E2222" s="72">
        <v>251438.8298515749</v>
      </c>
      <c r="F2222" s="72" t="s">
        <v>70</v>
      </c>
      <c r="G2222" s="72" t="s">
        <v>71</v>
      </c>
      <c r="H2222" s="72" t="s">
        <v>72</v>
      </c>
    </row>
    <row r="2223" spans="1:8" x14ac:dyDescent="0.25">
      <c r="A2223" s="43" t="s">
        <v>1348</v>
      </c>
      <c r="B2223" s="43" t="s">
        <v>119</v>
      </c>
      <c r="C2223" s="46">
        <v>69</v>
      </c>
      <c r="D2223" s="46">
        <v>2095323.5820964572</v>
      </c>
      <c r="E2223" s="43">
        <v>251438.8298515749</v>
      </c>
      <c r="F2223" s="43" t="s">
        <v>70</v>
      </c>
      <c r="G2223" s="43" t="s">
        <v>71</v>
      </c>
      <c r="H2223" s="43" t="s">
        <v>72</v>
      </c>
    </row>
    <row r="2224" spans="1:8" x14ac:dyDescent="0.25">
      <c r="A2224" s="72" t="s">
        <v>2374</v>
      </c>
      <c r="B2224" s="72" t="s">
        <v>73</v>
      </c>
      <c r="C2224" s="73">
        <v>69</v>
      </c>
      <c r="D2224" s="73">
        <v>1981497.999879291</v>
      </c>
      <c r="E2224" s="72">
        <v>158519.83999034329</v>
      </c>
      <c r="F2224" s="72" t="s">
        <v>87</v>
      </c>
      <c r="G2224" s="72" t="s">
        <v>71</v>
      </c>
      <c r="H2224" s="72" t="s">
        <v>88</v>
      </c>
    </row>
    <row r="2225" spans="1:8" x14ac:dyDescent="0.25">
      <c r="A2225" s="72" t="s">
        <v>3052</v>
      </c>
      <c r="B2225" s="72" t="s">
        <v>176</v>
      </c>
      <c r="C2225" s="73">
        <v>69</v>
      </c>
      <c r="D2225" s="73">
        <v>1622726.4412713293</v>
      </c>
      <c r="E2225" s="72">
        <v>113590.85088899304</v>
      </c>
      <c r="F2225" s="72" t="s">
        <v>106</v>
      </c>
      <c r="G2225" s="72" t="s">
        <v>71</v>
      </c>
      <c r="H2225" s="72" t="s">
        <v>72</v>
      </c>
    </row>
    <row r="2226" spans="1:8" x14ac:dyDescent="0.25">
      <c r="A2226" s="43" t="s">
        <v>2767</v>
      </c>
      <c r="B2226" s="43" t="s">
        <v>367</v>
      </c>
      <c r="C2226" s="46">
        <v>69</v>
      </c>
      <c r="D2226" s="46">
        <v>1651132.3915861491</v>
      </c>
      <c r="E2226" s="43">
        <v>132090.59132689194</v>
      </c>
      <c r="F2226" s="43" t="s">
        <v>106</v>
      </c>
      <c r="G2226" s="43" t="s">
        <v>71</v>
      </c>
      <c r="H2226" s="43" t="s">
        <v>72</v>
      </c>
    </row>
    <row r="2227" spans="1:8" x14ac:dyDescent="0.25">
      <c r="A2227" s="43" t="s">
        <v>2177</v>
      </c>
      <c r="B2227" s="43" t="s">
        <v>211</v>
      </c>
      <c r="C2227" s="46">
        <v>69</v>
      </c>
      <c r="D2227" s="46">
        <v>1920269.9132108134</v>
      </c>
      <c r="E2227" s="43">
        <v>172824.2921889732</v>
      </c>
      <c r="F2227" s="43" t="s">
        <v>70</v>
      </c>
      <c r="G2227" s="43" t="s">
        <v>71</v>
      </c>
      <c r="H2227" s="43" t="s">
        <v>72</v>
      </c>
    </row>
    <row r="2228" spans="1:8" x14ac:dyDescent="0.25">
      <c r="A2228" s="72" t="s">
        <v>3232</v>
      </c>
      <c r="B2228" s="72" t="s">
        <v>383</v>
      </c>
      <c r="C2228" s="73">
        <v>69</v>
      </c>
      <c r="D2228" s="73">
        <v>1714160.9236185972</v>
      </c>
      <c r="E2228" s="72">
        <v>102849.65541711585</v>
      </c>
      <c r="F2228" s="72" t="s">
        <v>78</v>
      </c>
      <c r="G2228" s="72" t="s">
        <v>71</v>
      </c>
      <c r="H2228" s="72" t="s">
        <v>72</v>
      </c>
    </row>
    <row r="2229" spans="1:8" x14ac:dyDescent="0.25">
      <c r="A2229" s="43" t="s">
        <v>2515</v>
      </c>
      <c r="B2229" s="43" t="s">
        <v>211</v>
      </c>
      <c r="C2229" s="46">
        <v>69</v>
      </c>
      <c r="D2229" s="46">
        <v>1848000.7359061823</v>
      </c>
      <c r="E2229" s="43">
        <v>147840.05887249458</v>
      </c>
      <c r="F2229" s="43" t="s">
        <v>70</v>
      </c>
      <c r="G2229" s="43" t="s">
        <v>71</v>
      </c>
      <c r="H2229" s="43" t="s">
        <v>72</v>
      </c>
    </row>
    <row r="2230" spans="1:8" x14ac:dyDescent="0.25">
      <c r="A2230" s="72" t="s">
        <v>2516</v>
      </c>
      <c r="B2230" s="72" t="s">
        <v>211</v>
      </c>
      <c r="C2230" s="73">
        <v>69</v>
      </c>
      <c r="D2230" s="73">
        <v>1848000.7359061823</v>
      </c>
      <c r="E2230" s="72">
        <v>147840.05887249458</v>
      </c>
      <c r="F2230" s="72" t="s">
        <v>70</v>
      </c>
      <c r="G2230" s="72" t="s">
        <v>71</v>
      </c>
      <c r="H2230" s="72" t="s">
        <v>72</v>
      </c>
    </row>
    <row r="2231" spans="1:8" x14ac:dyDescent="0.25">
      <c r="A2231" s="43" t="s">
        <v>2517</v>
      </c>
      <c r="B2231" s="43" t="s">
        <v>73</v>
      </c>
      <c r="C2231" s="46">
        <v>69</v>
      </c>
      <c r="D2231" s="46">
        <v>1848000.7359061823</v>
      </c>
      <c r="E2231" s="43">
        <v>147840.05887249458</v>
      </c>
      <c r="F2231" s="43" t="s">
        <v>70</v>
      </c>
      <c r="G2231" s="43" t="s">
        <v>71</v>
      </c>
      <c r="H2231" s="43" t="s">
        <v>72</v>
      </c>
    </row>
    <row r="2232" spans="1:8" x14ac:dyDescent="0.25">
      <c r="A2232" s="43" t="s">
        <v>2903</v>
      </c>
      <c r="B2232" s="43" t="s">
        <v>77</v>
      </c>
      <c r="C2232" s="46">
        <v>69</v>
      </c>
      <c r="D2232" s="46">
        <v>1763859.8163268303</v>
      </c>
      <c r="E2232" s="43">
        <v>123470.1871428781</v>
      </c>
      <c r="F2232" s="43" t="s">
        <v>70</v>
      </c>
      <c r="G2232" s="43" t="s">
        <v>71</v>
      </c>
      <c r="H2232" s="43" t="s">
        <v>72</v>
      </c>
    </row>
    <row r="2233" spans="1:8" x14ac:dyDescent="0.25">
      <c r="A2233" s="72" t="s">
        <v>2178</v>
      </c>
      <c r="B2233" s="72" t="s">
        <v>105</v>
      </c>
      <c r="C2233" s="73">
        <v>69</v>
      </c>
      <c r="D2233" s="73">
        <v>1920269.9132108134</v>
      </c>
      <c r="E2233" s="72">
        <v>172824.2921889732</v>
      </c>
      <c r="F2233" s="72" t="s">
        <v>70</v>
      </c>
      <c r="G2233" s="72" t="s">
        <v>71</v>
      </c>
      <c r="H2233" s="72" t="s">
        <v>72</v>
      </c>
    </row>
    <row r="2234" spans="1:8" x14ac:dyDescent="0.25">
      <c r="A2234" s="72" t="s">
        <v>2518</v>
      </c>
      <c r="B2234" s="72" t="s">
        <v>93</v>
      </c>
      <c r="C2234" s="73">
        <v>69</v>
      </c>
      <c r="D2234" s="73">
        <v>1848000.7359061823</v>
      </c>
      <c r="E2234" s="72">
        <v>147840.05887249458</v>
      </c>
      <c r="F2234" s="72" t="s">
        <v>70</v>
      </c>
      <c r="G2234" s="72" t="s">
        <v>71</v>
      </c>
      <c r="H2234" s="72" t="s">
        <v>72</v>
      </c>
    </row>
    <row r="2235" spans="1:8" x14ac:dyDescent="0.25">
      <c r="A2235" s="72" t="s">
        <v>3064</v>
      </c>
      <c r="B2235" s="72" t="s">
        <v>83</v>
      </c>
      <c r="C2235" s="73">
        <v>69</v>
      </c>
      <c r="D2235" s="73">
        <v>1618754.3633662448</v>
      </c>
      <c r="E2235" s="72">
        <v>113312.80543563713</v>
      </c>
      <c r="F2235" s="72" t="s">
        <v>84</v>
      </c>
      <c r="G2235" s="72" t="s">
        <v>71</v>
      </c>
      <c r="H2235" s="72" t="s">
        <v>72</v>
      </c>
    </row>
    <row r="2236" spans="1:8" x14ac:dyDescent="0.25">
      <c r="A2236" s="43" t="s">
        <v>1601</v>
      </c>
      <c r="B2236" s="43" t="s">
        <v>112</v>
      </c>
      <c r="C2236" s="46">
        <v>69</v>
      </c>
      <c r="D2236" s="46">
        <v>2042199.52649274</v>
      </c>
      <c r="E2236" s="43">
        <v>224641.94791420145</v>
      </c>
      <c r="F2236" s="43" t="s">
        <v>70</v>
      </c>
      <c r="G2236" s="43" t="s">
        <v>71</v>
      </c>
      <c r="H2236" s="43" t="s">
        <v>72</v>
      </c>
    </row>
    <row r="2237" spans="1:8" x14ac:dyDescent="0.25">
      <c r="A2237" s="72" t="s">
        <v>1349</v>
      </c>
      <c r="B2237" s="72" t="s">
        <v>85</v>
      </c>
      <c r="C2237" s="73">
        <v>69</v>
      </c>
      <c r="D2237" s="73">
        <v>2095323.5820964572</v>
      </c>
      <c r="E2237" s="72">
        <v>251438.8298515749</v>
      </c>
      <c r="F2237" s="72" t="s">
        <v>70</v>
      </c>
      <c r="G2237" s="72" t="s">
        <v>71</v>
      </c>
      <c r="H2237" s="72" t="s">
        <v>72</v>
      </c>
    </row>
    <row r="2238" spans="1:8" x14ac:dyDescent="0.25">
      <c r="A2238" s="72" t="s">
        <v>1602</v>
      </c>
      <c r="B2238" s="72" t="s">
        <v>265</v>
      </c>
      <c r="C2238" s="73">
        <v>69</v>
      </c>
      <c r="D2238" s="73">
        <v>2042199.52649274</v>
      </c>
      <c r="E2238" s="72">
        <v>224641.94791420145</v>
      </c>
      <c r="F2238" s="72" t="s">
        <v>70</v>
      </c>
      <c r="G2238" s="72" t="s">
        <v>71</v>
      </c>
      <c r="H2238" s="72" t="s">
        <v>72</v>
      </c>
    </row>
    <row r="2239" spans="1:8" x14ac:dyDescent="0.25">
      <c r="A2239" s="43" t="s">
        <v>2519</v>
      </c>
      <c r="B2239" s="43" t="s">
        <v>74</v>
      </c>
      <c r="C2239" s="46">
        <v>69</v>
      </c>
      <c r="D2239" s="46">
        <v>1848000.7359061823</v>
      </c>
      <c r="E2239" s="43">
        <v>147840.05887249458</v>
      </c>
      <c r="F2239" s="43" t="s">
        <v>70</v>
      </c>
      <c r="G2239" s="43" t="s">
        <v>71</v>
      </c>
      <c r="H2239" s="43" t="s">
        <v>72</v>
      </c>
    </row>
    <row r="2240" spans="1:8" x14ac:dyDescent="0.25">
      <c r="A2240" s="72" t="s">
        <v>925</v>
      </c>
      <c r="B2240" s="72" t="s">
        <v>74</v>
      </c>
      <c r="C2240" s="73">
        <v>69</v>
      </c>
      <c r="D2240" s="73">
        <v>2190683.3332549664</v>
      </c>
      <c r="E2240" s="72">
        <v>306695.66665569524</v>
      </c>
      <c r="F2240" s="72" t="s">
        <v>70</v>
      </c>
      <c r="G2240" s="72" t="s">
        <v>71</v>
      </c>
      <c r="H2240" s="72" t="s">
        <v>72</v>
      </c>
    </row>
    <row r="2241" spans="1:8" x14ac:dyDescent="0.25">
      <c r="A2241" s="72" t="s">
        <v>1131</v>
      </c>
      <c r="B2241" s="72" t="s">
        <v>83</v>
      </c>
      <c r="C2241" s="73">
        <v>69</v>
      </c>
      <c r="D2241" s="73">
        <v>2143981.7610628512</v>
      </c>
      <c r="E2241" s="72">
        <v>278717.62893817067</v>
      </c>
      <c r="F2241" s="72" t="s">
        <v>84</v>
      </c>
      <c r="G2241" s="72" t="s">
        <v>71</v>
      </c>
      <c r="H2241" s="72" t="s">
        <v>72</v>
      </c>
    </row>
    <row r="2242" spans="1:8" x14ac:dyDescent="0.25">
      <c r="A2242" s="72" t="s">
        <v>2221</v>
      </c>
      <c r="B2242" s="72" t="s">
        <v>77</v>
      </c>
      <c r="C2242" s="73">
        <v>69</v>
      </c>
      <c r="D2242" s="73">
        <v>1698114.439322992</v>
      </c>
      <c r="E2242" s="72">
        <v>169811.44393229921</v>
      </c>
      <c r="F2242" s="72" t="s">
        <v>106</v>
      </c>
      <c r="G2242" s="72" t="s">
        <v>71</v>
      </c>
      <c r="H2242" s="72" t="s">
        <v>72</v>
      </c>
    </row>
    <row r="2243" spans="1:8" x14ac:dyDescent="0.25">
      <c r="A2243" s="72" t="s">
        <v>2904</v>
      </c>
      <c r="B2243" s="72" t="s">
        <v>102</v>
      </c>
      <c r="C2243" s="73">
        <v>69</v>
      </c>
      <c r="D2243" s="73">
        <v>1763859.8163268303</v>
      </c>
      <c r="E2243" s="72">
        <v>123470.1871428781</v>
      </c>
      <c r="F2243" s="72" t="s">
        <v>70</v>
      </c>
      <c r="G2243" s="72" t="s">
        <v>71</v>
      </c>
      <c r="H2243" s="72" t="s">
        <v>72</v>
      </c>
    </row>
    <row r="2244" spans="1:8" x14ac:dyDescent="0.25">
      <c r="A2244" s="43" t="s">
        <v>1383</v>
      </c>
      <c r="B2244" s="43" t="s">
        <v>69</v>
      </c>
      <c r="C2244" s="46">
        <v>68</v>
      </c>
      <c r="D2244" s="46">
        <v>2063978.129478191</v>
      </c>
      <c r="E2244" s="43">
        <v>247677.37553738296</v>
      </c>
      <c r="F2244" s="43" t="s">
        <v>70</v>
      </c>
      <c r="G2244" s="43" t="s">
        <v>71</v>
      </c>
      <c r="H2244" s="43" t="s">
        <v>72</v>
      </c>
    </row>
    <row r="2245" spans="1:8" x14ac:dyDescent="0.25">
      <c r="A2245" s="72" t="s">
        <v>2877</v>
      </c>
      <c r="B2245" s="72" t="s">
        <v>103</v>
      </c>
      <c r="C2245" s="73">
        <v>68</v>
      </c>
      <c r="D2245" s="73">
        <v>1792619.7933344999</v>
      </c>
      <c r="E2245" s="72">
        <v>125483.38553341498</v>
      </c>
      <c r="F2245" s="72" t="s">
        <v>78</v>
      </c>
      <c r="G2245" s="72" t="s">
        <v>71</v>
      </c>
      <c r="H2245" s="72" t="s">
        <v>72</v>
      </c>
    </row>
    <row r="2246" spans="1:8" x14ac:dyDescent="0.25">
      <c r="A2246" s="72" t="s">
        <v>1384</v>
      </c>
      <c r="B2246" s="72" t="s">
        <v>79</v>
      </c>
      <c r="C2246" s="73">
        <v>68</v>
      </c>
      <c r="D2246" s="73">
        <v>2063978.129478191</v>
      </c>
      <c r="E2246" s="72">
        <v>247677.37553738296</v>
      </c>
      <c r="F2246" s="72" t="s">
        <v>70</v>
      </c>
      <c r="G2246" s="72" t="s">
        <v>71</v>
      </c>
      <c r="H2246" s="72" t="s">
        <v>72</v>
      </c>
    </row>
    <row r="2247" spans="1:8" x14ac:dyDescent="0.25">
      <c r="A2247" s="43" t="s">
        <v>3388</v>
      </c>
      <c r="B2247" s="43" t="s">
        <v>75</v>
      </c>
      <c r="C2247" s="46">
        <v>68</v>
      </c>
      <c r="D2247" s="46">
        <v>1565339.9850779434</v>
      </c>
      <c r="E2247" s="43">
        <v>93920.399104676617</v>
      </c>
      <c r="F2247" s="43" t="s">
        <v>106</v>
      </c>
      <c r="G2247" s="43" t="s">
        <v>71</v>
      </c>
      <c r="H2247" s="43" t="s">
        <v>72</v>
      </c>
    </row>
    <row r="2248" spans="1:8" x14ac:dyDescent="0.25">
      <c r="A2248" s="72" t="s">
        <v>947</v>
      </c>
      <c r="B2248" s="72" t="s">
        <v>323</v>
      </c>
      <c r="C2248" s="73">
        <v>68</v>
      </c>
      <c r="D2248" s="73">
        <v>2157955.8552575912</v>
      </c>
      <c r="E2248" s="72">
        <v>302113.81973606272</v>
      </c>
      <c r="F2248" s="72" t="s">
        <v>70</v>
      </c>
      <c r="G2248" s="72" t="s">
        <v>71</v>
      </c>
      <c r="H2248" s="72" t="s">
        <v>72</v>
      </c>
    </row>
    <row r="2249" spans="1:8" x14ac:dyDescent="0.25">
      <c r="A2249" s="72" t="s">
        <v>2942</v>
      </c>
      <c r="B2249" s="72" t="s">
        <v>176</v>
      </c>
      <c r="C2249" s="73">
        <v>68</v>
      </c>
      <c r="D2249" s="73">
        <v>1737318.1864008768</v>
      </c>
      <c r="E2249" s="72">
        <v>121612.27304806137</v>
      </c>
      <c r="F2249" s="72" t="s">
        <v>70</v>
      </c>
      <c r="G2249" s="72" t="s">
        <v>71</v>
      </c>
      <c r="H2249" s="72" t="s">
        <v>72</v>
      </c>
    </row>
    <row r="2250" spans="1:8" x14ac:dyDescent="0.25">
      <c r="A2250" s="43" t="s">
        <v>1918</v>
      </c>
      <c r="B2250" s="43" t="s">
        <v>85</v>
      </c>
      <c r="C2250" s="46">
        <v>68</v>
      </c>
      <c r="D2250" s="46">
        <v>1954562.5727779448</v>
      </c>
      <c r="E2250" s="43">
        <v>195456.2572777945</v>
      </c>
      <c r="F2250" s="43" t="s">
        <v>70</v>
      </c>
      <c r="G2250" s="43" t="s">
        <v>71</v>
      </c>
      <c r="H2250" s="43" t="s">
        <v>72</v>
      </c>
    </row>
    <row r="2251" spans="1:8" x14ac:dyDescent="0.25">
      <c r="A2251" s="72" t="s">
        <v>2213</v>
      </c>
      <c r="B2251" s="72" t="s">
        <v>170</v>
      </c>
      <c r="C2251" s="73">
        <v>68</v>
      </c>
      <c r="D2251" s="73">
        <v>1891461.4702865419</v>
      </c>
      <c r="E2251" s="72">
        <v>170231.53232578875</v>
      </c>
      <c r="F2251" s="72" t="s">
        <v>70</v>
      </c>
      <c r="G2251" s="72" t="s">
        <v>71</v>
      </c>
      <c r="H2251" s="72" t="s">
        <v>72</v>
      </c>
    </row>
    <row r="2252" spans="1:8" x14ac:dyDescent="0.25">
      <c r="A2252" s="43" t="s">
        <v>2555</v>
      </c>
      <c r="B2252" s="43" t="s">
        <v>211</v>
      </c>
      <c r="C2252" s="46">
        <v>68</v>
      </c>
      <c r="D2252" s="46">
        <v>1820239.6723631374</v>
      </c>
      <c r="E2252" s="43">
        <v>145619.17378905098</v>
      </c>
      <c r="F2252" s="43" t="s">
        <v>70</v>
      </c>
      <c r="G2252" s="43" t="s">
        <v>71</v>
      </c>
      <c r="H2252" s="43" t="s">
        <v>72</v>
      </c>
    </row>
    <row r="2253" spans="1:8" x14ac:dyDescent="0.25">
      <c r="A2253" s="72" t="s">
        <v>1158</v>
      </c>
      <c r="B2253" s="72" t="s">
        <v>92</v>
      </c>
      <c r="C2253" s="73">
        <v>68</v>
      </c>
      <c r="D2253" s="73">
        <v>2111726.8511475492</v>
      </c>
      <c r="E2253" s="72">
        <v>274524.49064918142</v>
      </c>
      <c r="F2253" s="72" t="s">
        <v>84</v>
      </c>
      <c r="G2253" s="72" t="s">
        <v>71</v>
      </c>
      <c r="H2253" s="72" t="s">
        <v>72</v>
      </c>
    </row>
    <row r="2254" spans="1:8" x14ac:dyDescent="0.25">
      <c r="A2254" s="43" t="s">
        <v>2943</v>
      </c>
      <c r="B2254" s="43" t="s">
        <v>97</v>
      </c>
      <c r="C2254" s="46">
        <v>68</v>
      </c>
      <c r="D2254" s="46">
        <v>1737318.1864008768</v>
      </c>
      <c r="E2254" s="43">
        <v>121612.27304806137</v>
      </c>
      <c r="F2254" s="43" t="s">
        <v>70</v>
      </c>
      <c r="G2254" s="43" t="s">
        <v>71</v>
      </c>
      <c r="H2254" s="43" t="s">
        <v>72</v>
      </c>
    </row>
    <row r="2255" spans="1:8" x14ac:dyDescent="0.25">
      <c r="A2255" s="43" t="s">
        <v>948</v>
      </c>
      <c r="B2255" s="43" t="s">
        <v>97</v>
      </c>
      <c r="C2255" s="46">
        <v>68</v>
      </c>
      <c r="D2255" s="46">
        <v>2157955.8552575912</v>
      </c>
      <c r="E2255" s="43">
        <v>302113.81973606272</v>
      </c>
      <c r="F2255" s="43" t="s">
        <v>70</v>
      </c>
      <c r="G2255" s="43" t="s">
        <v>71</v>
      </c>
      <c r="H2255" s="43" t="s">
        <v>72</v>
      </c>
    </row>
    <row r="2256" spans="1:8" x14ac:dyDescent="0.25">
      <c r="A2256" s="72" t="s">
        <v>4194</v>
      </c>
      <c r="B2256" s="72" t="s">
        <v>93</v>
      </c>
      <c r="C2256" s="73">
        <v>68</v>
      </c>
      <c r="D2256" s="73">
        <v>1472019.4745234195</v>
      </c>
      <c r="E2256" s="72">
        <v>58880.778980936782</v>
      </c>
      <c r="F2256" s="72" t="s">
        <v>106</v>
      </c>
      <c r="G2256" s="72" t="s">
        <v>71</v>
      </c>
      <c r="H2256" s="72" t="s">
        <v>72</v>
      </c>
    </row>
    <row r="2257" spans="1:8" x14ac:dyDescent="0.25">
      <c r="A2257" s="43" t="s">
        <v>3259</v>
      </c>
      <c r="B2257" s="43" t="s">
        <v>75</v>
      </c>
      <c r="C2257" s="46">
        <v>68</v>
      </c>
      <c r="D2257" s="46">
        <v>1688180.8484791075</v>
      </c>
      <c r="E2257" s="43">
        <v>101290.85090874646</v>
      </c>
      <c r="F2257" s="43" t="s">
        <v>78</v>
      </c>
      <c r="G2257" s="43" t="s">
        <v>71</v>
      </c>
      <c r="H2257" s="43" t="s">
        <v>72</v>
      </c>
    </row>
    <row r="2258" spans="1:8" x14ac:dyDescent="0.25">
      <c r="A2258" s="43" t="s">
        <v>3735</v>
      </c>
      <c r="B2258" s="43" t="s">
        <v>383</v>
      </c>
      <c r="C2258" s="46">
        <v>68</v>
      </c>
      <c r="D2258" s="46">
        <v>1544557.6897422017</v>
      </c>
      <c r="E2258" s="43">
        <v>77227.884487110088</v>
      </c>
      <c r="F2258" s="43" t="s">
        <v>78</v>
      </c>
      <c r="G2258" s="43" t="s">
        <v>71</v>
      </c>
      <c r="H2258" s="43" t="s">
        <v>72</v>
      </c>
    </row>
    <row r="2259" spans="1:8" x14ac:dyDescent="0.25">
      <c r="A2259" s="72" t="s">
        <v>949</v>
      </c>
      <c r="B2259" s="72" t="s">
        <v>110</v>
      </c>
      <c r="C2259" s="73">
        <v>68</v>
      </c>
      <c r="D2259" s="73">
        <v>2157955.8552575912</v>
      </c>
      <c r="E2259" s="72">
        <v>302113.81973606272</v>
      </c>
      <c r="F2259" s="72" t="s">
        <v>70</v>
      </c>
      <c r="G2259" s="72" t="s">
        <v>71</v>
      </c>
      <c r="H2259" s="72" t="s">
        <v>72</v>
      </c>
    </row>
    <row r="2260" spans="1:8" x14ac:dyDescent="0.25">
      <c r="A2260" s="43" t="s">
        <v>3083</v>
      </c>
      <c r="B2260" s="43" t="s">
        <v>105</v>
      </c>
      <c r="C2260" s="46">
        <v>68</v>
      </c>
      <c r="D2260" s="46">
        <v>1598241.6836696542</v>
      </c>
      <c r="E2260" s="43">
        <v>111876.91785687578</v>
      </c>
      <c r="F2260" s="43" t="s">
        <v>106</v>
      </c>
      <c r="G2260" s="43" t="s">
        <v>71</v>
      </c>
      <c r="H2260" s="43" t="s">
        <v>72</v>
      </c>
    </row>
    <row r="2261" spans="1:8" x14ac:dyDescent="0.25">
      <c r="A2261" s="72" t="s">
        <v>3086</v>
      </c>
      <c r="B2261" s="72" t="s">
        <v>73</v>
      </c>
      <c r="C2261" s="73">
        <v>68</v>
      </c>
      <c r="D2261" s="73">
        <v>1594111.4447219076</v>
      </c>
      <c r="E2261" s="72">
        <v>111587.80113053352</v>
      </c>
      <c r="F2261" s="72" t="s">
        <v>84</v>
      </c>
      <c r="G2261" s="72" t="s">
        <v>71</v>
      </c>
      <c r="H2261" s="72" t="s">
        <v>72</v>
      </c>
    </row>
    <row r="2262" spans="1:8" x14ac:dyDescent="0.25">
      <c r="A2262" s="43" t="s">
        <v>2214</v>
      </c>
      <c r="B2262" s="43" t="s">
        <v>378</v>
      </c>
      <c r="C2262" s="46">
        <v>68</v>
      </c>
      <c r="D2262" s="46">
        <v>1891461.4702865419</v>
      </c>
      <c r="E2262" s="43">
        <v>170231.53232578875</v>
      </c>
      <c r="F2262" s="43" t="s">
        <v>70</v>
      </c>
      <c r="G2262" s="43" t="s">
        <v>71</v>
      </c>
      <c r="H2262" s="43" t="s">
        <v>72</v>
      </c>
    </row>
    <row r="2263" spans="1:8" x14ac:dyDescent="0.25">
      <c r="A2263" s="72" t="s">
        <v>1769</v>
      </c>
      <c r="B2263" s="72" t="s">
        <v>219</v>
      </c>
      <c r="C2263" s="73">
        <v>68</v>
      </c>
      <c r="D2263" s="73">
        <v>1743208.6970173658</v>
      </c>
      <c r="E2263" s="72">
        <v>209185.04364208388</v>
      </c>
      <c r="F2263" s="72" t="s">
        <v>95</v>
      </c>
      <c r="G2263" s="72" t="s">
        <v>96</v>
      </c>
      <c r="H2263" s="72" t="s">
        <v>88</v>
      </c>
    </row>
    <row r="2264" spans="1:8" x14ac:dyDescent="0.25">
      <c r="A2264" s="43" t="s">
        <v>1156</v>
      </c>
      <c r="B2264" s="43" t="s">
        <v>211</v>
      </c>
      <c r="C2264" s="46">
        <v>68</v>
      </c>
      <c r="D2264" s="46">
        <v>2112536.918200471</v>
      </c>
      <c r="E2264" s="43">
        <v>274629.79936606123</v>
      </c>
      <c r="F2264" s="43" t="s">
        <v>70</v>
      </c>
      <c r="G2264" s="43" t="s">
        <v>71</v>
      </c>
      <c r="H2264" s="43" t="s">
        <v>72</v>
      </c>
    </row>
    <row r="2265" spans="1:8" x14ac:dyDescent="0.25">
      <c r="A2265" s="43" t="s">
        <v>4195</v>
      </c>
      <c r="B2265" s="43" t="s">
        <v>112</v>
      </c>
      <c r="C2265" s="46">
        <v>68</v>
      </c>
      <c r="D2265" s="46">
        <v>1472019.4745234195</v>
      </c>
      <c r="E2265" s="43">
        <v>58880.778980936782</v>
      </c>
      <c r="F2265" s="43" t="s">
        <v>106</v>
      </c>
      <c r="G2265" s="43" t="s">
        <v>71</v>
      </c>
      <c r="H2265" s="43" t="s">
        <v>72</v>
      </c>
    </row>
    <row r="2266" spans="1:8" x14ac:dyDescent="0.25">
      <c r="A2266" s="43" t="s">
        <v>2253</v>
      </c>
      <c r="B2266" s="43" t="s">
        <v>112</v>
      </c>
      <c r="C2266" s="46">
        <v>68</v>
      </c>
      <c r="D2266" s="46">
        <v>1672537.1020394084</v>
      </c>
      <c r="E2266" s="43">
        <v>167253.71020394086</v>
      </c>
      <c r="F2266" s="43" t="s">
        <v>106</v>
      </c>
      <c r="G2266" s="43" t="s">
        <v>71</v>
      </c>
      <c r="H2266" s="43" t="s">
        <v>72</v>
      </c>
    </row>
    <row r="2267" spans="1:8" x14ac:dyDescent="0.25">
      <c r="A2267" s="43" t="s">
        <v>3799</v>
      </c>
      <c r="B2267" s="43" t="s">
        <v>112</v>
      </c>
      <c r="C2267" s="46">
        <v>68</v>
      </c>
      <c r="D2267" s="46">
        <v>1495529.4813218634</v>
      </c>
      <c r="E2267" s="43">
        <v>74776.474066093171</v>
      </c>
      <c r="F2267" s="43" t="s">
        <v>70</v>
      </c>
      <c r="G2267" s="43" t="s">
        <v>71</v>
      </c>
      <c r="H2267" s="43" t="s">
        <v>72</v>
      </c>
    </row>
    <row r="2268" spans="1:8" x14ac:dyDescent="0.25">
      <c r="A2268" s="43" t="s">
        <v>1547</v>
      </c>
      <c r="B2268" s="43" t="s">
        <v>73</v>
      </c>
      <c r="C2268" s="46">
        <v>68</v>
      </c>
      <c r="D2268" s="46">
        <v>2085851.722288802</v>
      </c>
      <c r="E2268" s="43">
        <v>229443.68945176827</v>
      </c>
      <c r="F2268" s="43" t="s">
        <v>87</v>
      </c>
      <c r="G2268" s="43" t="s">
        <v>71</v>
      </c>
      <c r="H2268" s="43" t="s">
        <v>88</v>
      </c>
    </row>
    <row r="2269" spans="1:8" x14ac:dyDescent="0.25">
      <c r="A2269" s="72" t="s">
        <v>3800</v>
      </c>
      <c r="B2269" s="72" t="s">
        <v>102</v>
      </c>
      <c r="C2269" s="73">
        <v>68</v>
      </c>
      <c r="D2269" s="73">
        <v>1495529.4813218634</v>
      </c>
      <c r="E2269" s="72">
        <v>74776.474066093171</v>
      </c>
      <c r="F2269" s="72" t="s">
        <v>70</v>
      </c>
      <c r="G2269" s="72" t="s">
        <v>71</v>
      </c>
      <c r="H2269" s="72" t="s">
        <v>72</v>
      </c>
    </row>
    <row r="2270" spans="1:8" x14ac:dyDescent="0.25">
      <c r="A2270" s="72" t="s">
        <v>2556</v>
      </c>
      <c r="B2270" s="72" t="s">
        <v>102</v>
      </c>
      <c r="C2270" s="73">
        <v>68</v>
      </c>
      <c r="D2270" s="73">
        <v>1820239.6723631374</v>
      </c>
      <c r="E2270" s="72">
        <v>145619.17378905098</v>
      </c>
      <c r="F2270" s="72" t="s">
        <v>70</v>
      </c>
      <c r="G2270" s="72" t="s">
        <v>71</v>
      </c>
      <c r="H2270" s="72" t="s">
        <v>72</v>
      </c>
    </row>
    <row r="2271" spans="1:8" x14ac:dyDescent="0.25">
      <c r="A2271" s="43" t="s">
        <v>1385</v>
      </c>
      <c r="B2271" s="43" t="s">
        <v>85</v>
      </c>
      <c r="C2271" s="46">
        <v>68</v>
      </c>
      <c r="D2271" s="46">
        <v>2063978.129478191</v>
      </c>
      <c r="E2271" s="43">
        <v>247677.37553738296</v>
      </c>
      <c r="F2271" s="43" t="s">
        <v>70</v>
      </c>
      <c r="G2271" s="43" t="s">
        <v>71</v>
      </c>
      <c r="H2271" s="43" t="s">
        <v>72</v>
      </c>
    </row>
    <row r="2272" spans="1:8" x14ac:dyDescent="0.25">
      <c r="A2272" s="72" t="s">
        <v>1638</v>
      </c>
      <c r="B2272" s="72" t="s">
        <v>97</v>
      </c>
      <c r="C2272" s="73">
        <v>68</v>
      </c>
      <c r="D2272" s="73">
        <v>2011623.9877238029</v>
      </c>
      <c r="E2272" s="72">
        <v>221278.63864961834</v>
      </c>
      <c r="F2272" s="72" t="s">
        <v>70</v>
      </c>
      <c r="G2272" s="72" t="s">
        <v>71</v>
      </c>
      <c r="H2272" s="72" t="s">
        <v>72</v>
      </c>
    </row>
    <row r="2273" spans="1:8" x14ac:dyDescent="0.25">
      <c r="A2273" s="43" t="s">
        <v>2099</v>
      </c>
      <c r="B2273" s="43" t="s">
        <v>93</v>
      </c>
      <c r="C2273" s="46">
        <v>68</v>
      </c>
      <c r="D2273" s="46">
        <v>2001655.0657362989</v>
      </c>
      <c r="E2273" s="43">
        <v>180148.95591626689</v>
      </c>
      <c r="F2273" s="43" t="s">
        <v>87</v>
      </c>
      <c r="G2273" s="43" t="s">
        <v>71</v>
      </c>
      <c r="H2273" s="43" t="s">
        <v>88</v>
      </c>
    </row>
    <row r="2274" spans="1:8" x14ac:dyDescent="0.25">
      <c r="A2274" s="72" t="s">
        <v>1919</v>
      </c>
      <c r="B2274" s="72" t="s">
        <v>83</v>
      </c>
      <c r="C2274" s="73">
        <v>68</v>
      </c>
      <c r="D2274" s="73">
        <v>1954562.5727779448</v>
      </c>
      <c r="E2274" s="72">
        <v>195456.2572777945</v>
      </c>
      <c r="F2274" s="72" t="s">
        <v>70</v>
      </c>
      <c r="G2274" s="72" t="s">
        <v>71</v>
      </c>
      <c r="H2274" s="72" t="s">
        <v>72</v>
      </c>
    </row>
    <row r="2275" spans="1:8" x14ac:dyDescent="0.25">
      <c r="A2275" s="72" t="s">
        <v>1157</v>
      </c>
      <c r="B2275" s="72" t="s">
        <v>145</v>
      </c>
      <c r="C2275" s="73">
        <v>68</v>
      </c>
      <c r="D2275" s="73">
        <v>2112536.918200471</v>
      </c>
      <c r="E2275" s="72">
        <v>274629.79936606123</v>
      </c>
      <c r="F2275" s="72" t="s">
        <v>70</v>
      </c>
      <c r="G2275" s="72" t="s">
        <v>71</v>
      </c>
      <c r="H2275" s="72" t="s">
        <v>72</v>
      </c>
    </row>
    <row r="2276" spans="1:8" x14ac:dyDescent="0.25">
      <c r="A2276" s="43" t="s">
        <v>1639</v>
      </c>
      <c r="B2276" s="43" t="s">
        <v>107</v>
      </c>
      <c r="C2276" s="46">
        <v>68</v>
      </c>
      <c r="D2276" s="46">
        <v>2011623.9877238029</v>
      </c>
      <c r="E2276" s="43">
        <v>221278.63864961834</v>
      </c>
      <c r="F2276" s="43" t="s">
        <v>70</v>
      </c>
      <c r="G2276" s="43" t="s">
        <v>71</v>
      </c>
      <c r="H2276" s="43" t="s">
        <v>72</v>
      </c>
    </row>
    <row r="2277" spans="1:8" x14ac:dyDescent="0.25">
      <c r="A2277" s="43" t="s">
        <v>950</v>
      </c>
      <c r="B2277" s="43" t="s">
        <v>102</v>
      </c>
      <c r="C2277" s="46">
        <v>68</v>
      </c>
      <c r="D2277" s="46">
        <v>2157955.8552575912</v>
      </c>
      <c r="E2277" s="43">
        <v>302113.81973606272</v>
      </c>
      <c r="F2277" s="43" t="s">
        <v>70</v>
      </c>
      <c r="G2277" s="43" t="s">
        <v>71</v>
      </c>
      <c r="H2277" s="43" t="s">
        <v>72</v>
      </c>
    </row>
    <row r="2278" spans="1:8" x14ac:dyDescent="0.25">
      <c r="A2278" s="43" t="s">
        <v>2241</v>
      </c>
      <c r="B2278" s="43" t="s">
        <v>85</v>
      </c>
      <c r="C2278" s="46">
        <v>67</v>
      </c>
      <c r="D2278" s="46">
        <v>1862682.6963907089</v>
      </c>
      <c r="E2278" s="43">
        <v>167641.44267516379</v>
      </c>
      <c r="F2278" s="43" t="s">
        <v>70</v>
      </c>
      <c r="G2278" s="43" t="s">
        <v>71</v>
      </c>
      <c r="H2278" s="43" t="s">
        <v>72</v>
      </c>
    </row>
    <row r="2279" spans="1:8" x14ac:dyDescent="0.25">
      <c r="A2279" s="43" t="s">
        <v>984</v>
      </c>
      <c r="B2279" s="43" t="s">
        <v>102</v>
      </c>
      <c r="C2279" s="46">
        <v>67</v>
      </c>
      <c r="D2279" s="46">
        <v>2125258.0462886547</v>
      </c>
      <c r="E2279" s="43">
        <v>297536.12648041162</v>
      </c>
      <c r="F2279" s="43" t="s">
        <v>70</v>
      </c>
      <c r="G2279" s="43" t="s">
        <v>71</v>
      </c>
      <c r="H2279" s="43" t="s">
        <v>72</v>
      </c>
    </row>
    <row r="2280" spans="1:8" x14ac:dyDescent="0.25">
      <c r="A2280" s="43" t="s">
        <v>2585</v>
      </c>
      <c r="B2280" s="43" t="s">
        <v>176</v>
      </c>
      <c r="C2280" s="46">
        <v>67</v>
      </c>
      <c r="D2280" s="46">
        <v>1792508.2778485308</v>
      </c>
      <c r="E2280" s="43">
        <v>143400.66222788248</v>
      </c>
      <c r="F2280" s="43" t="s">
        <v>70</v>
      </c>
      <c r="G2280" s="43" t="s">
        <v>71</v>
      </c>
      <c r="H2280" s="43" t="s">
        <v>72</v>
      </c>
    </row>
    <row r="2281" spans="1:8" x14ac:dyDescent="0.25">
      <c r="A2281" s="72" t="s">
        <v>2586</v>
      </c>
      <c r="B2281" s="72" t="s">
        <v>176</v>
      </c>
      <c r="C2281" s="73">
        <v>67</v>
      </c>
      <c r="D2281" s="73">
        <v>1792508.2778485308</v>
      </c>
      <c r="E2281" s="72">
        <v>143400.66222788248</v>
      </c>
      <c r="F2281" s="72" t="s">
        <v>70</v>
      </c>
      <c r="G2281" s="72" t="s">
        <v>71</v>
      </c>
      <c r="H2281" s="72" t="s">
        <v>72</v>
      </c>
    </row>
    <row r="2282" spans="1:8" x14ac:dyDescent="0.25">
      <c r="A2282" s="43" t="s">
        <v>2901</v>
      </c>
      <c r="B2282" s="43" t="s">
        <v>176</v>
      </c>
      <c r="C2282" s="46">
        <v>67</v>
      </c>
      <c r="D2282" s="46">
        <v>1765138.4596645972</v>
      </c>
      <c r="E2282" s="43">
        <v>123559.69217652178</v>
      </c>
      <c r="F2282" s="43" t="s">
        <v>78</v>
      </c>
      <c r="G2282" s="43" t="s">
        <v>71</v>
      </c>
      <c r="H2282" s="43" t="s">
        <v>72</v>
      </c>
    </row>
    <row r="2283" spans="1:8" x14ac:dyDescent="0.25">
      <c r="A2283" s="43" t="s">
        <v>1412</v>
      </c>
      <c r="B2283" s="43" t="s">
        <v>139</v>
      </c>
      <c r="C2283" s="46">
        <v>67</v>
      </c>
      <c r="D2283" s="46">
        <v>2032662.345888363</v>
      </c>
      <c r="E2283" s="43">
        <v>243919.4815066036</v>
      </c>
      <c r="F2283" s="43" t="s">
        <v>70</v>
      </c>
      <c r="G2283" s="43" t="s">
        <v>71</v>
      </c>
      <c r="H2283" s="43" t="s">
        <v>72</v>
      </c>
    </row>
    <row r="2284" spans="1:8" x14ac:dyDescent="0.25">
      <c r="A2284" s="72" t="s">
        <v>985</v>
      </c>
      <c r="B2284" s="72" t="s">
        <v>85</v>
      </c>
      <c r="C2284" s="73">
        <v>67</v>
      </c>
      <c r="D2284" s="73">
        <v>2125258.0462886547</v>
      </c>
      <c r="E2284" s="72">
        <v>297536.12648041162</v>
      </c>
      <c r="F2284" s="72" t="s">
        <v>70</v>
      </c>
      <c r="G2284" s="72" t="s">
        <v>71</v>
      </c>
      <c r="H2284" s="72" t="s">
        <v>72</v>
      </c>
    </row>
    <row r="2285" spans="1:8" x14ac:dyDescent="0.25">
      <c r="A2285" s="72" t="s">
        <v>3342</v>
      </c>
      <c r="B2285" s="72" t="s">
        <v>252</v>
      </c>
      <c r="C2285" s="73">
        <v>67</v>
      </c>
      <c r="D2285" s="73">
        <v>1610505.5281271113</v>
      </c>
      <c r="E2285" s="72">
        <v>96630.331687626691</v>
      </c>
      <c r="F2285" s="72" t="s">
        <v>70</v>
      </c>
      <c r="G2285" s="72" t="s">
        <v>71</v>
      </c>
      <c r="H2285" s="72" t="s">
        <v>72</v>
      </c>
    </row>
    <row r="2286" spans="1:8" x14ac:dyDescent="0.25">
      <c r="A2286" s="43" t="s">
        <v>2587</v>
      </c>
      <c r="B2286" s="43" t="s">
        <v>265</v>
      </c>
      <c r="C2286" s="46">
        <v>67</v>
      </c>
      <c r="D2286" s="46">
        <v>1792508.2778485308</v>
      </c>
      <c r="E2286" s="43">
        <v>143400.66222788248</v>
      </c>
      <c r="F2286" s="43" t="s">
        <v>70</v>
      </c>
      <c r="G2286" s="43" t="s">
        <v>71</v>
      </c>
      <c r="H2286" s="43" t="s">
        <v>72</v>
      </c>
    </row>
    <row r="2287" spans="1:8" x14ac:dyDescent="0.25">
      <c r="A2287" s="72" t="s">
        <v>3546</v>
      </c>
      <c r="B2287" s="72" t="s">
        <v>77</v>
      </c>
      <c r="C2287" s="73">
        <v>67</v>
      </c>
      <c r="D2287" s="73">
        <v>1712975.692642174</v>
      </c>
      <c r="E2287" s="72">
        <v>85648.784632108698</v>
      </c>
      <c r="F2287" s="72" t="s">
        <v>87</v>
      </c>
      <c r="G2287" s="72" t="s">
        <v>71</v>
      </c>
      <c r="H2287" s="72" t="s">
        <v>88</v>
      </c>
    </row>
    <row r="2288" spans="1:8" x14ac:dyDescent="0.25">
      <c r="A2288" s="43" t="s">
        <v>3820</v>
      </c>
      <c r="B2288" s="43" t="s">
        <v>113</v>
      </c>
      <c r="C2288" s="46">
        <v>67</v>
      </c>
      <c r="D2288" s="46">
        <v>1472573.2366755106</v>
      </c>
      <c r="E2288" s="43">
        <v>73628.661833775535</v>
      </c>
      <c r="F2288" s="43" t="s">
        <v>70</v>
      </c>
      <c r="G2288" s="43" t="s">
        <v>71</v>
      </c>
      <c r="H2288" s="43" t="s">
        <v>72</v>
      </c>
    </row>
    <row r="2289" spans="1:8" x14ac:dyDescent="0.25">
      <c r="A2289" s="72" t="s">
        <v>4222</v>
      </c>
      <c r="B2289" s="72" t="s">
        <v>75</v>
      </c>
      <c r="C2289" s="73">
        <v>67</v>
      </c>
      <c r="D2289" s="73">
        <v>1449420.4563404818</v>
      </c>
      <c r="E2289" s="72">
        <v>57976.818253619269</v>
      </c>
      <c r="F2289" s="72" t="s">
        <v>106</v>
      </c>
      <c r="G2289" s="72" t="s">
        <v>71</v>
      </c>
      <c r="H2289" s="72" t="s">
        <v>72</v>
      </c>
    </row>
    <row r="2290" spans="1:8" x14ac:dyDescent="0.25">
      <c r="A2290" s="43" t="s">
        <v>1509</v>
      </c>
      <c r="B2290" s="43" t="s">
        <v>410</v>
      </c>
      <c r="C2290" s="46">
        <v>67</v>
      </c>
      <c r="D2290" s="46">
        <v>1807710.4001055025</v>
      </c>
      <c r="E2290" s="43">
        <v>235002.35201371528</v>
      </c>
      <c r="F2290" s="43" t="s">
        <v>95</v>
      </c>
      <c r="G2290" s="43" t="s">
        <v>96</v>
      </c>
      <c r="H2290" s="43" t="s">
        <v>88</v>
      </c>
    </row>
    <row r="2291" spans="1:8" x14ac:dyDescent="0.25">
      <c r="A2291" s="43" t="s">
        <v>3343</v>
      </c>
      <c r="B2291" s="43" t="s">
        <v>112</v>
      </c>
      <c r="C2291" s="46">
        <v>67</v>
      </c>
      <c r="D2291" s="46">
        <v>1610505.5281271113</v>
      </c>
      <c r="E2291" s="43">
        <v>96630.331687626691</v>
      </c>
      <c r="F2291" s="43" t="s">
        <v>70</v>
      </c>
      <c r="G2291" s="43" t="s">
        <v>71</v>
      </c>
      <c r="H2291" s="43" t="s">
        <v>72</v>
      </c>
    </row>
    <row r="2292" spans="1:8" x14ac:dyDescent="0.25">
      <c r="A2292" s="43" t="s">
        <v>1952</v>
      </c>
      <c r="B2292" s="43" t="s">
        <v>97</v>
      </c>
      <c r="C2292" s="46">
        <v>67</v>
      </c>
      <c r="D2292" s="46">
        <v>1924855.8414925323</v>
      </c>
      <c r="E2292" s="43">
        <v>192485.58414925323</v>
      </c>
      <c r="F2292" s="43" t="s">
        <v>70</v>
      </c>
      <c r="G2292" s="43" t="s">
        <v>71</v>
      </c>
      <c r="H2292" s="43" t="s">
        <v>72</v>
      </c>
    </row>
    <row r="2293" spans="1:8" x14ac:dyDescent="0.25">
      <c r="A2293" s="72" t="s">
        <v>2242</v>
      </c>
      <c r="B2293" s="72" t="s">
        <v>73</v>
      </c>
      <c r="C2293" s="73">
        <v>67</v>
      </c>
      <c r="D2293" s="73">
        <v>1862682.6963907089</v>
      </c>
      <c r="E2293" s="72">
        <v>167641.44267516379</v>
      </c>
      <c r="F2293" s="72" t="s">
        <v>70</v>
      </c>
      <c r="G2293" s="72" t="s">
        <v>71</v>
      </c>
      <c r="H2293" s="72" t="s">
        <v>72</v>
      </c>
    </row>
    <row r="2294" spans="1:8" x14ac:dyDescent="0.25">
      <c r="A2294" s="43" t="s">
        <v>2963</v>
      </c>
      <c r="B2294" s="43" t="s">
        <v>378</v>
      </c>
      <c r="C2294" s="46">
        <v>67</v>
      </c>
      <c r="D2294" s="46">
        <v>1710806.2255033625</v>
      </c>
      <c r="E2294" s="43">
        <v>119756.43578523536</v>
      </c>
      <c r="F2294" s="43" t="s">
        <v>70</v>
      </c>
      <c r="G2294" s="43" t="s">
        <v>71</v>
      </c>
      <c r="H2294" s="43" t="s">
        <v>72</v>
      </c>
    </row>
    <row r="2295" spans="1:8" x14ac:dyDescent="0.25">
      <c r="A2295" s="43" t="s">
        <v>3777</v>
      </c>
      <c r="B2295" s="43" t="s">
        <v>252</v>
      </c>
      <c r="C2295" s="46">
        <v>67</v>
      </c>
      <c r="D2295" s="46">
        <v>1520724.3281839502</v>
      </c>
      <c r="E2295" s="43">
        <v>76036.216409197514</v>
      </c>
      <c r="F2295" s="43" t="s">
        <v>78</v>
      </c>
      <c r="G2295" s="43" t="s">
        <v>71</v>
      </c>
      <c r="H2295" s="43" t="s">
        <v>72</v>
      </c>
    </row>
    <row r="2296" spans="1:8" x14ac:dyDescent="0.25">
      <c r="A2296" s="43" t="s">
        <v>986</v>
      </c>
      <c r="B2296" s="43" t="s">
        <v>73</v>
      </c>
      <c r="C2296" s="46">
        <v>67</v>
      </c>
      <c r="D2296" s="46">
        <v>2125258.0462886547</v>
      </c>
      <c r="E2296" s="43">
        <v>297536.12648041162</v>
      </c>
      <c r="F2296" s="43" t="s">
        <v>70</v>
      </c>
      <c r="G2296" s="43" t="s">
        <v>71</v>
      </c>
      <c r="H2296" s="43" t="s">
        <v>72</v>
      </c>
    </row>
    <row r="2297" spans="1:8" x14ac:dyDescent="0.25">
      <c r="A2297" s="72" t="s">
        <v>1413</v>
      </c>
      <c r="B2297" s="72" t="s">
        <v>996</v>
      </c>
      <c r="C2297" s="73">
        <v>67</v>
      </c>
      <c r="D2297" s="73">
        <v>2032662.345888363</v>
      </c>
      <c r="E2297" s="72">
        <v>243919.4815066036</v>
      </c>
      <c r="F2297" s="72" t="s">
        <v>70</v>
      </c>
      <c r="G2297" s="72" t="s">
        <v>71</v>
      </c>
      <c r="H2297" s="72" t="s">
        <v>72</v>
      </c>
    </row>
    <row r="2298" spans="1:8" x14ac:dyDescent="0.25">
      <c r="A2298" s="72" t="s">
        <v>1353</v>
      </c>
      <c r="B2298" s="72" t="s">
        <v>93</v>
      </c>
      <c r="C2298" s="73">
        <v>67</v>
      </c>
      <c r="D2298" s="73">
        <v>2090431.5010933902</v>
      </c>
      <c r="E2298" s="72">
        <v>250851.78013120682</v>
      </c>
      <c r="F2298" s="72" t="s">
        <v>87</v>
      </c>
      <c r="G2298" s="72" t="s">
        <v>71</v>
      </c>
      <c r="H2298" s="72" t="s">
        <v>88</v>
      </c>
    </row>
    <row r="2299" spans="1:8" x14ac:dyDescent="0.25">
      <c r="A2299" s="72" t="s">
        <v>987</v>
      </c>
      <c r="B2299" s="72" t="s">
        <v>112</v>
      </c>
      <c r="C2299" s="73">
        <v>67</v>
      </c>
      <c r="D2299" s="73">
        <v>2125258.0462886547</v>
      </c>
      <c r="E2299" s="72">
        <v>297536.12648041162</v>
      </c>
      <c r="F2299" s="72" t="s">
        <v>70</v>
      </c>
      <c r="G2299" s="72" t="s">
        <v>71</v>
      </c>
      <c r="H2299" s="72" t="s">
        <v>72</v>
      </c>
    </row>
    <row r="2300" spans="1:8" x14ac:dyDescent="0.25">
      <c r="A2300" s="43" t="s">
        <v>2288</v>
      </c>
      <c r="B2300" s="43" t="s">
        <v>75</v>
      </c>
      <c r="C2300" s="46">
        <v>67</v>
      </c>
      <c r="D2300" s="46">
        <v>1646989.2952165296</v>
      </c>
      <c r="E2300" s="43">
        <v>164698.92952165299</v>
      </c>
      <c r="F2300" s="43" t="s">
        <v>106</v>
      </c>
      <c r="G2300" s="43" t="s">
        <v>71</v>
      </c>
      <c r="H2300" s="43" t="s">
        <v>72</v>
      </c>
    </row>
    <row r="2301" spans="1:8" x14ac:dyDescent="0.25">
      <c r="A2301" s="43" t="s">
        <v>988</v>
      </c>
      <c r="B2301" s="43" t="s">
        <v>102</v>
      </c>
      <c r="C2301" s="46">
        <v>67</v>
      </c>
      <c r="D2301" s="46">
        <v>2125258.0462886547</v>
      </c>
      <c r="E2301" s="43">
        <v>297536.12648041162</v>
      </c>
      <c r="F2301" s="43" t="s">
        <v>70</v>
      </c>
      <c r="G2301" s="43" t="s">
        <v>71</v>
      </c>
      <c r="H2301" s="43" t="s">
        <v>72</v>
      </c>
    </row>
    <row r="2302" spans="1:8" x14ac:dyDescent="0.25">
      <c r="A2302" s="43" t="s">
        <v>2243</v>
      </c>
      <c r="B2302" s="43" t="s">
        <v>97</v>
      </c>
      <c r="C2302" s="46">
        <v>67</v>
      </c>
      <c r="D2302" s="46">
        <v>1862682.6963907089</v>
      </c>
      <c r="E2302" s="43">
        <v>167641.44267516379</v>
      </c>
      <c r="F2302" s="43" t="s">
        <v>70</v>
      </c>
      <c r="G2302" s="43" t="s">
        <v>71</v>
      </c>
      <c r="H2302" s="43" t="s">
        <v>72</v>
      </c>
    </row>
    <row r="2303" spans="1:8" x14ac:dyDescent="0.25">
      <c r="A2303" s="43" t="s">
        <v>2012</v>
      </c>
      <c r="B2303" s="43" t="s">
        <v>236</v>
      </c>
      <c r="C2303" s="46">
        <v>67</v>
      </c>
      <c r="D2303" s="46">
        <v>1865887.3785926355</v>
      </c>
      <c r="E2303" s="43">
        <v>186588.73785926355</v>
      </c>
      <c r="F2303" s="43" t="s">
        <v>84</v>
      </c>
      <c r="G2303" s="43" t="s">
        <v>71</v>
      </c>
      <c r="H2303" s="43" t="s">
        <v>72</v>
      </c>
    </row>
    <row r="2304" spans="1:8" x14ac:dyDescent="0.25">
      <c r="A2304" s="72" t="s">
        <v>2722</v>
      </c>
      <c r="B2304" s="72" t="s">
        <v>115</v>
      </c>
      <c r="C2304" s="73">
        <v>67</v>
      </c>
      <c r="D2304" s="73">
        <v>1684125.2425189144</v>
      </c>
      <c r="E2304" s="72">
        <v>134730.01940151316</v>
      </c>
      <c r="F2304" s="72" t="s">
        <v>84</v>
      </c>
      <c r="G2304" s="72" t="s">
        <v>71</v>
      </c>
      <c r="H2304" s="72" t="s">
        <v>72</v>
      </c>
    </row>
    <row r="2305" spans="1:8" x14ac:dyDescent="0.25">
      <c r="A2305" s="43" t="s">
        <v>1187</v>
      </c>
      <c r="B2305" s="43" t="s">
        <v>74</v>
      </c>
      <c r="C2305" s="46">
        <v>67</v>
      </c>
      <c r="D2305" s="46">
        <v>2080507.0347764918</v>
      </c>
      <c r="E2305" s="43">
        <v>270465.91452094394</v>
      </c>
      <c r="F2305" s="43" t="s">
        <v>70</v>
      </c>
      <c r="G2305" s="43" t="s">
        <v>71</v>
      </c>
      <c r="H2305" s="43" t="s">
        <v>72</v>
      </c>
    </row>
    <row r="2306" spans="1:8" x14ac:dyDescent="0.25">
      <c r="A2306" s="72" t="s">
        <v>1145</v>
      </c>
      <c r="B2306" s="72" t="s">
        <v>73</v>
      </c>
      <c r="C2306" s="73">
        <v>67</v>
      </c>
      <c r="D2306" s="73">
        <v>2123809.4248134685</v>
      </c>
      <c r="E2306" s="72">
        <v>276095.22522575094</v>
      </c>
      <c r="F2306" s="72" t="s">
        <v>87</v>
      </c>
      <c r="G2306" s="72" t="s">
        <v>71</v>
      </c>
      <c r="H2306" s="72" t="s">
        <v>88</v>
      </c>
    </row>
    <row r="2307" spans="1:8" x14ac:dyDescent="0.25">
      <c r="A2307" s="43" t="s">
        <v>1674</v>
      </c>
      <c r="B2307" s="43" t="s">
        <v>73</v>
      </c>
      <c r="C2307" s="46">
        <v>67</v>
      </c>
      <c r="D2307" s="46">
        <v>1981078.1179833044</v>
      </c>
      <c r="E2307" s="43">
        <v>217918.59297816351</v>
      </c>
      <c r="F2307" s="43" t="s">
        <v>70</v>
      </c>
      <c r="G2307" s="43" t="s">
        <v>71</v>
      </c>
      <c r="H2307" s="43" t="s">
        <v>72</v>
      </c>
    </row>
    <row r="2308" spans="1:8" x14ac:dyDescent="0.25">
      <c r="A2308" s="72" t="s">
        <v>3284</v>
      </c>
      <c r="B2308" s="72" t="s">
        <v>77</v>
      </c>
      <c r="C2308" s="73">
        <v>67</v>
      </c>
      <c r="D2308" s="73">
        <v>1662235.3816453132</v>
      </c>
      <c r="E2308" s="72">
        <v>99734.122898718808</v>
      </c>
      <c r="F2308" s="72" t="s">
        <v>78</v>
      </c>
      <c r="G2308" s="72" t="s">
        <v>71</v>
      </c>
      <c r="H2308" s="72" t="s">
        <v>72</v>
      </c>
    </row>
    <row r="2309" spans="1:8" x14ac:dyDescent="0.25">
      <c r="A2309" s="72" t="s">
        <v>3821</v>
      </c>
      <c r="B2309" s="72" t="s">
        <v>102</v>
      </c>
      <c r="C2309" s="73">
        <v>67</v>
      </c>
      <c r="D2309" s="73">
        <v>1472573.2366755106</v>
      </c>
      <c r="E2309" s="72">
        <v>73628.661833775535</v>
      </c>
      <c r="F2309" s="72" t="s">
        <v>70</v>
      </c>
      <c r="G2309" s="72" t="s">
        <v>71</v>
      </c>
      <c r="H2309" s="72" t="s">
        <v>72</v>
      </c>
    </row>
    <row r="2310" spans="1:8" x14ac:dyDescent="0.25">
      <c r="A2310" s="43" t="s">
        <v>3177</v>
      </c>
      <c r="B2310" s="43" t="s">
        <v>77</v>
      </c>
      <c r="C2310" s="46">
        <v>66</v>
      </c>
      <c r="D2310" s="46">
        <v>1770931.8038156305</v>
      </c>
      <c r="E2310" s="43">
        <v>106255.90822893783</v>
      </c>
      <c r="F2310" s="43" t="s">
        <v>87</v>
      </c>
      <c r="G2310" s="43" t="s">
        <v>71</v>
      </c>
      <c r="H2310" s="43" t="s">
        <v>88</v>
      </c>
    </row>
    <row r="2311" spans="1:8" x14ac:dyDescent="0.25">
      <c r="A2311" s="43" t="s">
        <v>3369</v>
      </c>
      <c r="B2311" s="43" t="s">
        <v>74</v>
      </c>
      <c r="C2311" s="46">
        <v>66</v>
      </c>
      <c r="D2311" s="46">
        <v>1585520.2208732569</v>
      </c>
      <c r="E2311" s="43">
        <v>95131.213252395435</v>
      </c>
      <c r="F2311" s="43" t="s">
        <v>70</v>
      </c>
      <c r="G2311" s="43" t="s">
        <v>71</v>
      </c>
      <c r="H2311" s="43" t="s">
        <v>72</v>
      </c>
    </row>
    <row r="2312" spans="1:8" x14ac:dyDescent="0.25">
      <c r="A2312" s="43" t="s">
        <v>4247</v>
      </c>
      <c r="B2312" s="43" t="s">
        <v>73</v>
      </c>
      <c r="C2312" s="46">
        <v>66</v>
      </c>
      <c r="D2312" s="46">
        <v>1426850.9185941573</v>
      </c>
      <c r="E2312" s="43">
        <v>57074.036743766294</v>
      </c>
      <c r="F2312" s="43" t="s">
        <v>106</v>
      </c>
      <c r="G2312" s="43" t="s">
        <v>71</v>
      </c>
      <c r="H2312" s="43" t="s">
        <v>72</v>
      </c>
    </row>
    <row r="2313" spans="1:8" x14ac:dyDescent="0.25">
      <c r="A2313" s="72" t="s">
        <v>4248</v>
      </c>
      <c r="B2313" s="72" t="s">
        <v>75</v>
      </c>
      <c r="C2313" s="73">
        <v>66</v>
      </c>
      <c r="D2313" s="73">
        <v>1426850.9185941573</v>
      </c>
      <c r="E2313" s="72">
        <v>57074.036743766294</v>
      </c>
      <c r="F2313" s="72" t="s">
        <v>106</v>
      </c>
      <c r="G2313" s="72" t="s">
        <v>71</v>
      </c>
      <c r="H2313" s="72" t="s">
        <v>72</v>
      </c>
    </row>
    <row r="2314" spans="1:8" x14ac:dyDescent="0.25">
      <c r="A2314" s="72" t="s">
        <v>1887</v>
      </c>
      <c r="B2314" s="72" t="s">
        <v>176</v>
      </c>
      <c r="C2314" s="73">
        <v>66</v>
      </c>
      <c r="D2314" s="73">
        <v>1658153.5039071441</v>
      </c>
      <c r="E2314" s="72">
        <v>198978.42046885728</v>
      </c>
      <c r="F2314" s="72" t="s">
        <v>106</v>
      </c>
      <c r="G2314" s="72" t="s">
        <v>71</v>
      </c>
      <c r="H2314" s="72" t="s">
        <v>72</v>
      </c>
    </row>
    <row r="2315" spans="1:8" x14ac:dyDescent="0.25">
      <c r="A2315" s="43" t="s">
        <v>3433</v>
      </c>
      <c r="B2315" s="43" t="s">
        <v>85</v>
      </c>
      <c r="C2315" s="46">
        <v>66</v>
      </c>
      <c r="D2315" s="46">
        <v>1517426.7082500188</v>
      </c>
      <c r="E2315" s="43">
        <v>91045.602495001149</v>
      </c>
      <c r="F2315" s="43" t="s">
        <v>106</v>
      </c>
      <c r="G2315" s="43" t="s">
        <v>71</v>
      </c>
      <c r="H2315" s="43" t="s">
        <v>72</v>
      </c>
    </row>
    <row r="2316" spans="1:8" x14ac:dyDescent="0.25">
      <c r="A2316" s="72" t="s">
        <v>1178</v>
      </c>
      <c r="B2316" s="72" t="s">
        <v>75</v>
      </c>
      <c r="C2316" s="73">
        <v>66</v>
      </c>
      <c r="D2316" s="73">
        <v>2091292.4465413422</v>
      </c>
      <c r="E2316" s="72">
        <v>271868.01805037452</v>
      </c>
      <c r="F2316" s="72" t="s">
        <v>87</v>
      </c>
      <c r="G2316" s="72" t="s">
        <v>71</v>
      </c>
      <c r="H2316" s="72" t="s">
        <v>88</v>
      </c>
    </row>
    <row r="2317" spans="1:8" x14ac:dyDescent="0.25">
      <c r="A2317" s="43" t="s">
        <v>2280</v>
      </c>
      <c r="B2317" s="43" t="s">
        <v>97</v>
      </c>
      <c r="C2317" s="46">
        <v>66</v>
      </c>
      <c r="D2317" s="46">
        <v>1833933.5508045615</v>
      </c>
      <c r="E2317" s="43">
        <v>165054.01957241053</v>
      </c>
      <c r="F2317" s="43" t="s">
        <v>70</v>
      </c>
      <c r="G2317" s="43" t="s">
        <v>71</v>
      </c>
      <c r="H2317" s="43" t="s">
        <v>72</v>
      </c>
    </row>
    <row r="2318" spans="1:8" x14ac:dyDescent="0.25">
      <c r="A2318" s="43" t="s">
        <v>1024</v>
      </c>
      <c r="B2318" s="43" t="s">
        <v>85</v>
      </c>
      <c r="C2318" s="46">
        <v>66</v>
      </c>
      <c r="D2318" s="46">
        <v>2092589.8656294039</v>
      </c>
      <c r="E2318" s="43">
        <v>292962.58118811651</v>
      </c>
      <c r="F2318" s="43" t="s">
        <v>70</v>
      </c>
      <c r="G2318" s="43" t="s">
        <v>71</v>
      </c>
      <c r="H2318" s="43" t="s">
        <v>72</v>
      </c>
    </row>
    <row r="2319" spans="1:8" x14ac:dyDescent="0.25">
      <c r="A2319" s="43" t="s">
        <v>1888</v>
      </c>
      <c r="B2319" s="43" t="s">
        <v>257</v>
      </c>
      <c r="C2319" s="46">
        <v>66</v>
      </c>
      <c r="D2319" s="46">
        <v>1658153.5039071441</v>
      </c>
      <c r="E2319" s="43">
        <v>198978.42046885728</v>
      </c>
      <c r="F2319" s="43" t="s">
        <v>106</v>
      </c>
      <c r="G2319" s="43" t="s">
        <v>71</v>
      </c>
      <c r="H2319" s="43" t="s">
        <v>72</v>
      </c>
    </row>
    <row r="2320" spans="1:8" x14ac:dyDescent="0.25">
      <c r="A2320" s="43" t="s">
        <v>1989</v>
      </c>
      <c r="B2320" s="43" t="s">
        <v>265</v>
      </c>
      <c r="C2320" s="46">
        <v>66</v>
      </c>
      <c r="D2320" s="46">
        <v>1895178.7385168059</v>
      </c>
      <c r="E2320" s="43">
        <v>189517.8738516806</v>
      </c>
      <c r="F2320" s="43" t="s">
        <v>70</v>
      </c>
      <c r="G2320" s="43" t="s">
        <v>71</v>
      </c>
      <c r="H2320" s="43" t="s">
        <v>72</v>
      </c>
    </row>
    <row r="2321" spans="1:8" x14ac:dyDescent="0.25">
      <c r="A2321" s="72" t="s">
        <v>2281</v>
      </c>
      <c r="B2321" s="72" t="s">
        <v>139</v>
      </c>
      <c r="C2321" s="73">
        <v>66</v>
      </c>
      <c r="D2321" s="73">
        <v>1833933.5508045615</v>
      </c>
      <c r="E2321" s="72">
        <v>165054.01957241053</v>
      </c>
      <c r="F2321" s="72" t="s">
        <v>70</v>
      </c>
      <c r="G2321" s="72" t="s">
        <v>71</v>
      </c>
      <c r="H2321" s="72" t="s">
        <v>72</v>
      </c>
    </row>
    <row r="2322" spans="1:8" x14ac:dyDescent="0.25">
      <c r="A2322" s="72" t="s">
        <v>2616</v>
      </c>
      <c r="B2322" s="72" t="s">
        <v>73</v>
      </c>
      <c r="C2322" s="73">
        <v>66</v>
      </c>
      <c r="D2322" s="73">
        <v>1764806.5116436102</v>
      </c>
      <c r="E2322" s="72">
        <v>141184.52093148881</v>
      </c>
      <c r="F2322" s="72" t="s">
        <v>70</v>
      </c>
      <c r="G2322" s="72" t="s">
        <v>71</v>
      </c>
      <c r="H2322" s="72" t="s">
        <v>72</v>
      </c>
    </row>
    <row r="2323" spans="1:8" x14ac:dyDescent="0.25">
      <c r="A2323" s="72" t="s">
        <v>3370</v>
      </c>
      <c r="B2323" s="72" t="s">
        <v>74</v>
      </c>
      <c r="C2323" s="73">
        <v>66</v>
      </c>
      <c r="D2323" s="73">
        <v>1585520.2208732569</v>
      </c>
      <c r="E2323" s="72">
        <v>95131.213252395435</v>
      </c>
      <c r="F2323" s="72" t="s">
        <v>70</v>
      </c>
      <c r="G2323" s="72" t="s">
        <v>71</v>
      </c>
      <c r="H2323" s="72" t="s">
        <v>72</v>
      </c>
    </row>
    <row r="2324" spans="1:8" x14ac:dyDescent="0.25">
      <c r="A2324" s="43" t="s">
        <v>2282</v>
      </c>
      <c r="B2324" s="43" t="s">
        <v>93</v>
      </c>
      <c r="C2324" s="46">
        <v>66</v>
      </c>
      <c r="D2324" s="46">
        <v>1833933.5508045615</v>
      </c>
      <c r="E2324" s="43">
        <v>165054.01957241053</v>
      </c>
      <c r="F2324" s="43" t="s">
        <v>70</v>
      </c>
      <c r="G2324" s="43" t="s">
        <v>71</v>
      </c>
      <c r="H2324" s="43" t="s">
        <v>72</v>
      </c>
    </row>
    <row r="2325" spans="1:8" x14ac:dyDescent="0.25">
      <c r="A2325" s="43" t="s">
        <v>2157</v>
      </c>
      <c r="B2325" s="43" t="s">
        <v>77</v>
      </c>
      <c r="C2325" s="46">
        <v>66</v>
      </c>
      <c r="D2325" s="46">
        <v>1941145.550330678</v>
      </c>
      <c r="E2325" s="43">
        <v>174703.09952976101</v>
      </c>
      <c r="F2325" s="43" t="s">
        <v>87</v>
      </c>
      <c r="G2325" s="43" t="s">
        <v>71</v>
      </c>
      <c r="H2325" s="43" t="s">
        <v>88</v>
      </c>
    </row>
    <row r="2326" spans="1:8" x14ac:dyDescent="0.25">
      <c r="A2326" s="72" t="s">
        <v>3852</v>
      </c>
      <c r="B2326" s="72" t="s">
        <v>97</v>
      </c>
      <c r="C2326" s="73">
        <v>66</v>
      </c>
      <c r="D2326" s="73">
        <v>1449646.6203388441</v>
      </c>
      <c r="E2326" s="72">
        <v>72482.331016942204</v>
      </c>
      <c r="F2326" s="72" t="s">
        <v>70</v>
      </c>
      <c r="G2326" s="72" t="s">
        <v>71</v>
      </c>
      <c r="H2326" s="72" t="s">
        <v>72</v>
      </c>
    </row>
    <row r="2327" spans="1:8" x14ac:dyDescent="0.25">
      <c r="A2327" s="43" t="s">
        <v>3853</v>
      </c>
      <c r="B2327" s="43" t="s">
        <v>77</v>
      </c>
      <c r="C2327" s="46">
        <v>66</v>
      </c>
      <c r="D2327" s="46">
        <v>1449646.6203388441</v>
      </c>
      <c r="E2327" s="43">
        <v>72482.331016942204</v>
      </c>
      <c r="F2327" s="43" t="s">
        <v>70</v>
      </c>
      <c r="G2327" s="43" t="s">
        <v>71</v>
      </c>
      <c r="H2327" s="43" t="s">
        <v>72</v>
      </c>
    </row>
    <row r="2328" spans="1:8" x14ac:dyDescent="0.25">
      <c r="A2328" s="72" t="s">
        <v>2215</v>
      </c>
      <c r="B2328" s="72" t="s">
        <v>83</v>
      </c>
      <c r="C2328" s="73">
        <v>66</v>
      </c>
      <c r="D2328" s="73">
        <v>1891183.0794422626</v>
      </c>
      <c r="E2328" s="72">
        <v>170206.47714980363</v>
      </c>
      <c r="F2328" s="72" t="s">
        <v>78</v>
      </c>
      <c r="G2328" s="72" t="s">
        <v>71</v>
      </c>
      <c r="H2328" s="72" t="s">
        <v>72</v>
      </c>
    </row>
    <row r="2329" spans="1:8" x14ac:dyDescent="0.25">
      <c r="A2329" s="72" t="s">
        <v>1455</v>
      </c>
      <c r="B2329" s="72" t="s">
        <v>110</v>
      </c>
      <c r="C2329" s="73">
        <v>66</v>
      </c>
      <c r="D2329" s="73">
        <v>2001376.1906082213</v>
      </c>
      <c r="E2329" s="72">
        <v>240165.14287298662</v>
      </c>
      <c r="F2329" s="72" t="s">
        <v>70</v>
      </c>
      <c r="G2329" s="72" t="s">
        <v>71</v>
      </c>
      <c r="H2329" s="72" t="s">
        <v>72</v>
      </c>
    </row>
    <row r="2330" spans="1:8" x14ac:dyDescent="0.25">
      <c r="A2330" s="72" t="s">
        <v>2059</v>
      </c>
      <c r="B2330" s="72" t="s">
        <v>367</v>
      </c>
      <c r="C2330" s="73">
        <v>66</v>
      </c>
      <c r="D2330" s="73">
        <v>1836892.906586397</v>
      </c>
      <c r="E2330" s="72">
        <v>183689.29065863971</v>
      </c>
      <c r="F2330" s="72" t="s">
        <v>84</v>
      </c>
      <c r="G2330" s="72" t="s">
        <v>71</v>
      </c>
      <c r="H2330" s="72" t="s">
        <v>72</v>
      </c>
    </row>
    <row r="2331" spans="1:8" x14ac:dyDescent="0.25">
      <c r="A2331" s="72" t="s">
        <v>3132</v>
      </c>
      <c r="B2331" s="72" t="s">
        <v>112</v>
      </c>
      <c r="C2331" s="73">
        <v>66</v>
      </c>
      <c r="D2331" s="73">
        <v>1549360.7098243264</v>
      </c>
      <c r="E2331" s="72">
        <v>108455.24968770285</v>
      </c>
      <c r="F2331" s="72" t="s">
        <v>106</v>
      </c>
      <c r="G2331" s="72" t="s">
        <v>71</v>
      </c>
      <c r="H2331" s="72" t="s">
        <v>72</v>
      </c>
    </row>
    <row r="2332" spans="1:8" x14ac:dyDescent="0.25">
      <c r="A2332" s="72" t="s">
        <v>1889</v>
      </c>
      <c r="B2332" s="72" t="s">
        <v>112</v>
      </c>
      <c r="C2332" s="73">
        <v>66</v>
      </c>
      <c r="D2332" s="73">
        <v>1658153.5039071441</v>
      </c>
      <c r="E2332" s="72">
        <v>198978.42046885728</v>
      </c>
      <c r="F2332" s="72" t="s">
        <v>106</v>
      </c>
      <c r="G2332" s="72" t="s">
        <v>71</v>
      </c>
      <c r="H2332" s="72" t="s">
        <v>72</v>
      </c>
    </row>
    <row r="2333" spans="1:8" x14ac:dyDescent="0.25">
      <c r="A2333" s="72" t="s">
        <v>1025</v>
      </c>
      <c r="B2333" s="72" t="s">
        <v>102</v>
      </c>
      <c r="C2333" s="73">
        <v>66</v>
      </c>
      <c r="D2333" s="73">
        <v>2092589.8656294039</v>
      </c>
      <c r="E2333" s="72">
        <v>292962.58118811651</v>
      </c>
      <c r="F2333" s="72" t="s">
        <v>70</v>
      </c>
      <c r="G2333" s="72" t="s">
        <v>71</v>
      </c>
      <c r="H2333" s="72" t="s">
        <v>72</v>
      </c>
    </row>
    <row r="2334" spans="1:8" x14ac:dyDescent="0.25">
      <c r="A2334" s="43" t="s">
        <v>1026</v>
      </c>
      <c r="B2334" s="43" t="s">
        <v>102</v>
      </c>
      <c r="C2334" s="46">
        <v>66</v>
      </c>
      <c r="D2334" s="46">
        <v>2092589.8656294039</v>
      </c>
      <c r="E2334" s="43">
        <v>292962.58118811651</v>
      </c>
      <c r="F2334" s="43" t="s">
        <v>70</v>
      </c>
      <c r="G2334" s="43" t="s">
        <v>71</v>
      </c>
      <c r="H2334" s="43" t="s">
        <v>72</v>
      </c>
    </row>
    <row r="2335" spans="1:8" x14ac:dyDescent="0.25">
      <c r="A2335" s="72" t="s">
        <v>1027</v>
      </c>
      <c r="B2335" s="72" t="s">
        <v>85</v>
      </c>
      <c r="C2335" s="73">
        <v>66</v>
      </c>
      <c r="D2335" s="73">
        <v>2092589.8656294039</v>
      </c>
      <c r="E2335" s="72">
        <v>292962.58118811651</v>
      </c>
      <c r="F2335" s="72" t="s">
        <v>70</v>
      </c>
      <c r="G2335" s="72" t="s">
        <v>71</v>
      </c>
      <c r="H2335" s="72" t="s">
        <v>72</v>
      </c>
    </row>
    <row r="2336" spans="1:8" x14ac:dyDescent="0.25">
      <c r="A2336" s="43" t="s">
        <v>3371</v>
      </c>
      <c r="B2336" s="43" t="s">
        <v>85</v>
      </c>
      <c r="C2336" s="46">
        <v>66</v>
      </c>
      <c r="D2336" s="46">
        <v>1585520.2208732569</v>
      </c>
      <c r="E2336" s="43">
        <v>95131.213252395435</v>
      </c>
      <c r="F2336" s="43" t="s">
        <v>70</v>
      </c>
      <c r="G2336" s="43" t="s">
        <v>71</v>
      </c>
      <c r="H2336" s="43" t="s">
        <v>72</v>
      </c>
    </row>
    <row r="2337" spans="1:8" x14ac:dyDescent="0.25">
      <c r="A2337" s="72" t="s">
        <v>2283</v>
      </c>
      <c r="B2337" s="72" t="s">
        <v>77</v>
      </c>
      <c r="C2337" s="73">
        <v>66</v>
      </c>
      <c r="D2337" s="73">
        <v>1833933.5508045615</v>
      </c>
      <c r="E2337" s="72">
        <v>165054.01957241053</v>
      </c>
      <c r="F2337" s="72" t="s">
        <v>70</v>
      </c>
      <c r="G2337" s="72" t="s">
        <v>71</v>
      </c>
      <c r="H2337" s="72" t="s">
        <v>72</v>
      </c>
    </row>
    <row r="2338" spans="1:8" x14ac:dyDescent="0.25">
      <c r="A2338" s="43" t="s">
        <v>1456</v>
      </c>
      <c r="B2338" s="43" t="s">
        <v>97</v>
      </c>
      <c r="C2338" s="46">
        <v>66</v>
      </c>
      <c r="D2338" s="46">
        <v>2001376.1906082213</v>
      </c>
      <c r="E2338" s="43">
        <v>240165.14287298662</v>
      </c>
      <c r="F2338" s="43" t="s">
        <v>70</v>
      </c>
      <c r="G2338" s="43" t="s">
        <v>71</v>
      </c>
      <c r="H2338" s="43" t="s">
        <v>72</v>
      </c>
    </row>
    <row r="2339" spans="1:8" x14ac:dyDescent="0.25">
      <c r="A2339" s="72" t="s">
        <v>3318</v>
      </c>
      <c r="B2339" s="72" t="s">
        <v>234</v>
      </c>
      <c r="C2339" s="73">
        <v>66</v>
      </c>
      <c r="D2339" s="73">
        <v>1636324.4698848403</v>
      </c>
      <c r="E2339" s="72">
        <v>98179.468193090433</v>
      </c>
      <c r="F2339" s="72" t="s">
        <v>78</v>
      </c>
      <c r="G2339" s="72" t="s">
        <v>71</v>
      </c>
      <c r="H2339" s="72" t="s">
        <v>72</v>
      </c>
    </row>
    <row r="2340" spans="1:8" x14ac:dyDescent="0.25">
      <c r="A2340" s="43" t="s">
        <v>2617</v>
      </c>
      <c r="B2340" s="43" t="s">
        <v>74</v>
      </c>
      <c r="C2340" s="46">
        <v>66</v>
      </c>
      <c r="D2340" s="46">
        <v>1764806.5116436102</v>
      </c>
      <c r="E2340" s="43">
        <v>141184.52093148881</v>
      </c>
      <c r="F2340" s="43" t="s">
        <v>70</v>
      </c>
      <c r="G2340" s="43" t="s">
        <v>71</v>
      </c>
      <c r="H2340" s="43" t="s">
        <v>72</v>
      </c>
    </row>
    <row r="2341" spans="1:8" x14ac:dyDescent="0.25">
      <c r="A2341" s="43" t="s">
        <v>1215</v>
      </c>
      <c r="B2341" s="43" t="s">
        <v>74</v>
      </c>
      <c r="C2341" s="46">
        <v>66</v>
      </c>
      <c r="D2341" s="46">
        <v>2048506.7796621986</v>
      </c>
      <c r="E2341" s="43">
        <v>266305.88135608583</v>
      </c>
      <c r="F2341" s="43" t="s">
        <v>70</v>
      </c>
      <c r="G2341" s="43" t="s">
        <v>71</v>
      </c>
      <c r="H2341" s="43" t="s">
        <v>72</v>
      </c>
    </row>
    <row r="2342" spans="1:8" x14ac:dyDescent="0.25">
      <c r="A2342" s="72" t="s">
        <v>2158</v>
      </c>
      <c r="B2342" s="72" t="s">
        <v>124</v>
      </c>
      <c r="C2342" s="73">
        <v>66</v>
      </c>
      <c r="D2342" s="73">
        <v>1941145.550330678</v>
      </c>
      <c r="E2342" s="72">
        <v>174703.09952976101</v>
      </c>
      <c r="F2342" s="72" t="s">
        <v>87</v>
      </c>
      <c r="G2342" s="72" t="s">
        <v>71</v>
      </c>
      <c r="H2342" s="72" t="s">
        <v>88</v>
      </c>
    </row>
    <row r="2343" spans="1:8" x14ac:dyDescent="0.25">
      <c r="A2343" s="72" t="s">
        <v>1386</v>
      </c>
      <c r="B2343" s="72" t="s">
        <v>75</v>
      </c>
      <c r="C2343" s="73">
        <v>66</v>
      </c>
      <c r="D2343" s="73">
        <v>2062970.1505015567</v>
      </c>
      <c r="E2343" s="72">
        <v>247556.41806018684</v>
      </c>
      <c r="F2343" s="72" t="s">
        <v>78</v>
      </c>
      <c r="G2343" s="72" t="s">
        <v>71</v>
      </c>
      <c r="H2343" s="72" t="s">
        <v>72</v>
      </c>
    </row>
    <row r="2344" spans="1:8" x14ac:dyDescent="0.25">
      <c r="A2344" s="72" t="s">
        <v>3372</v>
      </c>
      <c r="B2344" s="72" t="s">
        <v>102</v>
      </c>
      <c r="C2344" s="73">
        <v>66</v>
      </c>
      <c r="D2344" s="73">
        <v>1585520.2208732569</v>
      </c>
      <c r="E2344" s="72">
        <v>95131.213252395435</v>
      </c>
      <c r="F2344" s="72" t="s">
        <v>70</v>
      </c>
      <c r="G2344" s="72" t="s">
        <v>71</v>
      </c>
      <c r="H2344" s="72" t="s">
        <v>72</v>
      </c>
    </row>
    <row r="2345" spans="1:8" x14ac:dyDescent="0.25">
      <c r="A2345" s="43" t="s">
        <v>1028</v>
      </c>
      <c r="B2345" s="43" t="s">
        <v>162</v>
      </c>
      <c r="C2345" s="46">
        <v>66</v>
      </c>
      <c r="D2345" s="46">
        <v>2092589.8656294039</v>
      </c>
      <c r="E2345" s="43">
        <v>292962.58118811651</v>
      </c>
      <c r="F2345" s="43" t="s">
        <v>70</v>
      </c>
      <c r="G2345" s="43" t="s">
        <v>71</v>
      </c>
      <c r="H2345" s="43" t="s">
        <v>72</v>
      </c>
    </row>
    <row r="2346" spans="1:8" x14ac:dyDescent="0.25">
      <c r="A2346" s="43" t="s">
        <v>2284</v>
      </c>
      <c r="B2346" s="43" t="s">
        <v>102</v>
      </c>
      <c r="C2346" s="46">
        <v>66</v>
      </c>
      <c r="D2346" s="46">
        <v>1833933.5508045615</v>
      </c>
      <c r="E2346" s="43">
        <v>165054.01957241053</v>
      </c>
      <c r="F2346" s="43" t="s">
        <v>70</v>
      </c>
      <c r="G2346" s="43" t="s">
        <v>71</v>
      </c>
      <c r="H2346" s="43" t="s">
        <v>72</v>
      </c>
    </row>
    <row r="2347" spans="1:8" x14ac:dyDescent="0.25">
      <c r="A2347" s="72" t="s">
        <v>1626</v>
      </c>
      <c r="B2347" s="72" t="s">
        <v>93</v>
      </c>
      <c r="C2347" s="73">
        <v>66</v>
      </c>
      <c r="D2347" s="73">
        <v>2022865.8346316374</v>
      </c>
      <c r="E2347" s="72">
        <v>222515.24180948015</v>
      </c>
      <c r="F2347" s="72" t="s">
        <v>87</v>
      </c>
      <c r="G2347" s="72" t="s">
        <v>71</v>
      </c>
      <c r="H2347" s="72" t="s">
        <v>88</v>
      </c>
    </row>
    <row r="2348" spans="1:8" x14ac:dyDescent="0.25">
      <c r="A2348" s="72" t="s">
        <v>2013</v>
      </c>
      <c r="B2348" s="72" t="s">
        <v>97</v>
      </c>
      <c r="C2348" s="73">
        <v>65</v>
      </c>
      <c r="D2348" s="73">
        <v>1865531.2231819441</v>
      </c>
      <c r="E2348" s="72">
        <v>186553.12231819442</v>
      </c>
      <c r="F2348" s="72" t="s">
        <v>70</v>
      </c>
      <c r="G2348" s="72" t="s">
        <v>71</v>
      </c>
      <c r="H2348" s="72" t="s">
        <v>72</v>
      </c>
    </row>
    <row r="2349" spans="1:8" x14ac:dyDescent="0.25">
      <c r="A2349" s="43" t="s">
        <v>3879</v>
      </c>
      <c r="B2349" s="43" t="s">
        <v>119</v>
      </c>
      <c r="C2349" s="46">
        <v>65</v>
      </c>
      <c r="D2349" s="46">
        <v>1426749.5916430424</v>
      </c>
      <c r="E2349" s="43">
        <v>71337.479582152126</v>
      </c>
      <c r="F2349" s="43" t="s">
        <v>70</v>
      </c>
      <c r="G2349" s="43" t="s">
        <v>71</v>
      </c>
      <c r="H2349" s="43" t="s">
        <v>72</v>
      </c>
    </row>
    <row r="2350" spans="1:8" x14ac:dyDescent="0.25">
      <c r="A2350" s="72" t="s">
        <v>3880</v>
      </c>
      <c r="B2350" s="72" t="s">
        <v>119</v>
      </c>
      <c r="C2350" s="73">
        <v>65</v>
      </c>
      <c r="D2350" s="73">
        <v>1426749.5916430424</v>
      </c>
      <c r="E2350" s="72">
        <v>71337.479582152126</v>
      </c>
      <c r="F2350" s="72" t="s">
        <v>70</v>
      </c>
      <c r="G2350" s="72" t="s">
        <v>71</v>
      </c>
      <c r="H2350" s="72" t="s">
        <v>72</v>
      </c>
    </row>
    <row r="2351" spans="1:8" x14ac:dyDescent="0.25">
      <c r="A2351" s="43" t="s">
        <v>2181</v>
      </c>
      <c r="B2351" s="43" t="s">
        <v>93</v>
      </c>
      <c r="C2351" s="46">
        <v>65</v>
      </c>
      <c r="D2351" s="46">
        <v>1910928.9599115932</v>
      </c>
      <c r="E2351" s="43">
        <v>171983.60639204338</v>
      </c>
      <c r="F2351" s="43" t="s">
        <v>87</v>
      </c>
      <c r="G2351" s="43" t="s">
        <v>71</v>
      </c>
      <c r="H2351" s="43" t="s">
        <v>88</v>
      </c>
    </row>
    <row r="2352" spans="1:8" x14ac:dyDescent="0.25">
      <c r="A2352" s="43" t="s">
        <v>3596</v>
      </c>
      <c r="B2352" s="43" t="s">
        <v>252</v>
      </c>
      <c r="C2352" s="46">
        <v>65</v>
      </c>
      <c r="D2352" s="46">
        <v>1660230.8644757245</v>
      </c>
      <c r="E2352" s="43">
        <v>83011.543223786226</v>
      </c>
      <c r="F2352" s="43" t="s">
        <v>87</v>
      </c>
      <c r="G2352" s="43" t="s">
        <v>71</v>
      </c>
      <c r="H2352" s="43" t="s">
        <v>88</v>
      </c>
    </row>
    <row r="2353" spans="1:8" x14ac:dyDescent="0.25">
      <c r="A2353" s="72" t="s">
        <v>3813</v>
      </c>
      <c r="B2353" s="72" t="s">
        <v>176</v>
      </c>
      <c r="C2353" s="73">
        <v>65</v>
      </c>
      <c r="D2353" s="73">
        <v>1473161.2171282354</v>
      </c>
      <c r="E2353" s="72">
        <v>73658.060856411772</v>
      </c>
      <c r="F2353" s="72" t="s">
        <v>78</v>
      </c>
      <c r="G2353" s="72" t="s">
        <v>71</v>
      </c>
      <c r="H2353" s="72" t="s">
        <v>72</v>
      </c>
    </row>
    <row r="2354" spans="1:8" x14ac:dyDescent="0.25">
      <c r="A2354" s="43" t="s">
        <v>2605</v>
      </c>
      <c r="B2354" s="43" t="s">
        <v>85</v>
      </c>
      <c r="C2354" s="46">
        <v>65</v>
      </c>
      <c r="D2354" s="46">
        <v>1575122.0649749581</v>
      </c>
      <c r="E2354" s="43">
        <v>141760.98584774623</v>
      </c>
      <c r="F2354" s="43" t="s">
        <v>106</v>
      </c>
      <c r="G2354" s="43" t="s">
        <v>71</v>
      </c>
      <c r="H2354" s="43" t="s">
        <v>72</v>
      </c>
    </row>
    <row r="2355" spans="1:8" x14ac:dyDescent="0.25">
      <c r="A2355" s="72" t="s">
        <v>3597</v>
      </c>
      <c r="B2355" s="72" t="s">
        <v>73</v>
      </c>
      <c r="C2355" s="73">
        <v>65</v>
      </c>
      <c r="D2355" s="73">
        <v>1660230.8644757245</v>
      </c>
      <c r="E2355" s="72">
        <v>83011.543223786226</v>
      </c>
      <c r="F2355" s="72" t="s">
        <v>87</v>
      </c>
      <c r="G2355" s="72" t="s">
        <v>71</v>
      </c>
      <c r="H2355" s="72" t="s">
        <v>88</v>
      </c>
    </row>
    <row r="2356" spans="1:8" x14ac:dyDescent="0.25">
      <c r="A2356" s="43" t="s">
        <v>1752</v>
      </c>
      <c r="B2356" s="43" t="s">
        <v>85</v>
      </c>
      <c r="C2356" s="46">
        <v>65</v>
      </c>
      <c r="D2356" s="46">
        <v>1920075.2227625435</v>
      </c>
      <c r="E2356" s="43">
        <v>211208.2745038798</v>
      </c>
      <c r="F2356" s="43" t="s">
        <v>70</v>
      </c>
      <c r="G2356" s="43" t="s">
        <v>71</v>
      </c>
      <c r="H2356" s="43" t="s">
        <v>72</v>
      </c>
    </row>
    <row r="2357" spans="1:8" x14ac:dyDescent="0.25">
      <c r="A2357" s="43" t="s">
        <v>2322</v>
      </c>
      <c r="B2357" s="43" t="s">
        <v>85</v>
      </c>
      <c r="C2357" s="46">
        <v>65</v>
      </c>
      <c r="D2357" s="46">
        <v>1805213.9928592793</v>
      </c>
      <c r="E2357" s="43">
        <v>162469.25935733513</v>
      </c>
      <c r="F2357" s="43" t="s">
        <v>70</v>
      </c>
      <c r="G2357" s="43" t="s">
        <v>71</v>
      </c>
      <c r="H2357" s="43" t="s">
        <v>72</v>
      </c>
    </row>
    <row r="2358" spans="1:8" x14ac:dyDescent="0.25">
      <c r="A2358" s="72" t="s">
        <v>2246</v>
      </c>
      <c r="B2358" s="72" t="s">
        <v>75</v>
      </c>
      <c r="C2358" s="73">
        <v>65</v>
      </c>
      <c r="D2358" s="73">
        <v>1861445.1755117315</v>
      </c>
      <c r="E2358" s="72">
        <v>167530.06579605583</v>
      </c>
      <c r="F2358" s="72" t="s">
        <v>78</v>
      </c>
      <c r="G2358" s="72" t="s">
        <v>71</v>
      </c>
      <c r="H2358" s="72" t="s">
        <v>72</v>
      </c>
    </row>
    <row r="2359" spans="1:8" x14ac:dyDescent="0.25">
      <c r="A2359" s="72" t="s">
        <v>1421</v>
      </c>
      <c r="B2359" s="72" t="s">
        <v>93</v>
      </c>
      <c r="C2359" s="73">
        <v>65</v>
      </c>
      <c r="D2359" s="73">
        <v>2026419.3353612332</v>
      </c>
      <c r="E2359" s="72">
        <v>243170.32024334799</v>
      </c>
      <c r="F2359" s="72" t="s">
        <v>87</v>
      </c>
      <c r="G2359" s="72" t="s">
        <v>71</v>
      </c>
      <c r="H2359" s="72" t="s">
        <v>88</v>
      </c>
    </row>
    <row r="2360" spans="1:8" x14ac:dyDescent="0.25">
      <c r="A2360" s="43" t="s">
        <v>2665</v>
      </c>
      <c r="B2360" s="43" t="s">
        <v>211</v>
      </c>
      <c r="C2360" s="46">
        <v>65</v>
      </c>
      <c r="D2360" s="46">
        <v>1737134.3330795548</v>
      </c>
      <c r="E2360" s="43">
        <v>138970.74664636439</v>
      </c>
      <c r="F2360" s="43" t="s">
        <v>70</v>
      </c>
      <c r="G2360" s="43" t="s">
        <v>71</v>
      </c>
      <c r="H2360" s="43" t="s">
        <v>72</v>
      </c>
    </row>
    <row r="2361" spans="1:8" x14ac:dyDescent="0.25">
      <c r="A2361" s="43" t="s">
        <v>2014</v>
      </c>
      <c r="B2361" s="43" t="s">
        <v>243</v>
      </c>
      <c r="C2361" s="46">
        <v>65</v>
      </c>
      <c r="D2361" s="46">
        <v>1865531.2231819441</v>
      </c>
      <c r="E2361" s="43">
        <v>186553.12231819442</v>
      </c>
      <c r="F2361" s="43" t="s">
        <v>70</v>
      </c>
      <c r="G2361" s="43" t="s">
        <v>71</v>
      </c>
      <c r="H2361" s="43" t="s">
        <v>72</v>
      </c>
    </row>
    <row r="2362" spans="1:8" x14ac:dyDescent="0.25">
      <c r="A2362" s="72" t="s">
        <v>1208</v>
      </c>
      <c r="B2362" s="72" t="s">
        <v>93</v>
      </c>
      <c r="C2362" s="73">
        <v>65</v>
      </c>
      <c r="D2362" s="73">
        <v>2058800.9031493682</v>
      </c>
      <c r="E2362" s="72">
        <v>267644.11740941787</v>
      </c>
      <c r="F2362" s="72" t="s">
        <v>87</v>
      </c>
      <c r="G2362" s="72" t="s">
        <v>71</v>
      </c>
      <c r="H2362" s="72" t="s">
        <v>88</v>
      </c>
    </row>
    <row r="2363" spans="1:8" x14ac:dyDescent="0.25">
      <c r="A2363" s="43" t="s">
        <v>1920</v>
      </c>
      <c r="B2363" s="43" t="s">
        <v>410</v>
      </c>
      <c r="C2363" s="46">
        <v>65</v>
      </c>
      <c r="D2363" s="46">
        <v>1953189.6968499378</v>
      </c>
      <c r="E2363" s="43">
        <v>195318.96968499379</v>
      </c>
      <c r="F2363" s="43" t="s">
        <v>87</v>
      </c>
      <c r="G2363" s="43" t="s">
        <v>71</v>
      </c>
      <c r="H2363" s="43" t="s">
        <v>88</v>
      </c>
    </row>
    <row r="2364" spans="1:8" x14ac:dyDescent="0.25">
      <c r="A2364" s="72" t="s">
        <v>3166</v>
      </c>
      <c r="B2364" s="72" t="s">
        <v>73</v>
      </c>
      <c r="C2364" s="73">
        <v>65</v>
      </c>
      <c r="D2364" s="73">
        <v>1524964.3936082937</v>
      </c>
      <c r="E2364" s="72">
        <v>106747.50755258054</v>
      </c>
      <c r="F2364" s="72" t="s">
        <v>106</v>
      </c>
      <c r="G2364" s="72" t="s">
        <v>71</v>
      </c>
      <c r="H2364" s="72" t="s">
        <v>72</v>
      </c>
    </row>
    <row r="2365" spans="1:8" x14ac:dyDescent="0.25">
      <c r="A2365" s="43" t="s">
        <v>1244</v>
      </c>
      <c r="B2365" s="43" t="s">
        <v>97</v>
      </c>
      <c r="C2365" s="46">
        <v>65</v>
      </c>
      <c r="D2365" s="46">
        <v>2016536.1121887707</v>
      </c>
      <c r="E2365" s="43">
        <v>262149.69458454021</v>
      </c>
      <c r="F2365" s="43" t="s">
        <v>70</v>
      </c>
      <c r="G2365" s="43" t="s">
        <v>71</v>
      </c>
      <c r="H2365" s="43" t="s">
        <v>72</v>
      </c>
    </row>
    <row r="2366" spans="1:8" x14ac:dyDescent="0.25">
      <c r="A2366" s="43" t="s">
        <v>3881</v>
      </c>
      <c r="B2366" s="43" t="s">
        <v>112</v>
      </c>
      <c r="C2366" s="46">
        <v>65</v>
      </c>
      <c r="D2366" s="46">
        <v>1426749.5916430424</v>
      </c>
      <c r="E2366" s="43">
        <v>71337.479582152126</v>
      </c>
      <c r="F2366" s="43" t="s">
        <v>70</v>
      </c>
      <c r="G2366" s="43" t="s">
        <v>71</v>
      </c>
      <c r="H2366" s="43" t="s">
        <v>72</v>
      </c>
    </row>
    <row r="2367" spans="1:8" x14ac:dyDescent="0.25">
      <c r="A2367" s="72" t="s">
        <v>3882</v>
      </c>
      <c r="B2367" s="72" t="s">
        <v>73</v>
      </c>
      <c r="C2367" s="73">
        <v>65</v>
      </c>
      <c r="D2367" s="73">
        <v>1426749.5916430424</v>
      </c>
      <c r="E2367" s="72">
        <v>71337.479582152126</v>
      </c>
      <c r="F2367" s="72" t="s">
        <v>70</v>
      </c>
      <c r="G2367" s="72" t="s">
        <v>71</v>
      </c>
      <c r="H2367" s="72" t="s">
        <v>72</v>
      </c>
    </row>
    <row r="2368" spans="1:8" x14ac:dyDescent="0.25">
      <c r="A2368" s="72" t="s">
        <v>2015</v>
      </c>
      <c r="B2368" s="72" t="s">
        <v>73</v>
      </c>
      <c r="C2368" s="73">
        <v>65</v>
      </c>
      <c r="D2368" s="73">
        <v>1865531.2231819441</v>
      </c>
      <c r="E2368" s="72">
        <v>186553.12231819442</v>
      </c>
      <c r="F2368" s="72" t="s">
        <v>70</v>
      </c>
      <c r="G2368" s="72" t="s">
        <v>71</v>
      </c>
      <c r="H2368" s="72" t="s">
        <v>72</v>
      </c>
    </row>
    <row r="2369" spans="1:8" x14ac:dyDescent="0.25">
      <c r="A2369" s="43" t="s">
        <v>990</v>
      </c>
      <c r="B2369" s="43" t="s">
        <v>103</v>
      </c>
      <c r="C2369" s="46">
        <v>65</v>
      </c>
      <c r="D2369" s="46">
        <v>2122791.8147517494</v>
      </c>
      <c r="E2369" s="43">
        <v>297190.8540652449</v>
      </c>
      <c r="F2369" s="43" t="s">
        <v>78</v>
      </c>
      <c r="G2369" s="43" t="s">
        <v>71</v>
      </c>
      <c r="H2369" s="43" t="s">
        <v>72</v>
      </c>
    </row>
    <row r="2370" spans="1:8" x14ac:dyDescent="0.25">
      <c r="A2370" s="72" t="s">
        <v>1245</v>
      </c>
      <c r="B2370" s="72" t="s">
        <v>73</v>
      </c>
      <c r="C2370" s="73">
        <v>65</v>
      </c>
      <c r="D2370" s="73">
        <v>2016536.1121887707</v>
      </c>
      <c r="E2370" s="72">
        <v>262149.69458454021</v>
      </c>
      <c r="F2370" s="72" t="s">
        <v>70</v>
      </c>
      <c r="G2370" s="72" t="s">
        <v>71</v>
      </c>
      <c r="H2370" s="72" t="s">
        <v>72</v>
      </c>
    </row>
    <row r="2371" spans="1:8" x14ac:dyDescent="0.25">
      <c r="A2371" s="43" t="s">
        <v>1498</v>
      </c>
      <c r="B2371" s="43" t="s">
        <v>97</v>
      </c>
      <c r="C2371" s="46">
        <v>65</v>
      </c>
      <c r="D2371" s="46">
        <v>1970119.6229689443</v>
      </c>
      <c r="E2371" s="43">
        <v>236414.35475627336</v>
      </c>
      <c r="F2371" s="43" t="s">
        <v>70</v>
      </c>
      <c r="G2371" s="43" t="s">
        <v>71</v>
      </c>
      <c r="H2371" s="43" t="s">
        <v>72</v>
      </c>
    </row>
    <row r="2372" spans="1:8" x14ac:dyDescent="0.25">
      <c r="A2372" s="72" t="s">
        <v>1953</v>
      </c>
      <c r="B2372" s="72" t="s">
        <v>75</v>
      </c>
      <c r="C2372" s="73">
        <v>65</v>
      </c>
      <c r="D2372" s="73">
        <v>1923327.3839127067</v>
      </c>
      <c r="E2372" s="72">
        <v>192332.73839127069</v>
      </c>
      <c r="F2372" s="72" t="s">
        <v>78</v>
      </c>
      <c r="G2372" s="72" t="s">
        <v>71</v>
      </c>
      <c r="H2372" s="72" t="s">
        <v>72</v>
      </c>
    </row>
    <row r="2373" spans="1:8" x14ac:dyDescent="0.25">
      <c r="A2373" s="72" t="s">
        <v>2666</v>
      </c>
      <c r="B2373" s="72" t="s">
        <v>110</v>
      </c>
      <c r="C2373" s="73">
        <v>65</v>
      </c>
      <c r="D2373" s="73">
        <v>1737134.3330795548</v>
      </c>
      <c r="E2373" s="72">
        <v>138970.74664636439</v>
      </c>
      <c r="F2373" s="72" t="s">
        <v>70</v>
      </c>
      <c r="G2373" s="72" t="s">
        <v>71</v>
      </c>
      <c r="H2373" s="72" t="s">
        <v>72</v>
      </c>
    </row>
    <row r="2374" spans="1:8" x14ac:dyDescent="0.25">
      <c r="A2374" s="72" t="s">
        <v>2323</v>
      </c>
      <c r="B2374" s="72" t="s">
        <v>105</v>
      </c>
      <c r="C2374" s="73">
        <v>65</v>
      </c>
      <c r="D2374" s="73">
        <v>1805213.9928592793</v>
      </c>
      <c r="E2374" s="72">
        <v>162469.25935733513</v>
      </c>
      <c r="F2374" s="72" t="s">
        <v>70</v>
      </c>
      <c r="G2374" s="72" t="s">
        <v>71</v>
      </c>
      <c r="H2374" s="72" t="s">
        <v>72</v>
      </c>
    </row>
    <row r="2375" spans="1:8" x14ac:dyDescent="0.25">
      <c r="A2375" s="72" t="s">
        <v>1753</v>
      </c>
      <c r="B2375" s="72" t="s">
        <v>86</v>
      </c>
      <c r="C2375" s="73">
        <v>65</v>
      </c>
      <c r="D2375" s="73">
        <v>1920075.2227625435</v>
      </c>
      <c r="E2375" s="72">
        <v>211208.2745038798</v>
      </c>
      <c r="F2375" s="72" t="s">
        <v>70</v>
      </c>
      <c r="G2375" s="72" t="s">
        <v>71</v>
      </c>
      <c r="H2375" s="72" t="s">
        <v>72</v>
      </c>
    </row>
    <row r="2376" spans="1:8" x14ac:dyDescent="0.25">
      <c r="A2376" s="43" t="s">
        <v>2667</v>
      </c>
      <c r="B2376" s="43" t="s">
        <v>97</v>
      </c>
      <c r="C2376" s="46">
        <v>65</v>
      </c>
      <c r="D2376" s="46">
        <v>1737134.3330795548</v>
      </c>
      <c r="E2376" s="43">
        <v>138970.74664636439</v>
      </c>
      <c r="F2376" s="43" t="s">
        <v>70</v>
      </c>
      <c r="G2376" s="43" t="s">
        <v>71</v>
      </c>
      <c r="H2376" s="43" t="s">
        <v>72</v>
      </c>
    </row>
    <row r="2377" spans="1:8" x14ac:dyDescent="0.25">
      <c r="A2377" s="43" t="s">
        <v>4143</v>
      </c>
      <c r="B2377" s="43" t="s">
        <v>73</v>
      </c>
      <c r="C2377" s="46">
        <v>65</v>
      </c>
      <c r="D2377" s="46">
        <v>1539664.0807761359</v>
      </c>
      <c r="E2377" s="43">
        <v>61586.563231045438</v>
      </c>
      <c r="F2377" s="43" t="s">
        <v>87</v>
      </c>
      <c r="G2377" s="43" t="s">
        <v>71</v>
      </c>
      <c r="H2377" s="43" t="s">
        <v>88</v>
      </c>
    </row>
    <row r="2378" spans="1:8" x14ac:dyDescent="0.25">
      <c r="A2378" s="72" t="s">
        <v>2182</v>
      </c>
      <c r="B2378" s="72" t="s">
        <v>93</v>
      </c>
      <c r="C2378" s="73">
        <v>65</v>
      </c>
      <c r="D2378" s="73">
        <v>1910928.9599115932</v>
      </c>
      <c r="E2378" s="72">
        <v>171983.60639204338</v>
      </c>
      <c r="F2378" s="72" t="s">
        <v>87</v>
      </c>
      <c r="G2378" s="72" t="s">
        <v>71</v>
      </c>
      <c r="H2378" s="72" t="s">
        <v>88</v>
      </c>
    </row>
    <row r="2379" spans="1:8" x14ac:dyDescent="0.25">
      <c r="A2379" s="72" t="s">
        <v>1921</v>
      </c>
      <c r="B2379" s="72" t="s">
        <v>73</v>
      </c>
      <c r="C2379" s="73">
        <v>65</v>
      </c>
      <c r="D2379" s="73">
        <v>1953189.6968499378</v>
      </c>
      <c r="E2379" s="72">
        <v>195318.96968499379</v>
      </c>
      <c r="F2379" s="72" t="s">
        <v>87</v>
      </c>
      <c r="G2379" s="72" t="s">
        <v>71</v>
      </c>
      <c r="H2379" s="72" t="s">
        <v>88</v>
      </c>
    </row>
    <row r="2380" spans="1:8" x14ac:dyDescent="0.25">
      <c r="A2380" s="72" t="s">
        <v>2492</v>
      </c>
      <c r="B2380" s="72" t="s">
        <v>73</v>
      </c>
      <c r="C2380" s="73">
        <v>65</v>
      </c>
      <c r="D2380" s="73">
        <v>1863403.5498046002</v>
      </c>
      <c r="E2380" s="72">
        <v>149072.28398436803</v>
      </c>
      <c r="F2380" s="72" t="s">
        <v>87</v>
      </c>
      <c r="G2380" s="72" t="s">
        <v>71</v>
      </c>
      <c r="H2380" s="72" t="s">
        <v>88</v>
      </c>
    </row>
    <row r="2381" spans="1:8" x14ac:dyDescent="0.25">
      <c r="A2381" s="43" t="s">
        <v>3883</v>
      </c>
      <c r="B2381" s="43" t="s">
        <v>112</v>
      </c>
      <c r="C2381" s="46">
        <v>65</v>
      </c>
      <c r="D2381" s="46">
        <v>1426749.5916430424</v>
      </c>
      <c r="E2381" s="43">
        <v>71337.479582152126</v>
      </c>
      <c r="F2381" s="43" t="s">
        <v>70</v>
      </c>
      <c r="G2381" s="43" t="s">
        <v>71</v>
      </c>
      <c r="H2381" s="43" t="s">
        <v>72</v>
      </c>
    </row>
    <row r="2382" spans="1:8" x14ac:dyDescent="0.25">
      <c r="A2382" s="43" t="s">
        <v>2324</v>
      </c>
      <c r="B2382" s="43" t="s">
        <v>112</v>
      </c>
      <c r="C2382" s="46">
        <v>65</v>
      </c>
      <c r="D2382" s="46">
        <v>1805213.9928592793</v>
      </c>
      <c r="E2382" s="43">
        <v>162469.25935733513</v>
      </c>
      <c r="F2382" s="43" t="s">
        <v>70</v>
      </c>
      <c r="G2382" s="43" t="s">
        <v>71</v>
      </c>
      <c r="H2382" s="43" t="s">
        <v>72</v>
      </c>
    </row>
    <row r="2383" spans="1:8" x14ac:dyDescent="0.25">
      <c r="A2383" s="72" t="s">
        <v>4713</v>
      </c>
      <c r="B2383" s="72" t="s">
        <v>112</v>
      </c>
      <c r="C2383" s="73">
        <v>65</v>
      </c>
      <c r="D2383" s="73">
        <v>1326654.7157924667</v>
      </c>
      <c r="E2383" s="72">
        <v>39799.641473774005</v>
      </c>
      <c r="F2383" s="72" t="s">
        <v>106</v>
      </c>
      <c r="G2383" s="72" t="s">
        <v>71</v>
      </c>
      <c r="H2383" s="72" t="s">
        <v>72</v>
      </c>
    </row>
    <row r="2384" spans="1:8" x14ac:dyDescent="0.25">
      <c r="A2384" s="72" t="s">
        <v>3884</v>
      </c>
      <c r="B2384" s="72" t="s">
        <v>102</v>
      </c>
      <c r="C2384" s="73">
        <v>65</v>
      </c>
      <c r="D2384" s="73">
        <v>1426749.5916430424</v>
      </c>
      <c r="E2384" s="72">
        <v>71337.479582152126</v>
      </c>
      <c r="F2384" s="72" t="s">
        <v>70</v>
      </c>
      <c r="G2384" s="72" t="s">
        <v>71</v>
      </c>
      <c r="H2384" s="72" t="s">
        <v>72</v>
      </c>
    </row>
    <row r="2385" spans="1:8" x14ac:dyDescent="0.25">
      <c r="A2385" s="43" t="s">
        <v>2493</v>
      </c>
      <c r="B2385" s="43" t="s">
        <v>202</v>
      </c>
      <c r="C2385" s="46">
        <v>65</v>
      </c>
      <c r="D2385" s="46">
        <v>1863403.5498046002</v>
      </c>
      <c r="E2385" s="43">
        <v>149072.28398436803</v>
      </c>
      <c r="F2385" s="43" t="s">
        <v>87</v>
      </c>
      <c r="G2385" s="43" t="s">
        <v>71</v>
      </c>
      <c r="H2385" s="43" t="s">
        <v>88</v>
      </c>
    </row>
    <row r="2386" spans="1:8" x14ac:dyDescent="0.25">
      <c r="A2386" s="43" t="s">
        <v>1059</v>
      </c>
      <c r="B2386" s="43" t="s">
        <v>85</v>
      </c>
      <c r="C2386" s="46">
        <v>65</v>
      </c>
      <c r="D2386" s="46">
        <v>2059951.2726110183</v>
      </c>
      <c r="E2386" s="43">
        <v>288393.17816554254</v>
      </c>
      <c r="F2386" s="43" t="s">
        <v>70</v>
      </c>
      <c r="G2386" s="43" t="s">
        <v>71</v>
      </c>
      <c r="H2386" s="43" t="s">
        <v>72</v>
      </c>
    </row>
    <row r="2387" spans="1:8" x14ac:dyDescent="0.25">
      <c r="A2387" s="72" t="s">
        <v>4144</v>
      </c>
      <c r="B2387" s="72" t="s">
        <v>73</v>
      </c>
      <c r="C2387" s="73">
        <v>65</v>
      </c>
      <c r="D2387" s="73">
        <v>1539664.0807761359</v>
      </c>
      <c r="E2387" s="72">
        <v>61586.563231045438</v>
      </c>
      <c r="F2387" s="72" t="s">
        <v>87</v>
      </c>
      <c r="G2387" s="72" t="s">
        <v>71</v>
      </c>
      <c r="H2387" s="72" t="s">
        <v>88</v>
      </c>
    </row>
    <row r="2388" spans="1:8" x14ac:dyDescent="0.25">
      <c r="A2388" s="43" t="s">
        <v>2183</v>
      </c>
      <c r="B2388" s="43" t="s">
        <v>93</v>
      </c>
      <c r="C2388" s="46">
        <v>65</v>
      </c>
      <c r="D2388" s="46">
        <v>1910928.9599115932</v>
      </c>
      <c r="E2388" s="43">
        <v>171983.60639204338</v>
      </c>
      <c r="F2388" s="43" t="s">
        <v>87</v>
      </c>
      <c r="G2388" s="43" t="s">
        <v>71</v>
      </c>
      <c r="H2388" s="43" t="s">
        <v>88</v>
      </c>
    </row>
    <row r="2389" spans="1:8" x14ac:dyDescent="0.25">
      <c r="A2389" s="43" t="s">
        <v>3885</v>
      </c>
      <c r="B2389" s="43" t="s">
        <v>97</v>
      </c>
      <c r="C2389" s="46">
        <v>65</v>
      </c>
      <c r="D2389" s="46">
        <v>1426749.5916430424</v>
      </c>
      <c r="E2389" s="43">
        <v>71337.479582152126</v>
      </c>
      <c r="F2389" s="43" t="s">
        <v>70</v>
      </c>
      <c r="G2389" s="43" t="s">
        <v>71</v>
      </c>
      <c r="H2389" s="43" t="s">
        <v>72</v>
      </c>
    </row>
    <row r="2390" spans="1:8" x14ac:dyDescent="0.25">
      <c r="A2390" s="72" t="s">
        <v>2325</v>
      </c>
      <c r="B2390" s="72" t="s">
        <v>102</v>
      </c>
      <c r="C2390" s="73">
        <v>65</v>
      </c>
      <c r="D2390" s="73">
        <v>1805213.9928592793</v>
      </c>
      <c r="E2390" s="72">
        <v>162469.25935733513</v>
      </c>
      <c r="F2390" s="72" t="s">
        <v>70</v>
      </c>
      <c r="G2390" s="72" t="s">
        <v>71</v>
      </c>
      <c r="H2390" s="72" t="s">
        <v>72</v>
      </c>
    </row>
    <row r="2391" spans="1:8" x14ac:dyDescent="0.25">
      <c r="A2391" s="72" t="s">
        <v>1060</v>
      </c>
      <c r="B2391" s="72" t="s">
        <v>102</v>
      </c>
      <c r="C2391" s="73">
        <v>65</v>
      </c>
      <c r="D2391" s="73">
        <v>2059951.2726110183</v>
      </c>
      <c r="E2391" s="72">
        <v>288393.17816554254</v>
      </c>
      <c r="F2391" s="72" t="s">
        <v>70</v>
      </c>
      <c r="G2391" s="72" t="s">
        <v>71</v>
      </c>
      <c r="H2391" s="72" t="s">
        <v>72</v>
      </c>
    </row>
    <row r="2392" spans="1:8" x14ac:dyDescent="0.25">
      <c r="A2392" s="43" t="s">
        <v>1289</v>
      </c>
      <c r="B2392" s="43" t="s">
        <v>97</v>
      </c>
      <c r="C2392" s="46">
        <v>64</v>
      </c>
      <c r="D2392" s="46">
        <v>1984594.9917372586</v>
      </c>
      <c r="E2392" s="43">
        <v>257997.34892584363</v>
      </c>
      <c r="F2392" s="43" t="s">
        <v>70</v>
      </c>
      <c r="G2392" s="43" t="s">
        <v>71</v>
      </c>
      <c r="H2392" s="43" t="s">
        <v>72</v>
      </c>
    </row>
    <row r="2393" spans="1:8" x14ac:dyDescent="0.25">
      <c r="A2393" s="43" t="s">
        <v>1954</v>
      </c>
      <c r="B2393" s="43" t="s">
        <v>73</v>
      </c>
      <c r="C2393" s="46">
        <v>64</v>
      </c>
      <c r="D2393" s="46">
        <v>1922348.3462317435</v>
      </c>
      <c r="E2393" s="43">
        <v>192234.83462317436</v>
      </c>
      <c r="F2393" s="43" t="s">
        <v>87</v>
      </c>
      <c r="G2393" s="43" t="s">
        <v>71</v>
      </c>
      <c r="H2393" s="43" t="s">
        <v>88</v>
      </c>
    </row>
    <row r="2394" spans="1:8" x14ac:dyDescent="0.25">
      <c r="A2394" s="43" t="s">
        <v>1293</v>
      </c>
      <c r="B2394" s="43" t="s">
        <v>236</v>
      </c>
      <c r="C2394" s="46">
        <v>64</v>
      </c>
      <c r="D2394" s="46">
        <v>1983067.2703804951</v>
      </c>
      <c r="E2394" s="43">
        <v>257798.74514946438</v>
      </c>
      <c r="F2394" s="43" t="s">
        <v>84</v>
      </c>
      <c r="G2394" s="43" t="s">
        <v>71</v>
      </c>
      <c r="H2394" s="43" t="s">
        <v>72</v>
      </c>
    </row>
    <row r="2395" spans="1:8" x14ac:dyDescent="0.25">
      <c r="A2395" s="43" t="s">
        <v>2938</v>
      </c>
      <c r="B2395" s="43" t="s">
        <v>383</v>
      </c>
      <c r="C2395" s="46">
        <v>64</v>
      </c>
      <c r="D2395" s="46">
        <v>1584606.0990202625</v>
      </c>
      <c r="E2395" s="43">
        <v>95076.365941215772</v>
      </c>
      <c r="F2395" s="43" t="s">
        <v>78</v>
      </c>
      <c r="G2395" s="43" t="s">
        <v>71</v>
      </c>
      <c r="H2395" s="43" t="s">
        <v>72</v>
      </c>
    </row>
    <row r="2396" spans="1:8" x14ac:dyDescent="0.25">
      <c r="A2396" s="43" t="s">
        <v>1792</v>
      </c>
      <c r="B2396" s="43" t="s">
        <v>97</v>
      </c>
      <c r="C2396" s="46">
        <v>64</v>
      </c>
      <c r="D2396" s="46">
        <v>1889618.1159945119</v>
      </c>
      <c r="E2396" s="43">
        <v>207857.99275939632</v>
      </c>
      <c r="F2396" s="43" t="s">
        <v>70</v>
      </c>
      <c r="G2396" s="43" t="s">
        <v>71</v>
      </c>
      <c r="H2396" s="43" t="s">
        <v>72</v>
      </c>
    </row>
    <row r="2397" spans="1:8" x14ac:dyDescent="0.25">
      <c r="A2397" s="43" t="s">
        <v>2397</v>
      </c>
      <c r="B2397" s="43" t="s">
        <v>75</v>
      </c>
      <c r="C2397" s="46">
        <v>64</v>
      </c>
      <c r="D2397" s="46">
        <v>1570522.5576501118</v>
      </c>
      <c r="E2397" s="43">
        <v>157052.25576501118</v>
      </c>
      <c r="F2397" s="43" t="s">
        <v>106</v>
      </c>
      <c r="G2397" s="43" t="s">
        <v>71</v>
      </c>
      <c r="H2397" s="43" t="s">
        <v>72</v>
      </c>
    </row>
    <row r="2398" spans="1:8" x14ac:dyDescent="0.25">
      <c r="A2398" s="72" t="s">
        <v>3916</v>
      </c>
      <c r="B2398" s="72" t="s">
        <v>176</v>
      </c>
      <c r="C2398" s="73">
        <v>64</v>
      </c>
      <c r="D2398" s="73">
        <v>1403882.109969157</v>
      </c>
      <c r="E2398" s="72">
        <v>70194.105498457851</v>
      </c>
      <c r="F2398" s="72" t="s">
        <v>70</v>
      </c>
      <c r="G2398" s="72" t="s">
        <v>71</v>
      </c>
      <c r="H2398" s="72" t="s">
        <v>72</v>
      </c>
    </row>
    <row r="2399" spans="1:8" x14ac:dyDescent="0.25">
      <c r="A2399" s="43" t="s">
        <v>1084</v>
      </c>
      <c r="B2399" s="43" t="s">
        <v>97</v>
      </c>
      <c r="C2399" s="46">
        <v>64</v>
      </c>
      <c r="D2399" s="46">
        <v>2027342.2266145484</v>
      </c>
      <c r="E2399" s="43">
        <v>283827.91172603675</v>
      </c>
      <c r="F2399" s="43" t="s">
        <v>70</v>
      </c>
      <c r="G2399" s="43" t="s">
        <v>71</v>
      </c>
      <c r="H2399" s="43" t="s">
        <v>72</v>
      </c>
    </row>
    <row r="2400" spans="1:8" x14ac:dyDescent="0.25">
      <c r="A2400" s="72" t="s">
        <v>1830</v>
      </c>
      <c r="B2400" s="72" t="s">
        <v>232</v>
      </c>
      <c r="C2400" s="73">
        <v>64</v>
      </c>
      <c r="D2400" s="73">
        <v>1852531.1478942288</v>
      </c>
      <c r="E2400" s="72">
        <v>203778.42626836521</v>
      </c>
      <c r="F2400" s="72" t="s">
        <v>84</v>
      </c>
      <c r="G2400" s="72" t="s">
        <v>71</v>
      </c>
      <c r="H2400" s="72" t="s">
        <v>72</v>
      </c>
    </row>
    <row r="2401" spans="1:8" x14ac:dyDescent="0.25">
      <c r="A2401" s="72" t="s">
        <v>2061</v>
      </c>
      <c r="B2401" s="72" t="s">
        <v>97</v>
      </c>
      <c r="C2401" s="73">
        <v>64</v>
      </c>
      <c r="D2401" s="73">
        <v>1835913.2548689989</v>
      </c>
      <c r="E2401" s="72">
        <v>183591.32548689991</v>
      </c>
      <c r="F2401" s="72" t="s">
        <v>70</v>
      </c>
      <c r="G2401" s="72" t="s">
        <v>71</v>
      </c>
      <c r="H2401" s="72" t="s">
        <v>72</v>
      </c>
    </row>
    <row r="2402" spans="1:8" x14ac:dyDescent="0.25">
      <c r="A2402" s="43" t="s">
        <v>3869</v>
      </c>
      <c r="B2402" s="43" t="s">
        <v>75</v>
      </c>
      <c r="C2402" s="46">
        <v>64</v>
      </c>
      <c r="D2402" s="46">
        <v>1431694.6914247775</v>
      </c>
      <c r="E2402" s="43">
        <v>71584.734571238878</v>
      </c>
      <c r="F2402" s="43" t="s">
        <v>106</v>
      </c>
      <c r="G2402" s="43" t="s">
        <v>71</v>
      </c>
      <c r="H2402" s="43" t="s">
        <v>72</v>
      </c>
    </row>
    <row r="2403" spans="1:8" x14ac:dyDescent="0.25">
      <c r="A2403" s="72" t="s">
        <v>2648</v>
      </c>
      <c r="B2403" s="72" t="s">
        <v>75</v>
      </c>
      <c r="C2403" s="73">
        <v>64</v>
      </c>
      <c r="D2403" s="73">
        <v>1549983.4728920904</v>
      </c>
      <c r="E2403" s="72">
        <v>139498.51256028813</v>
      </c>
      <c r="F2403" s="72" t="s">
        <v>106</v>
      </c>
      <c r="G2403" s="72" t="s">
        <v>71</v>
      </c>
      <c r="H2403" s="72" t="s">
        <v>72</v>
      </c>
    </row>
    <row r="2404" spans="1:8" x14ac:dyDescent="0.25">
      <c r="A2404" s="72" t="s">
        <v>3870</v>
      </c>
      <c r="B2404" s="72" t="s">
        <v>554</v>
      </c>
      <c r="C2404" s="73">
        <v>64</v>
      </c>
      <c r="D2404" s="73">
        <v>1431694.6914247775</v>
      </c>
      <c r="E2404" s="72">
        <v>71584.734571238878</v>
      </c>
      <c r="F2404" s="72" t="s">
        <v>106</v>
      </c>
      <c r="G2404" s="72" t="s">
        <v>71</v>
      </c>
      <c r="H2404" s="72" t="s">
        <v>72</v>
      </c>
    </row>
    <row r="2405" spans="1:8" x14ac:dyDescent="0.25">
      <c r="A2405" s="72" t="s">
        <v>3416</v>
      </c>
      <c r="B2405" s="72" t="s">
        <v>77</v>
      </c>
      <c r="C2405" s="73">
        <v>64</v>
      </c>
      <c r="D2405" s="73">
        <v>1535638.3286691937</v>
      </c>
      <c r="E2405" s="72">
        <v>92138.299720151641</v>
      </c>
      <c r="F2405" s="72" t="s">
        <v>70</v>
      </c>
      <c r="G2405" s="72" t="s">
        <v>71</v>
      </c>
      <c r="H2405" s="72" t="s">
        <v>72</v>
      </c>
    </row>
    <row r="2406" spans="1:8" x14ac:dyDescent="0.25">
      <c r="A2406" s="72" t="s">
        <v>1528</v>
      </c>
      <c r="B2406" s="72" t="s">
        <v>73</v>
      </c>
      <c r="C2406" s="73">
        <v>64</v>
      </c>
      <c r="D2406" s="73">
        <v>1938892.6023515833</v>
      </c>
      <c r="E2406" s="72">
        <v>232667.11228219004</v>
      </c>
      <c r="F2406" s="72" t="s">
        <v>70</v>
      </c>
      <c r="G2406" s="72" t="s">
        <v>71</v>
      </c>
      <c r="H2406" s="72" t="s">
        <v>72</v>
      </c>
    </row>
    <row r="2407" spans="1:8" x14ac:dyDescent="0.25">
      <c r="A2407" s="72" t="s">
        <v>1793</v>
      </c>
      <c r="B2407" s="72" t="s">
        <v>211</v>
      </c>
      <c r="C2407" s="73">
        <v>64</v>
      </c>
      <c r="D2407" s="73">
        <v>1889618.1159945119</v>
      </c>
      <c r="E2407" s="72">
        <v>207857.99275939632</v>
      </c>
      <c r="F2407" s="72" t="s">
        <v>70</v>
      </c>
      <c r="G2407" s="72" t="s">
        <v>71</v>
      </c>
      <c r="H2407" s="72" t="s">
        <v>72</v>
      </c>
    </row>
    <row r="2408" spans="1:8" x14ac:dyDescent="0.25">
      <c r="A2408" s="43" t="s">
        <v>3917</v>
      </c>
      <c r="B2408" s="43" t="s">
        <v>73</v>
      </c>
      <c r="C2408" s="46">
        <v>64</v>
      </c>
      <c r="D2408" s="46">
        <v>1403882.109969157</v>
      </c>
      <c r="E2408" s="43">
        <v>70194.105498457851</v>
      </c>
      <c r="F2408" s="43" t="s">
        <v>70</v>
      </c>
      <c r="G2408" s="43" t="s">
        <v>71</v>
      </c>
      <c r="H2408" s="43" t="s">
        <v>72</v>
      </c>
    </row>
    <row r="2409" spans="1:8" x14ac:dyDescent="0.25">
      <c r="A2409" s="72" t="s">
        <v>3918</v>
      </c>
      <c r="B2409" s="72" t="s">
        <v>73</v>
      </c>
      <c r="C2409" s="73">
        <v>64</v>
      </c>
      <c r="D2409" s="73">
        <v>1403882.109969157</v>
      </c>
      <c r="E2409" s="72">
        <v>70194.105498457851</v>
      </c>
      <c r="F2409" s="72" t="s">
        <v>70</v>
      </c>
      <c r="G2409" s="72" t="s">
        <v>71</v>
      </c>
      <c r="H2409" s="72" t="s">
        <v>72</v>
      </c>
    </row>
    <row r="2410" spans="1:8" x14ac:dyDescent="0.25">
      <c r="A2410" s="72" t="s">
        <v>1029</v>
      </c>
      <c r="B2410" s="72" t="s">
        <v>75</v>
      </c>
      <c r="C2410" s="73">
        <v>64</v>
      </c>
      <c r="D2410" s="73">
        <v>2089067.6421225264</v>
      </c>
      <c r="E2410" s="72">
        <v>292469.46989715367</v>
      </c>
      <c r="F2410" s="72" t="s">
        <v>78</v>
      </c>
      <c r="G2410" s="72" t="s">
        <v>71</v>
      </c>
      <c r="H2410" s="72" t="s">
        <v>72</v>
      </c>
    </row>
    <row r="2411" spans="1:8" x14ac:dyDescent="0.25">
      <c r="A2411" s="43" t="s">
        <v>3231</v>
      </c>
      <c r="B2411" s="43" t="s">
        <v>73</v>
      </c>
      <c r="C2411" s="46">
        <v>64</v>
      </c>
      <c r="D2411" s="46">
        <v>1715682.0202806557</v>
      </c>
      <c r="E2411" s="43">
        <v>102940.92121683934</v>
      </c>
      <c r="F2411" s="43" t="s">
        <v>87</v>
      </c>
      <c r="G2411" s="43" t="s">
        <v>71</v>
      </c>
      <c r="H2411" s="43" t="s">
        <v>88</v>
      </c>
    </row>
    <row r="2412" spans="1:8" x14ac:dyDescent="0.25">
      <c r="A2412" s="43" t="s">
        <v>3919</v>
      </c>
      <c r="B2412" s="43" t="s">
        <v>105</v>
      </c>
      <c r="C2412" s="46">
        <v>64</v>
      </c>
      <c r="D2412" s="46">
        <v>1403882.109969157</v>
      </c>
      <c r="E2412" s="43">
        <v>70194.105498457851</v>
      </c>
      <c r="F2412" s="43" t="s">
        <v>70</v>
      </c>
      <c r="G2412" s="43" t="s">
        <v>71</v>
      </c>
      <c r="H2412" s="43" t="s">
        <v>72</v>
      </c>
    </row>
    <row r="2413" spans="1:8" x14ac:dyDescent="0.25">
      <c r="A2413" s="43" t="s">
        <v>1529</v>
      </c>
      <c r="B2413" s="43" t="s">
        <v>103</v>
      </c>
      <c r="C2413" s="46">
        <v>64</v>
      </c>
      <c r="D2413" s="46">
        <v>1938892.6023515833</v>
      </c>
      <c r="E2413" s="43">
        <v>232667.11228219004</v>
      </c>
      <c r="F2413" s="43" t="s">
        <v>70</v>
      </c>
      <c r="G2413" s="43" t="s">
        <v>71</v>
      </c>
      <c r="H2413" s="43" t="s">
        <v>72</v>
      </c>
    </row>
    <row r="2414" spans="1:8" x14ac:dyDescent="0.25">
      <c r="A2414" s="72" t="s">
        <v>1530</v>
      </c>
      <c r="B2414" s="72" t="s">
        <v>166</v>
      </c>
      <c r="C2414" s="73">
        <v>64</v>
      </c>
      <c r="D2414" s="73">
        <v>1938892.6023515833</v>
      </c>
      <c r="E2414" s="72">
        <v>232667.11228219004</v>
      </c>
      <c r="F2414" s="72" t="s">
        <v>70</v>
      </c>
      <c r="G2414" s="72" t="s">
        <v>71</v>
      </c>
      <c r="H2414" s="72" t="s">
        <v>72</v>
      </c>
    </row>
    <row r="2415" spans="1:8" x14ac:dyDescent="0.25">
      <c r="A2415" s="72" t="s">
        <v>1459</v>
      </c>
      <c r="B2415" s="72" t="s">
        <v>73</v>
      </c>
      <c r="C2415" s="73">
        <v>64</v>
      </c>
      <c r="D2415" s="73">
        <v>1994451.3749197877</v>
      </c>
      <c r="E2415" s="72">
        <v>239334.16499037453</v>
      </c>
      <c r="F2415" s="72" t="s">
        <v>87</v>
      </c>
      <c r="G2415" s="72" t="s">
        <v>71</v>
      </c>
      <c r="H2415" s="72" t="s">
        <v>88</v>
      </c>
    </row>
    <row r="2416" spans="1:8" x14ac:dyDescent="0.25">
      <c r="A2416" s="72" t="s">
        <v>3198</v>
      </c>
      <c r="B2416" s="72" t="s">
        <v>83</v>
      </c>
      <c r="C2416" s="73">
        <v>64</v>
      </c>
      <c r="D2416" s="73">
        <v>1495899.8290387152</v>
      </c>
      <c r="E2416" s="72">
        <v>104712.98803271005</v>
      </c>
      <c r="F2416" s="72" t="s">
        <v>84</v>
      </c>
      <c r="G2416" s="72" t="s">
        <v>71</v>
      </c>
      <c r="H2416" s="72" t="s">
        <v>72</v>
      </c>
    </row>
    <row r="2417" spans="1:8" x14ac:dyDescent="0.25">
      <c r="A2417" s="43" t="s">
        <v>2227</v>
      </c>
      <c r="B2417" s="43" t="s">
        <v>93</v>
      </c>
      <c r="C2417" s="46">
        <v>64</v>
      </c>
      <c r="D2417" s="46">
        <v>1880737.7744770655</v>
      </c>
      <c r="E2417" s="43">
        <v>169266.39970293589</v>
      </c>
      <c r="F2417" s="43" t="s">
        <v>87</v>
      </c>
      <c r="G2417" s="43" t="s">
        <v>71</v>
      </c>
      <c r="H2417" s="43" t="s">
        <v>88</v>
      </c>
    </row>
    <row r="2418" spans="1:8" x14ac:dyDescent="0.25">
      <c r="A2418" s="43" t="s">
        <v>2356</v>
      </c>
      <c r="B2418" s="43" t="s">
        <v>97</v>
      </c>
      <c r="C2418" s="46">
        <v>64</v>
      </c>
      <c r="D2418" s="46">
        <v>1776523.9819359134</v>
      </c>
      <c r="E2418" s="43">
        <v>159887.15837423221</v>
      </c>
      <c r="F2418" s="43" t="s">
        <v>70</v>
      </c>
      <c r="G2418" s="43" t="s">
        <v>71</v>
      </c>
      <c r="H2418" s="43" t="s">
        <v>72</v>
      </c>
    </row>
    <row r="2419" spans="1:8" x14ac:dyDescent="0.25">
      <c r="A2419" s="72" t="s">
        <v>2357</v>
      </c>
      <c r="B2419" s="72" t="s">
        <v>112</v>
      </c>
      <c r="C2419" s="73">
        <v>64</v>
      </c>
      <c r="D2419" s="73">
        <v>1776523.9819359134</v>
      </c>
      <c r="E2419" s="72">
        <v>159887.15837423221</v>
      </c>
      <c r="F2419" s="72" t="s">
        <v>70</v>
      </c>
      <c r="G2419" s="72" t="s">
        <v>71</v>
      </c>
      <c r="H2419" s="72" t="s">
        <v>72</v>
      </c>
    </row>
    <row r="2420" spans="1:8" x14ac:dyDescent="0.25">
      <c r="A2420" s="72" t="s">
        <v>1085</v>
      </c>
      <c r="B2420" s="72" t="s">
        <v>112</v>
      </c>
      <c r="C2420" s="73">
        <v>64</v>
      </c>
      <c r="D2420" s="73">
        <v>2027342.2266145484</v>
      </c>
      <c r="E2420" s="72">
        <v>283827.91172603675</v>
      </c>
      <c r="F2420" s="72" t="s">
        <v>70</v>
      </c>
      <c r="G2420" s="72" t="s">
        <v>71</v>
      </c>
      <c r="H2420" s="72" t="s">
        <v>72</v>
      </c>
    </row>
    <row r="2421" spans="1:8" x14ac:dyDescent="0.25">
      <c r="A2421" s="43" t="s">
        <v>3417</v>
      </c>
      <c r="B2421" s="43" t="s">
        <v>112</v>
      </c>
      <c r="C2421" s="46">
        <v>64</v>
      </c>
      <c r="D2421" s="46">
        <v>1535638.3286691937</v>
      </c>
      <c r="E2421" s="43">
        <v>92138.299720151641</v>
      </c>
      <c r="F2421" s="43" t="s">
        <v>70</v>
      </c>
      <c r="G2421" s="43" t="s">
        <v>71</v>
      </c>
      <c r="H2421" s="43" t="s">
        <v>72</v>
      </c>
    </row>
    <row r="2422" spans="1:8" x14ac:dyDescent="0.25">
      <c r="A2422" s="43" t="s">
        <v>1086</v>
      </c>
      <c r="B2422" s="43" t="s">
        <v>102</v>
      </c>
      <c r="C2422" s="46">
        <v>64</v>
      </c>
      <c r="D2422" s="46">
        <v>2027342.2266145484</v>
      </c>
      <c r="E2422" s="43">
        <v>283827.91172603675</v>
      </c>
      <c r="F2422" s="43" t="s">
        <v>70</v>
      </c>
      <c r="G2422" s="43" t="s">
        <v>71</v>
      </c>
      <c r="H2422" s="43" t="s">
        <v>72</v>
      </c>
    </row>
    <row r="2423" spans="1:8" x14ac:dyDescent="0.25">
      <c r="A2423" s="43" t="s">
        <v>2358</v>
      </c>
      <c r="B2423" s="43" t="s">
        <v>85</v>
      </c>
      <c r="C2423" s="46">
        <v>64</v>
      </c>
      <c r="D2423" s="46">
        <v>1776523.9819359134</v>
      </c>
      <c r="E2423" s="43">
        <v>159887.15837423221</v>
      </c>
      <c r="F2423" s="43" t="s">
        <v>70</v>
      </c>
      <c r="G2423" s="43" t="s">
        <v>71</v>
      </c>
      <c r="H2423" s="43" t="s">
        <v>72</v>
      </c>
    </row>
    <row r="2424" spans="1:8" x14ac:dyDescent="0.25">
      <c r="A2424" s="72" t="s">
        <v>2359</v>
      </c>
      <c r="B2424" s="72" t="s">
        <v>85</v>
      </c>
      <c r="C2424" s="73">
        <v>64</v>
      </c>
      <c r="D2424" s="73">
        <v>1776523.9819359134</v>
      </c>
      <c r="E2424" s="72">
        <v>159887.15837423221</v>
      </c>
      <c r="F2424" s="72" t="s">
        <v>70</v>
      </c>
      <c r="G2424" s="72" t="s">
        <v>71</v>
      </c>
      <c r="H2424" s="72" t="s">
        <v>72</v>
      </c>
    </row>
    <row r="2425" spans="1:8" x14ac:dyDescent="0.25">
      <c r="A2425" s="72" t="s">
        <v>1087</v>
      </c>
      <c r="B2425" s="72" t="s">
        <v>211</v>
      </c>
      <c r="C2425" s="73">
        <v>64</v>
      </c>
      <c r="D2425" s="73">
        <v>2027342.2266145484</v>
      </c>
      <c r="E2425" s="72">
        <v>283827.91172603675</v>
      </c>
      <c r="F2425" s="72" t="s">
        <v>70</v>
      </c>
      <c r="G2425" s="72" t="s">
        <v>71</v>
      </c>
      <c r="H2425" s="72" t="s">
        <v>72</v>
      </c>
    </row>
    <row r="2426" spans="1:8" x14ac:dyDescent="0.25">
      <c r="A2426" s="72" t="s">
        <v>1290</v>
      </c>
      <c r="B2426" s="72" t="s">
        <v>73</v>
      </c>
      <c r="C2426" s="73">
        <v>64</v>
      </c>
      <c r="D2426" s="73">
        <v>1984594.9917372586</v>
      </c>
      <c r="E2426" s="72">
        <v>257997.34892584363</v>
      </c>
      <c r="F2426" s="72" t="s">
        <v>70</v>
      </c>
      <c r="G2426" s="72" t="s">
        <v>71</v>
      </c>
      <c r="H2426" s="72" t="s">
        <v>72</v>
      </c>
    </row>
    <row r="2427" spans="1:8" x14ac:dyDescent="0.25">
      <c r="A2427" s="43" t="s">
        <v>2541</v>
      </c>
      <c r="B2427" s="43" t="s">
        <v>77</v>
      </c>
      <c r="C2427" s="46">
        <v>64</v>
      </c>
      <c r="D2427" s="46">
        <v>1833943.5245255649</v>
      </c>
      <c r="E2427" s="43">
        <v>146715.48196204519</v>
      </c>
      <c r="F2427" s="43" t="s">
        <v>87</v>
      </c>
      <c r="G2427" s="43" t="s">
        <v>71</v>
      </c>
      <c r="H2427" s="43" t="s">
        <v>88</v>
      </c>
    </row>
    <row r="2428" spans="1:8" x14ac:dyDescent="0.25">
      <c r="A2428" s="43" t="s">
        <v>1291</v>
      </c>
      <c r="B2428" s="43" t="s">
        <v>211</v>
      </c>
      <c r="C2428" s="46">
        <v>64</v>
      </c>
      <c r="D2428" s="46">
        <v>1984594.9917372586</v>
      </c>
      <c r="E2428" s="43">
        <v>257997.34892584363</v>
      </c>
      <c r="F2428" s="43" t="s">
        <v>70</v>
      </c>
      <c r="G2428" s="43" t="s">
        <v>71</v>
      </c>
      <c r="H2428" s="43" t="s">
        <v>72</v>
      </c>
    </row>
    <row r="2429" spans="1:8" x14ac:dyDescent="0.25">
      <c r="A2429" s="72" t="s">
        <v>3418</v>
      </c>
      <c r="B2429" s="72" t="s">
        <v>211</v>
      </c>
      <c r="C2429" s="73">
        <v>64</v>
      </c>
      <c r="D2429" s="73">
        <v>1535638.3286691937</v>
      </c>
      <c r="E2429" s="72">
        <v>92138.299720151641</v>
      </c>
      <c r="F2429" s="72" t="s">
        <v>70</v>
      </c>
      <c r="G2429" s="72" t="s">
        <v>71</v>
      </c>
      <c r="H2429" s="72" t="s">
        <v>72</v>
      </c>
    </row>
    <row r="2430" spans="1:8" x14ac:dyDescent="0.25">
      <c r="A2430" s="43" t="s">
        <v>2062</v>
      </c>
      <c r="B2430" s="43" t="s">
        <v>85</v>
      </c>
      <c r="C2430" s="46">
        <v>64</v>
      </c>
      <c r="D2430" s="46">
        <v>1835913.2548689989</v>
      </c>
      <c r="E2430" s="43">
        <v>183591.32548689991</v>
      </c>
      <c r="F2430" s="43" t="s">
        <v>70</v>
      </c>
      <c r="G2430" s="43" t="s">
        <v>71</v>
      </c>
      <c r="H2430" s="43" t="s">
        <v>72</v>
      </c>
    </row>
    <row r="2431" spans="1:8" x14ac:dyDescent="0.25">
      <c r="A2431" s="43" t="s">
        <v>1831</v>
      </c>
      <c r="B2431" s="43" t="s">
        <v>83</v>
      </c>
      <c r="C2431" s="46">
        <v>64</v>
      </c>
      <c r="D2431" s="46">
        <v>1852531.1478942288</v>
      </c>
      <c r="E2431" s="43">
        <v>203778.42626836521</v>
      </c>
      <c r="F2431" s="43" t="s">
        <v>84</v>
      </c>
      <c r="G2431" s="43" t="s">
        <v>71</v>
      </c>
      <c r="H2431" s="43" t="s">
        <v>72</v>
      </c>
    </row>
    <row r="2432" spans="1:8" x14ac:dyDescent="0.25">
      <c r="A2432" s="43" t="s">
        <v>1460</v>
      </c>
      <c r="B2432" s="43" t="s">
        <v>93</v>
      </c>
      <c r="C2432" s="46">
        <v>64</v>
      </c>
      <c r="D2432" s="46">
        <v>1994451.3749197877</v>
      </c>
      <c r="E2432" s="43">
        <v>239334.16499037453</v>
      </c>
      <c r="F2432" s="43" t="s">
        <v>87</v>
      </c>
      <c r="G2432" s="43" t="s">
        <v>71</v>
      </c>
      <c r="H2432" s="43" t="s">
        <v>88</v>
      </c>
    </row>
    <row r="2433" spans="1:8" x14ac:dyDescent="0.25">
      <c r="A2433" s="72" t="s">
        <v>3506</v>
      </c>
      <c r="B2433" s="72" t="s">
        <v>162</v>
      </c>
      <c r="C2433" s="73">
        <v>64</v>
      </c>
      <c r="D2433" s="73">
        <v>1469631.1534510858</v>
      </c>
      <c r="E2433" s="72">
        <v>88177.86920706516</v>
      </c>
      <c r="F2433" s="72" t="s">
        <v>106</v>
      </c>
      <c r="G2433" s="72" t="s">
        <v>71</v>
      </c>
      <c r="H2433" s="72" t="s">
        <v>72</v>
      </c>
    </row>
    <row r="2434" spans="1:8" x14ac:dyDescent="0.25">
      <c r="A2434" s="43" t="s">
        <v>3419</v>
      </c>
      <c r="B2434" s="43" t="s">
        <v>162</v>
      </c>
      <c r="C2434" s="46">
        <v>64</v>
      </c>
      <c r="D2434" s="46">
        <v>1535638.3286691937</v>
      </c>
      <c r="E2434" s="43">
        <v>92138.299720151641</v>
      </c>
      <c r="F2434" s="43" t="s">
        <v>70</v>
      </c>
      <c r="G2434" s="43" t="s">
        <v>71</v>
      </c>
      <c r="H2434" s="43" t="s">
        <v>72</v>
      </c>
    </row>
    <row r="2435" spans="1:8" x14ac:dyDescent="0.25">
      <c r="A2435" s="72" t="s">
        <v>2398</v>
      </c>
      <c r="B2435" s="72" t="s">
        <v>257</v>
      </c>
      <c r="C2435" s="73">
        <v>64</v>
      </c>
      <c r="D2435" s="73">
        <v>1570522.5576501118</v>
      </c>
      <c r="E2435" s="72">
        <v>157052.25576501118</v>
      </c>
      <c r="F2435" s="72" t="s">
        <v>106</v>
      </c>
      <c r="G2435" s="72" t="s">
        <v>71</v>
      </c>
      <c r="H2435" s="72" t="s">
        <v>72</v>
      </c>
    </row>
    <row r="2436" spans="1:8" x14ac:dyDescent="0.25">
      <c r="A2436" s="72" t="s">
        <v>4306</v>
      </c>
      <c r="B2436" s="72" t="s">
        <v>257</v>
      </c>
      <c r="C2436" s="73">
        <v>64</v>
      </c>
      <c r="D2436" s="73">
        <v>1381800.0846938868</v>
      </c>
      <c r="E2436" s="72">
        <v>55272.003387755474</v>
      </c>
      <c r="F2436" s="72" t="s">
        <v>106</v>
      </c>
      <c r="G2436" s="72" t="s">
        <v>71</v>
      </c>
      <c r="H2436" s="72" t="s">
        <v>72</v>
      </c>
    </row>
    <row r="2437" spans="1:8" x14ac:dyDescent="0.25">
      <c r="A2437" s="43" t="s">
        <v>1950</v>
      </c>
      <c r="B2437" s="43" t="s">
        <v>257</v>
      </c>
      <c r="C2437" s="46">
        <v>64</v>
      </c>
      <c r="D2437" s="46">
        <v>1606093.5007549648</v>
      </c>
      <c r="E2437" s="43">
        <v>192731.22009059577</v>
      </c>
      <c r="F2437" s="43" t="s">
        <v>106</v>
      </c>
      <c r="G2437" s="43" t="s">
        <v>71</v>
      </c>
      <c r="H2437" s="43" t="s">
        <v>72</v>
      </c>
    </row>
    <row r="2438" spans="1:8" x14ac:dyDescent="0.25">
      <c r="A2438" s="72" t="s">
        <v>1818</v>
      </c>
      <c r="B2438" s="72" t="s">
        <v>119</v>
      </c>
      <c r="C2438" s="73">
        <v>63</v>
      </c>
      <c r="D2438" s="73">
        <v>1859190.515679264</v>
      </c>
      <c r="E2438" s="72">
        <v>204510.95672471906</v>
      </c>
      <c r="F2438" s="72" t="s">
        <v>70</v>
      </c>
      <c r="G2438" s="72" t="s">
        <v>71</v>
      </c>
      <c r="H2438" s="72" t="s">
        <v>72</v>
      </c>
    </row>
    <row r="2439" spans="1:8" x14ac:dyDescent="0.25">
      <c r="A2439" s="43" t="s">
        <v>2565</v>
      </c>
      <c r="B2439" s="43" t="s">
        <v>73</v>
      </c>
      <c r="C2439" s="46">
        <v>63</v>
      </c>
      <c r="D2439" s="46">
        <v>1804508.8743668611</v>
      </c>
      <c r="E2439" s="43">
        <v>144360.70994934888</v>
      </c>
      <c r="F2439" s="43" t="s">
        <v>87</v>
      </c>
      <c r="G2439" s="43" t="s">
        <v>71</v>
      </c>
      <c r="H2439" s="43" t="s">
        <v>88</v>
      </c>
    </row>
    <row r="2440" spans="1:8" x14ac:dyDescent="0.25">
      <c r="A2440" s="43" t="s">
        <v>2911</v>
      </c>
      <c r="B2440" s="43" t="s">
        <v>93</v>
      </c>
      <c r="C2440" s="46">
        <v>63</v>
      </c>
      <c r="D2440" s="46">
        <v>1751455.5439367653</v>
      </c>
      <c r="E2440" s="43">
        <v>122601.88807557356</v>
      </c>
      <c r="F2440" s="43" t="s">
        <v>87</v>
      </c>
      <c r="G2440" s="43" t="s">
        <v>71</v>
      </c>
      <c r="H2440" s="43" t="s">
        <v>88</v>
      </c>
    </row>
    <row r="2441" spans="1:8" x14ac:dyDescent="0.25">
      <c r="A2441" s="72" t="s">
        <v>2088</v>
      </c>
      <c r="B2441" s="72" t="s">
        <v>211</v>
      </c>
      <c r="C2441" s="73">
        <v>63</v>
      </c>
      <c r="D2441" s="73">
        <v>1806324.7930088369</v>
      </c>
      <c r="E2441" s="72">
        <v>180632.47930088372</v>
      </c>
      <c r="F2441" s="72" t="s">
        <v>70</v>
      </c>
      <c r="G2441" s="72" t="s">
        <v>71</v>
      </c>
      <c r="H2441" s="72" t="s">
        <v>72</v>
      </c>
    </row>
    <row r="2442" spans="1:8" x14ac:dyDescent="0.25">
      <c r="A2442" s="43" t="s">
        <v>1557</v>
      </c>
      <c r="B2442" s="43" t="s">
        <v>85</v>
      </c>
      <c r="C2442" s="46">
        <v>63</v>
      </c>
      <c r="D2442" s="46">
        <v>1907695.0881870058</v>
      </c>
      <c r="E2442" s="43">
        <v>228923.41058244073</v>
      </c>
      <c r="F2442" s="43" t="s">
        <v>70</v>
      </c>
      <c r="G2442" s="43" t="s">
        <v>71</v>
      </c>
      <c r="H2442" s="43" t="s">
        <v>72</v>
      </c>
    </row>
    <row r="2443" spans="1:8" x14ac:dyDescent="0.25">
      <c r="A2443" s="43" t="s">
        <v>2729</v>
      </c>
      <c r="B2443" s="43" t="s">
        <v>97</v>
      </c>
      <c r="C2443" s="46">
        <v>63</v>
      </c>
      <c r="D2443" s="46">
        <v>1681878.5764480589</v>
      </c>
      <c r="E2443" s="43">
        <v>134550.2861158447</v>
      </c>
      <c r="F2443" s="43" t="s">
        <v>70</v>
      </c>
      <c r="G2443" s="43" t="s">
        <v>71</v>
      </c>
      <c r="H2443" s="43" t="s">
        <v>72</v>
      </c>
    </row>
    <row r="2444" spans="1:8" x14ac:dyDescent="0.25">
      <c r="A2444" s="72" t="s">
        <v>1558</v>
      </c>
      <c r="B2444" s="72" t="s">
        <v>211</v>
      </c>
      <c r="C2444" s="73">
        <v>63</v>
      </c>
      <c r="D2444" s="73">
        <v>1907695.0881870058</v>
      </c>
      <c r="E2444" s="72">
        <v>228923.41058244073</v>
      </c>
      <c r="F2444" s="72" t="s">
        <v>70</v>
      </c>
      <c r="G2444" s="72" t="s">
        <v>71</v>
      </c>
      <c r="H2444" s="72" t="s">
        <v>72</v>
      </c>
    </row>
    <row r="2445" spans="1:8" x14ac:dyDescent="0.25">
      <c r="A2445" s="72" t="s">
        <v>2566</v>
      </c>
      <c r="B2445" s="72" t="s">
        <v>73</v>
      </c>
      <c r="C2445" s="73">
        <v>63</v>
      </c>
      <c r="D2445" s="73">
        <v>1804508.8743668611</v>
      </c>
      <c r="E2445" s="72">
        <v>144360.70994934888</v>
      </c>
      <c r="F2445" s="72" t="s">
        <v>87</v>
      </c>
      <c r="G2445" s="72" t="s">
        <v>71</v>
      </c>
      <c r="H2445" s="72" t="s">
        <v>88</v>
      </c>
    </row>
    <row r="2446" spans="1:8" x14ac:dyDescent="0.25">
      <c r="A2446" s="72" t="s">
        <v>1276</v>
      </c>
      <c r="B2446" s="72" t="s">
        <v>73</v>
      </c>
      <c r="C2446" s="73">
        <v>63</v>
      </c>
      <c r="D2446" s="73">
        <v>1993894.0014548672</v>
      </c>
      <c r="E2446" s="72">
        <v>259206.22018913276</v>
      </c>
      <c r="F2446" s="72" t="s">
        <v>87</v>
      </c>
      <c r="G2446" s="72" t="s">
        <v>71</v>
      </c>
      <c r="H2446" s="72" t="s">
        <v>88</v>
      </c>
    </row>
    <row r="2447" spans="1:8" x14ac:dyDescent="0.25">
      <c r="A2447" s="72" t="s">
        <v>1739</v>
      </c>
      <c r="B2447" s="72" t="s">
        <v>139</v>
      </c>
      <c r="C2447" s="73">
        <v>63</v>
      </c>
      <c r="D2447" s="73">
        <v>1928577.6900865126</v>
      </c>
      <c r="E2447" s="72">
        <v>212143.54590951643</v>
      </c>
      <c r="F2447" s="72" t="s">
        <v>87</v>
      </c>
      <c r="G2447" s="72" t="s">
        <v>71</v>
      </c>
      <c r="H2447" s="72" t="s">
        <v>88</v>
      </c>
    </row>
    <row r="2448" spans="1:8" x14ac:dyDescent="0.25">
      <c r="A2448" s="72" t="s">
        <v>3260</v>
      </c>
      <c r="B2448" s="72" t="s">
        <v>93</v>
      </c>
      <c r="C2448" s="73">
        <v>63</v>
      </c>
      <c r="D2448" s="73">
        <v>1688095.2061257786</v>
      </c>
      <c r="E2448" s="72">
        <v>101285.71236754672</v>
      </c>
      <c r="F2448" s="72" t="s">
        <v>87</v>
      </c>
      <c r="G2448" s="72" t="s">
        <v>71</v>
      </c>
      <c r="H2448" s="72" t="s">
        <v>88</v>
      </c>
    </row>
    <row r="2449" spans="1:8" x14ac:dyDescent="0.25">
      <c r="A2449" s="72" t="s">
        <v>3074</v>
      </c>
      <c r="B2449" s="72" t="s">
        <v>211</v>
      </c>
      <c r="C2449" s="73">
        <v>63</v>
      </c>
      <c r="D2449" s="73">
        <v>1605054.2585712592</v>
      </c>
      <c r="E2449" s="72">
        <v>112353.79809998814</v>
      </c>
      <c r="F2449" s="72" t="s">
        <v>70</v>
      </c>
      <c r="G2449" s="72" t="s">
        <v>71</v>
      </c>
      <c r="H2449" s="72" t="s">
        <v>72</v>
      </c>
    </row>
    <row r="2450" spans="1:8" x14ac:dyDescent="0.25">
      <c r="A2450" s="43" t="s">
        <v>1740</v>
      </c>
      <c r="B2450" s="43" t="s">
        <v>77</v>
      </c>
      <c r="C2450" s="46">
        <v>63</v>
      </c>
      <c r="D2450" s="46">
        <v>1928577.6900865126</v>
      </c>
      <c r="E2450" s="43">
        <v>212143.54590951643</v>
      </c>
      <c r="F2450" s="43" t="s">
        <v>87</v>
      </c>
      <c r="G2450" s="43" t="s">
        <v>71</v>
      </c>
      <c r="H2450" s="43" t="s">
        <v>88</v>
      </c>
    </row>
    <row r="2451" spans="1:8" x14ac:dyDescent="0.25">
      <c r="A2451" s="43" t="s">
        <v>2425</v>
      </c>
      <c r="B2451" s="43" t="s">
        <v>554</v>
      </c>
      <c r="C2451" s="46">
        <v>63</v>
      </c>
      <c r="D2451" s="46">
        <v>1545092.3731866188</v>
      </c>
      <c r="E2451" s="43">
        <v>154509.23731866188</v>
      </c>
      <c r="F2451" s="43" t="s">
        <v>106</v>
      </c>
      <c r="G2451" s="43" t="s">
        <v>71</v>
      </c>
      <c r="H2451" s="43" t="s">
        <v>72</v>
      </c>
    </row>
    <row r="2452" spans="1:8" x14ac:dyDescent="0.25">
      <c r="A2452" s="43" t="s">
        <v>1507</v>
      </c>
      <c r="B2452" s="43" t="s">
        <v>93</v>
      </c>
      <c r="C2452" s="46">
        <v>63</v>
      </c>
      <c r="D2452" s="46">
        <v>1962508.7895986743</v>
      </c>
      <c r="E2452" s="43">
        <v>235501.05475184091</v>
      </c>
      <c r="F2452" s="43" t="s">
        <v>87</v>
      </c>
      <c r="G2452" s="43" t="s">
        <v>71</v>
      </c>
      <c r="H2452" s="43" t="s">
        <v>88</v>
      </c>
    </row>
    <row r="2453" spans="1:8" x14ac:dyDescent="0.25">
      <c r="A2453" s="72" t="s">
        <v>2388</v>
      </c>
      <c r="B2453" s="72" t="s">
        <v>73</v>
      </c>
      <c r="C2453" s="73">
        <v>63</v>
      </c>
      <c r="D2453" s="73">
        <v>1747863.4774653306</v>
      </c>
      <c r="E2453" s="72">
        <v>157307.71297187975</v>
      </c>
      <c r="F2453" s="72" t="s">
        <v>70</v>
      </c>
      <c r="G2453" s="72" t="s">
        <v>71</v>
      </c>
      <c r="H2453" s="72" t="s">
        <v>72</v>
      </c>
    </row>
    <row r="2454" spans="1:8" x14ac:dyDescent="0.25">
      <c r="A2454" s="43" t="s">
        <v>3075</v>
      </c>
      <c r="B2454" s="43" t="s">
        <v>102</v>
      </c>
      <c r="C2454" s="46">
        <v>63</v>
      </c>
      <c r="D2454" s="46">
        <v>1605054.2585712592</v>
      </c>
      <c r="E2454" s="43">
        <v>112353.79809998814</v>
      </c>
      <c r="F2454" s="43" t="s">
        <v>70</v>
      </c>
      <c r="G2454" s="43" t="s">
        <v>71</v>
      </c>
      <c r="H2454" s="43" t="s">
        <v>72</v>
      </c>
    </row>
    <row r="2455" spans="1:8" x14ac:dyDescent="0.25">
      <c r="A2455" s="43" t="s">
        <v>1559</v>
      </c>
      <c r="B2455" s="43" t="s">
        <v>383</v>
      </c>
      <c r="C2455" s="46">
        <v>63</v>
      </c>
      <c r="D2455" s="46">
        <v>1802072.6611218441</v>
      </c>
      <c r="E2455" s="43">
        <v>162186.53950096597</v>
      </c>
      <c r="F2455" s="43" t="s">
        <v>78</v>
      </c>
      <c r="G2455" s="43" t="s">
        <v>71</v>
      </c>
      <c r="H2455" s="43" t="s">
        <v>72</v>
      </c>
    </row>
    <row r="2456" spans="1:8" x14ac:dyDescent="0.25">
      <c r="A2456" s="43" t="s">
        <v>1559</v>
      </c>
      <c r="B2456" s="43" t="s">
        <v>73</v>
      </c>
      <c r="C2456" s="46">
        <v>63</v>
      </c>
      <c r="D2456" s="46">
        <v>1907695.0881870058</v>
      </c>
      <c r="E2456" s="43">
        <v>228923.41058244073</v>
      </c>
      <c r="F2456" s="43" t="s">
        <v>70</v>
      </c>
      <c r="G2456" s="43" t="s">
        <v>71</v>
      </c>
      <c r="H2456" s="43" t="s">
        <v>72</v>
      </c>
    </row>
    <row r="2457" spans="1:8" x14ac:dyDescent="0.25">
      <c r="A2457" s="43" t="s">
        <v>2389</v>
      </c>
      <c r="B2457" s="43" t="s">
        <v>110</v>
      </c>
      <c r="C2457" s="46">
        <v>63</v>
      </c>
      <c r="D2457" s="46">
        <v>1747863.4774653306</v>
      </c>
      <c r="E2457" s="43">
        <v>157307.71297187975</v>
      </c>
      <c r="F2457" s="43" t="s">
        <v>70</v>
      </c>
      <c r="G2457" s="43" t="s">
        <v>71</v>
      </c>
      <c r="H2457" s="43" t="s">
        <v>72</v>
      </c>
    </row>
    <row r="2458" spans="1:8" x14ac:dyDescent="0.25">
      <c r="A2458" s="72" t="s">
        <v>1107</v>
      </c>
      <c r="B2458" s="72" t="s">
        <v>83</v>
      </c>
      <c r="C2458" s="73">
        <v>63</v>
      </c>
      <c r="D2458" s="73">
        <v>2009171.9292781344</v>
      </c>
      <c r="E2458" s="72">
        <v>281284.07009893877</v>
      </c>
      <c r="F2458" s="72" t="s">
        <v>84</v>
      </c>
      <c r="G2458" s="72" t="s">
        <v>71</v>
      </c>
      <c r="H2458" s="72" t="s">
        <v>72</v>
      </c>
    </row>
    <row r="2459" spans="1:8" x14ac:dyDescent="0.25">
      <c r="A2459" s="43" t="s">
        <v>1328</v>
      </c>
      <c r="B2459" s="43" t="s">
        <v>211</v>
      </c>
      <c r="C2459" s="46">
        <v>63</v>
      </c>
      <c r="D2459" s="46">
        <v>1952683.37773853</v>
      </c>
      <c r="E2459" s="43">
        <v>253848.83910600891</v>
      </c>
      <c r="F2459" s="43" t="s">
        <v>70</v>
      </c>
      <c r="G2459" s="43" t="s">
        <v>71</v>
      </c>
      <c r="H2459" s="43" t="s">
        <v>72</v>
      </c>
    </row>
    <row r="2460" spans="1:8" x14ac:dyDescent="0.25">
      <c r="A2460" s="43" t="s">
        <v>2089</v>
      </c>
      <c r="B2460" s="43" t="s">
        <v>112</v>
      </c>
      <c r="C2460" s="46">
        <v>63</v>
      </c>
      <c r="D2460" s="46">
        <v>1806324.7930088369</v>
      </c>
      <c r="E2460" s="43">
        <v>180632.47930088372</v>
      </c>
      <c r="F2460" s="43" t="s">
        <v>70</v>
      </c>
      <c r="G2460" s="43" t="s">
        <v>71</v>
      </c>
      <c r="H2460" s="43" t="s">
        <v>72</v>
      </c>
    </row>
    <row r="2461" spans="1:8" x14ac:dyDescent="0.25">
      <c r="A2461" s="72" t="s">
        <v>3076</v>
      </c>
      <c r="B2461" s="72" t="s">
        <v>102</v>
      </c>
      <c r="C2461" s="73">
        <v>63</v>
      </c>
      <c r="D2461" s="73">
        <v>1605054.2585712592</v>
      </c>
      <c r="E2461" s="72">
        <v>112353.79809998814</v>
      </c>
      <c r="F2461" s="72" t="s">
        <v>70</v>
      </c>
      <c r="G2461" s="72" t="s">
        <v>71</v>
      </c>
      <c r="H2461" s="72" t="s">
        <v>72</v>
      </c>
    </row>
    <row r="2462" spans="1:8" x14ac:dyDescent="0.25">
      <c r="A2462" s="43" t="s">
        <v>1819</v>
      </c>
      <c r="B2462" s="43" t="s">
        <v>102</v>
      </c>
      <c r="C2462" s="46">
        <v>63</v>
      </c>
      <c r="D2462" s="46">
        <v>1859190.515679264</v>
      </c>
      <c r="E2462" s="43">
        <v>204510.95672471906</v>
      </c>
      <c r="F2462" s="43" t="s">
        <v>70</v>
      </c>
      <c r="G2462" s="43" t="s">
        <v>71</v>
      </c>
      <c r="H2462" s="43" t="s">
        <v>72</v>
      </c>
    </row>
    <row r="2463" spans="1:8" x14ac:dyDescent="0.25">
      <c r="A2463" s="72" t="s">
        <v>1560</v>
      </c>
      <c r="B2463" s="72" t="s">
        <v>102</v>
      </c>
      <c r="C2463" s="73">
        <v>63</v>
      </c>
      <c r="D2463" s="73">
        <v>1907695.0881870058</v>
      </c>
      <c r="E2463" s="72">
        <v>228923.41058244073</v>
      </c>
      <c r="F2463" s="72" t="s">
        <v>70</v>
      </c>
      <c r="G2463" s="72" t="s">
        <v>71</v>
      </c>
      <c r="H2463" s="72" t="s">
        <v>72</v>
      </c>
    </row>
    <row r="2464" spans="1:8" x14ac:dyDescent="0.25">
      <c r="A2464" s="43" t="s">
        <v>3945</v>
      </c>
      <c r="B2464" s="43" t="s">
        <v>102</v>
      </c>
      <c r="C2464" s="46">
        <v>63</v>
      </c>
      <c r="D2464" s="46">
        <v>1381044.1347480549</v>
      </c>
      <c r="E2464" s="43">
        <v>69052.206737402754</v>
      </c>
      <c r="F2464" s="43" t="s">
        <v>70</v>
      </c>
      <c r="G2464" s="43" t="s">
        <v>71</v>
      </c>
      <c r="H2464" s="43" t="s">
        <v>72</v>
      </c>
    </row>
    <row r="2465" spans="1:8" x14ac:dyDescent="0.25">
      <c r="A2465" s="43" t="s">
        <v>1561</v>
      </c>
      <c r="B2465" s="43" t="s">
        <v>85</v>
      </c>
      <c r="C2465" s="46">
        <v>63</v>
      </c>
      <c r="D2465" s="46">
        <v>1907695.0881870058</v>
      </c>
      <c r="E2465" s="43">
        <v>228923.41058244073</v>
      </c>
      <c r="F2465" s="43" t="s">
        <v>70</v>
      </c>
      <c r="G2465" s="43" t="s">
        <v>71</v>
      </c>
      <c r="H2465" s="43" t="s">
        <v>72</v>
      </c>
    </row>
    <row r="2466" spans="1:8" x14ac:dyDescent="0.25">
      <c r="A2466" s="72" t="s">
        <v>3946</v>
      </c>
      <c r="B2466" s="72" t="s">
        <v>102</v>
      </c>
      <c r="C2466" s="73">
        <v>63</v>
      </c>
      <c r="D2466" s="73">
        <v>1381044.1347480549</v>
      </c>
      <c r="E2466" s="72">
        <v>69052.206737402754</v>
      </c>
      <c r="F2466" s="72" t="s">
        <v>70</v>
      </c>
      <c r="G2466" s="72" t="s">
        <v>71</v>
      </c>
      <c r="H2466" s="72" t="s">
        <v>72</v>
      </c>
    </row>
    <row r="2467" spans="1:8" x14ac:dyDescent="0.25">
      <c r="A2467" s="72" t="s">
        <v>2730</v>
      </c>
      <c r="B2467" s="72" t="s">
        <v>378</v>
      </c>
      <c r="C2467" s="73">
        <v>63</v>
      </c>
      <c r="D2467" s="73">
        <v>1681878.5764480589</v>
      </c>
      <c r="E2467" s="72">
        <v>134550.2861158447</v>
      </c>
      <c r="F2467" s="72" t="s">
        <v>70</v>
      </c>
      <c r="G2467" s="72" t="s">
        <v>71</v>
      </c>
      <c r="H2467" s="72" t="s">
        <v>72</v>
      </c>
    </row>
    <row r="2468" spans="1:8" x14ac:dyDescent="0.25">
      <c r="A2468" s="43" t="s">
        <v>3947</v>
      </c>
      <c r="B2468" s="43" t="s">
        <v>162</v>
      </c>
      <c r="C2468" s="46">
        <v>63</v>
      </c>
      <c r="D2468" s="46">
        <v>1381044.1347480549</v>
      </c>
      <c r="E2468" s="43">
        <v>69052.206737402754</v>
      </c>
      <c r="F2468" s="43" t="s">
        <v>70</v>
      </c>
      <c r="G2468" s="43" t="s">
        <v>71</v>
      </c>
      <c r="H2468" s="43" t="s">
        <v>72</v>
      </c>
    </row>
    <row r="2469" spans="1:8" x14ac:dyDescent="0.25">
      <c r="A2469" s="72" t="s">
        <v>3948</v>
      </c>
      <c r="B2469" s="72" t="s">
        <v>102</v>
      </c>
      <c r="C2469" s="73">
        <v>63</v>
      </c>
      <c r="D2469" s="73">
        <v>1381044.1347480549</v>
      </c>
      <c r="E2469" s="72">
        <v>69052.206737402754</v>
      </c>
      <c r="F2469" s="72" t="s">
        <v>70</v>
      </c>
      <c r="G2469" s="72" t="s">
        <v>71</v>
      </c>
      <c r="H2469" s="72" t="s">
        <v>72</v>
      </c>
    </row>
    <row r="2470" spans="1:8" x14ac:dyDescent="0.25">
      <c r="A2470" s="72" t="s">
        <v>4749</v>
      </c>
      <c r="B2470" s="72" t="s">
        <v>265</v>
      </c>
      <c r="C2470" s="73">
        <v>62</v>
      </c>
      <c r="D2470" s="73">
        <v>1262794.6060869107</v>
      </c>
      <c r="E2470" s="72">
        <v>37883.838182607331</v>
      </c>
      <c r="F2470" s="72" t="s">
        <v>106</v>
      </c>
      <c r="G2470" s="72" t="s">
        <v>71</v>
      </c>
      <c r="H2470" s="72" t="s">
        <v>72</v>
      </c>
    </row>
    <row r="2471" spans="1:8" x14ac:dyDescent="0.25">
      <c r="A2471" s="43" t="s">
        <v>2016</v>
      </c>
      <c r="B2471" s="43" t="s">
        <v>176</v>
      </c>
      <c r="C2471" s="46">
        <v>62</v>
      </c>
      <c r="D2471" s="46">
        <v>1554150.8209531389</v>
      </c>
      <c r="E2471" s="43">
        <v>186498.09851437664</v>
      </c>
      <c r="F2471" s="43" t="s">
        <v>106</v>
      </c>
      <c r="G2471" s="43" t="s">
        <v>71</v>
      </c>
      <c r="H2471" s="43" t="s">
        <v>72</v>
      </c>
    </row>
    <row r="2472" spans="1:8" x14ac:dyDescent="0.25">
      <c r="A2472" s="43" t="s">
        <v>3939</v>
      </c>
      <c r="B2472" s="43" t="s">
        <v>149</v>
      </c>
      <c r="C2472" s="46">
        <v>62</v>
      </c>
      <c r="D2472" s="46">
        <v>1385201.9744145202</v>
      </c>
      <c r="E2472" s="43">
        <v>69260.098720726019</v>
      </c>
      <c r="F2472" s="43" t="s">
        <v>106</v>
      </c>
      <c r="G2472" s="43" t="s">
        <v>71</v>
      </c>
      <c r="H2472" s="43" t="s">
        <v>72</v>
      </c>
    </row>
    <row r="2473" spans="1:8" x14ac:dyDescent="0.25">
      <c r="A2473" s="72" t="s">
        <v>3711</v>
      </c>
      <c r="B2473" s="72" t="s">
        <v>236</v>
      </c>
      <c r="C2473" s="73">
        <v>62</v>
      </c>
      <c r="D2473" s="73">
        <v>1308780.1988261882</v>
      </c>
      <c r="E2473" s="72">
        <v>78526.811929571297</v>
      </c>
      <c r="F2473" s="72" t="s">
        <v>84</v>
      </c>
      <c r="G2473" s="72" t="s">
        <v>71</v>
      </c>
      <c r="H2473" s="72" t="s">
        <v>72</v>
      </c>
    </row>
    <row r="2474" spans="1:8" x14ac:dyDescent="0.25">
      <c r="A2474" s="72" t="s">
        <v>1594</v>
      </c>
      <c r="B2474" s="72" t="s">
        <v>211</v>
      </c>
      <c r="C2474" s="73">
        <v>62</v>
      </c>
      <c r="D2474" s="73">
        <v>1876527.0399558374</v>
      </c>
      <c r="E2474" s="72">
        <v>225183.24479470053</v>
      </c>
      <c r="F2474" s="72" t="s">
        <v>70</v>
      </c>
      <c r="G2474" s="72" t="s">
        <v>71</v>
      </c>
      <c r="H2474" s="72" t="s">
        <v>72</v>
      </c>
    </row>
    <row r="2475" spans="1:8" x14ac:dyDescent="0.25">
      <c r="A2475" s="43" t="s">
        <v>3291</v>
      </c>
      <c r="B2475" s="43" t="s">
        <v>93</v>
      </c>
      <c r="C2475" s="46">
        <v>62</v>
      </c>
      <c r="D2475" s="46">
        <v>1660533.7372583458</v>
      </c>
      <c r="E2475" s="43">
        <v>99632.02423550075</v>
      </c>
      <c r="F2475" s="43" t="s">
        <v>87</v>
      </c>
      <c r="G2475" s="43" t="s">
        <v>71</v>
      </c>
      <c r="H2475" s="43" t="s">
        <v>88</v>
      </c>
    </row>
    <row r="2476" spans="1:8" x14ac:dyDescent="0.25">
      <c r="A2476" s="43" t="s">
        <v>1299</v>
      </c>
      <c r="B2476" s="43" t="s">
        <v>77</v>
      </c>
      <c r="C2476" s="46">
        <v>62</v>
      </c>
      <c r="D2476" s="46">
        <v>1979236.5965918645</v>
      </c>
      <c r="E2476" s="43">
        <v>257300.75755694238</v>
      </c>
      <c r="F2476" s="43" t="s">
        <v>78</v>
      </c>
      <c r="G2476" s="43" t="s">
        <v>71</v>
      </c>
      <c r="H2476" s="43" t="s">
        <v>72</v>
      </c>
    </row>
    <row r="2477" spans="1:8" x14ac:dyDescent="0.25">
      <c r="A2477" s="72" t="s">
        <v>2017</v>
      </c>
      <c r="B2477" s="72" t="s">
        <v>75</v>
      </c>
      <c r="C2477" s="73">
        <v>62</v>
      </c>
      <c r="D2477" s="73">
        <v>1554150.8209531389</v>
      </c>
      <c r="E2477" s="72">
        <v>186498.09851437664</v>
      </c>
      <c r="F2477" s="72" t="s">
        <v>106</v>
      </c>
      <c r="G2477" s="72" t="s">
        <v>71</v>
      </c>
      <c r="H2477" s="72" t="s">
        <v>72</v>
      </c>
    </row>
    <row r="2478" spans="1:8" x14ac:dyDescent="0.25">
      <c r="A2478" s="72" t="s">
        <v>3976</v>
      </c>
      <c r="B2478" s="72" t="s">
        <v>97</v>
      </c>
      <c r="C2478" s="73">
        <v>62</v>
      </c>
      <c r="D2478" s="73">
        <v>1358235.6254603621</v>
      </c>
      <c r="E2478" s="72">
        <v>67911.781273018103</v>
      </c>
      <c r="F2478" s="72" t="s">
        <v>70</v>
      </c>
      <c r="G2478" s="72" t="s">
        <v>71</v>
      </c>
      <c r="H2478" s="72" t="s">
        <v>72</v>
      </c>
    </row>
    <row r="2479" spans="1:8" x14ac:dyDescent="0.25">
      <c r="A2479" s="43" t="s">
        <v>2018</v>
      </c>
      <c r="B2479" s="43" t="s">
        <v>75</v>
      </c>
      <c r="C2479" s="46">
        <v>62</v>
      </c>
      <c r="D2479" s="46">
        <v>1554150.8209531389</v>
      </c>
      <c r="E2479" s="43">
        <v>186498.09851437664</v>
      </c>
      <c r="F2479" s="43" t="s">
        <v>106</v>
      </c>
      <c r="G2479" s="43" t="s">
        <v>71</v>
      </c>
      <c r="H2479" s="43" t="s">
        <v>72</v>
      </c>
    </row>
    <row r="2480" spans="1:8" x14ac:dyDescent="0.25">
      <c r="A2480" s="43" t="s">
        <v>3551</v>
      </c>
      <c r="B2480" s="43" t="s">
        <v>75</v>
      </c>
      <c r="C2480" s="46">
        <v>62</v>
      </c>
      <c r="D2480" s="46">
        <v>1421952.9220025062</v>
      </c>
      <c r="E2480" s="43">
        <v>85317.175320150389</v>
      </c>
      <c r="F2480" s="43" t="s">
        <v>106</v>
      </c>
      <c r="G2480" s="43" t="s">
        <v>71</v>
      </c>
      <c r="H2480" s="43" t="s">
        <v>72</v>
      </c>
    </row>
    <row r="2481" spans="1:8" x14ac:dyDescent="0.25">
      <c r="A2481" s="72" t="s">
        <v>3292</v>
      </c>
      <c r="B2481" s="72" t="s">
        <v>73</v>
      </c>
      <c r="C2481" s="73">
        <v>62</v>
      </c>
      <c r="D2481" s="73">
        <v>1660533.7372583458</v>
      </c>
      <c r="E2481" s="72">
        <v>99632.02423550075</v>
      </c>
      <c r="F2481" s="72" t="s">
        <v>87</v>
      </c>
      <c r="G2481" s="72" t="s">
        <v>71</v>
      </c>
      <c r="H2481" s="72" t="s">
        <v>88</v>
      </c>
    </row>
    <row r="2482" spans="1:8" x14ac:dyDescent="0.25">
      <c r="A2482" s="72" t="s">
        <v>2180</v>
      </c>
      <c r="B2482" s="72" t="s">
        <v>323</v>
      </c>
      <c r="C2482" s="73">
        <v>62</v>
      </c>
      <c r="D2482" s="73">
        <v>1721273.9070848606</v>
      </c>
      <c r="E2482" s="72">
        <v>172127.39070848608</v>
      </c>
      <c r="F2482" s="72" t="s">
        <v>84</v>
      </c>
      <c r="G2482" s="72" t="s">
        <v>71</v>
      </c>
      <c r="H2482" s="72" t="s">
        <v>72</v>
      </c>
    </row>
    <row r="2483" spans="1:8" x14ac:dyDescent="0.25">
      <c r="A2483" s="43" t="s">
        <v>2121</v>
      </c>
      <c r="B2483" s="43" t="s">
        <v>211</v>
      </c>
      <c r="C2483" s="46">
        <v>62</v>
      </c>
      <c r="D2483" s="46">
        <v>1776765.7970820835</v>
      </c>
      <c r="E2483" s="43">
        <v>177676.57970820836</v>
      </c>
      <c r="F2483" s="43" t="s">
        <v>70</v>
      </c>
      <c r="G2483" s="43" t="s">
        <v>71</v>
      </c>
      <c r="H2483" s="43" t="s">
        <v>72</v>
      </c>
    </row>
    <row r="2484" spans="1:8" x14ac:dyDescent="0.25">
      <c r="A2484" s="43" t="s">
        <v>3977</v>
      </c>
      <c r="B2484" s="43" t="s">
        <v>97</v>
      </c>
      <c r="C2484" s="46">
        <v>62</v>
      </c>
      <c r="D2484" s="46">
        <v>1358235.6254603621</v>
      </c>
      <c r="E2484" s="43">
        <v>67911.781273018103</v>
      </c>
      <c r="F2484" s="43" t="s">
        <v>70</v>
      </c>
      <c r="G2484" s="43" t="s">
        <v>71</v>
      </c>
      <c r="H2484" s="43" t="s">
        <v>72</v>
      </c>
    </row>
    <row r="2485" spans="1:8" x14ac:dyDescent="0.25">
      <c r="A2485" s="72" t="s">
        <v>3978</v>
      </c>
      <c r="B2485" s="72" t="s">
        <v>73</v>
      </c>
      <c r="C2485" s="73">
        <v>62</v>
      </c>
      <c r="D2485" s="73">
        <v>1358235.6254603621</v>
      </c>
      <c r="E2485" s="72">
        <v>67911.781273018103</v>
      </c>
      <c r="F2485" s="72" t="s">
        <v>70</v>
      </c>
      <c r="G2485" s="72" t="s">
        <v>71</v>
      </c>
      <c r="H2485" s="72" t="s">
        <v>72</v>
      </c>
    </row>
    <row r="2486" spans="1:8" x14ac:dyDescent="0.25">
      <c r="A2486" s="43" t="s">
        <v>2763</v>
      </c>
      <c r="B2486" s="43" t="s">
        <v>73</v>
      </c>
      <c r="C2486" s="46">
        <v>62</v>
      </c>
      <c r="D2486" s="46">
        <v>1654294.9172921118</v>
      </c>
      <c r="E2486" s="43">
        <v>132343.59338336895</v>
      </c>
      <c r="F2486" s="43" t="s">
        <v>70</v>
      </c>
      <c r="G2486" s="43" t="s">
        <v>71</v>
      </c>
      <c r="H2486" s="43" t="s">
        <v>72</v>
      </c>
    </row>
    <row r="2487" spans="1:8" x14ac:dyDescent="0.25">
      <c r="A2487" s="72" t="s">
        <v>1870</v>
      </c>
      <c r="B2487" s="72" t="s">
        <v>105</v>
      </c>
      <c r="C2487" s="73">
        <v>62</v>
      </c>
      <c r="D2487" s="73">
        <v>1828792.3812974247</v>
      </c>
      <c r="E2487" s="72">
        <v>201167.16194271675</v>
      </c>
      <c r="F2487" s="72" t="s">
        <v>70</v>
      </c>
      <c r="G2487" s="72" t="s">
        <v>71</v>
      </c>
      <c r="H2487" s="72" t="s">
        <v>72</v>
      </c>
    </row>
    <row r="2488" spans="1:8" x14ac:dyDescent="0.25">
      <c r="A2488" s="43" t="s">
        <v>1871</v>
      </c>
      <c r="B2488" s="43" t="s">
        <v>97</v>
      </c>
      <c r="C2488" s="46">
        <v>62</v>
      </c>
      <c r="D2488" s="46">
        <v>1828792.3812974247</v>
      </c>
      <c r="E2488" s="43">
        <v>201167.16194271675</v>
      </c>
      <c r="F2488" s="43" t="s">
        <v>70</v>
      </c>
      <c r="G2488" s="43" t="s">
        <v>71</v>
      </c>
      <c r="H2488" s="43" t="s">
        <v>72</v>
      </c>
    </row>
    <row r="2489" spans="1:8" x14ac:dyDescent="0.25">
      <c r="A2489" s="72" t="s">
        <v>2019</v>
      </c>
      <c r="B2489" s="72" t="s">
        <v>1050</v>
      </c>
      <c r="C2489" s="73">
        <v>62</v>
      </c>
      <c r="D2489" s="73">
        <v>1860741.740523462</v>
      </c>
      <c r="E2489" s="72">
        <v>186074.17405234621</v>
      </c>
      <c r="F2489" s="72" t="s">
        <v>87</v>
      </c>
      <c r="G2489" s="72" t="s">
        <v>71</v>
      </c>
      <c r="H2489" s="72" t="s">
        <v>88</v>
      </c>
    </row>
    <row r="2490" spans="1:8" x14ac:dyDescent="0.25">
      <c r="A2490" s="72" t="s">
        <v>2602</v>
      </c>
      <c r="B2490" s="72" t="s">
        <v>93</v>
      </c>
      <c r="C2490" s="73">
        <v>62</v>
      </c>
      <c r="D2490" s="73">
        <v>1775099.5694956016</v>
      </c>
      <c r="E2490" s="72">
        <v>142007.96555964812</v>
      </c>
      <c r="F2490" s="72" t="s">
        <v>87</v>
      </c>
      <c r="G2490" s="72" t="s">
        <v>71</v>
      </c>
      <c r="H2490" s="72" t="s">
        <v>88</v>
      </c>
    </row>
    <row r="2491" spans="1:8" x14ac:dyDescent="0.25">
      <c r="A2491" s="72" t="s">
        <v>2764</v>
      </c>
      <c r="B2491" s="72" t="s">
        <v>112</v>
      </c>
      <c r="C2491" s="73">
        <v>62</v>
      </c>
      <c r="D2491" s="73">
        <v>1654294.9172921118</v>
      </c>
      <c r="E2491" s="72">
        <v>132343.59338336895</v>
      </c>
      <c r="F2491" s="72" t="s">
        <v>70</v>
      </c>
      <c r="G2491" s="72" t="s">
        <v>71</v>
      </c>
      <c r="H2491" s="72" t="s">
        <v>72</v>
      </c>
    </row>
    <row r="2492" spans="1:8" x14ac:dyDescent="0.25">
      <c r="A2492" s="43" t="s">
        <v>2419</v>
      </c>
      <c r="B2492" s="43" t="s">
        <v>112</v>
      </c>
      <c r="C2492" s="46">
        <v>62</v>
      </c>
      <c r="D2492" s="46">
        <v>1719232.4389281571</v>
      </c>
      <c r="E2492" s="43">
        <v>154730.91950353413</v>
      </c>
      <c r="F2492" s="43" t="s">
        <v>70</v>
      </c>
      <c r="G2492" s="43" t="s">
        <v>71</v>
      </c>
      <c r="H2492" s="43" t="s">
        <v>72</v>
      </c>
    </row>
    <row r="2493" spans="1:8" x14ac:dyDescent="0.25">
      <c r="A2493" s="72" t="s">
        <v>3474</v>
      </c>
      <c r="B2493" s="72" t="s">
        <v>112</v>
      </c>
      <c r="C2493" s="73">
        <v>62</v>
      </c>
      <c r="D2493" s="73">
        <v>1485874.4623260223</v>
      </c>
      <c r="E2493" s="72">
        <v>89152.467739561354</v>
      </c>
      <c r="F2493" s="72" t="s">
        <v>70</v>
      </c>
      <c r="G2493" s="72" t="s">
        <v>71</v>
      </c>
      <c r="H2493" s="72" t="s">
        <v>72</v>
      </c>
    </row>
    <row r="2494" spans="1:8" x14ac:dyDescent="0.25">
      <c r="A2494" s="43" t="s">
        <v>1595</v>
      </c>
      <c r="B2494" s="43" t="s">
        <v>97</v>
      </c>
      <c r="C2494" s="46">
        <v>62</v>
      </c>
      <c r="D2494" s="46">
        <v>1876527.0399558374</v>
      </c>
      <c r="E2494" s="43">
        <v>225183.24479470053</v>
      </c>
      <c r="F2494" s="43" t="s">
        <v>70</v>
      </c>
      <c r="G2494" s="43" t="s">
        <v>71</v>
      </c>
      <c r="H2494" s="43" t="s">
        <v>72</v>
      </c>
    </row>
    <row r="2495" spans="1:8" x14ac:dyDescent="0.25">
      <c r="A2495" s="43" t="s">
        <v>1154</v>
      </c>
      <c r="B2495" s="43" t="s">
        <v>85</v>
      </c>
      <c r="C2495" s="46">
        <v>62</v>
      </c>
      <c r="D2495" s="46">
        <v>1962212.6134605845</v>
      </c>
      <c r="E2495" s="43">
        <v>274709.76588448184</v>
      </c>
      <c r="F2495" s="43" t="s">
        <v>70</v>
      </c>
      <c r="G2495" s="43" t="s">
        <v>71</v>
      </c>
      <c r="H2495" s="43" t="s">
        <v>72</v>
      </c>
    </row>
    <row r="2496" spans="1:8" x14ac:dyDescent="0.25">
      <c r="A2496" s="43" t="s">
        <v>2765</v>
      </c>
      <c r="B2496" s="43" t="s">
        <v>74</v>
      </c>
      <c r="C2496" s="46">
        <v>62</v>
      </c>
      <c r="D2496" s="46">
        <v>1654294.9172921118</v>
      </c>
      <c r="E2496" s="43">
        <v>132343.59338336895</v>
      </c>
      <c r="F2496" s="43" t="s">
        <v>70</v>
      </c>
      <c r="G2496" s="43" t="s">
        <v>71</v>
      </c>
      <c r="H2496" s="43" t="s">
        <v>72</v>
      </c>
    </row>
    <row r="2497" spans="1:8" x14ac:dyDescent="0.25">
      <c r="A2497" s="72" t="s">
        <v>3940</v>
      </c>
      <c r="B2497" s="72" t="s">
        <v>257</v>
      </c>
      <c r="C2497" s="73">
        <v>62</v>
      </c>
      <c r="D2497" s="73">
        <v>1385201.9744145202</v>
      </c>
      <c r="E2497" s="72">
        <v>69260.098720726019</v>
      </c>
      <c r="F2497" s="72" t="s">
        <v>106</v>
      </c>
      <c r="G2497" s="72" t="s">
        <v>71</v>
      </c>
      <c r="H2497" s="72" t="s">
        <v>72</v>
      </c>
    </row>
    <row r="2498" spans="1:8" x14ac:dyDescent="0.25">
      <c r="A2498" s="72" t="s">
        <v>3250</v>
      </c>
      <c r="B2498" s="72" t="s">
        <v>257</v>
      </c>
      <c r="C2498" s="73">
        <v>62</v>
      </c>
      <c r="D2498" s="73">
        <v>1451951.5295420073</v>
      </c>
      <c r="E2498" s="72">
        <v>101636.60706794049</v>
      </c>
      <c r="F2498" s="72" t="s">
        <v>106</v>
      </c>
      <c r="G2498" s="72" t="s">
        <v>71</v>
      </c>
      <c r="H2498" s="72" t="s">
        <v>72</v>
      </c>
    </row>
    <row r="2499" spans="1:8" x14ac:dyDescent="0.25">
      <c r="A2499" s="43" t="s">
        <v>3293</v>
      </c>
      <c r="B2499" s="43" t="s">
        <v>69</v>
      </c>
      <c r="C2499" s="46">
        <v>62</v>
      </c>
      <c r="D2499" s="46">
        <v>1660533.7372583458</v>
      </c>
      <c r="E2499" s="43">
        <v>99632.02423550075</v>
      </c>
      <c r="F2499" s="43" t="s">
        <v>87</v>
      </c>
      <c r="G2499" s="43" t="s">
        <v>71</v>
      </c>
      <c r="H2499" s="43" t="s">
        <v>88</v>
      </c>
    </row>
    <row r="2500" spans="1:8" x14ac:dyDescent="0.25">
      <c r="A2500" s="72" t="s">
        <v>3552</v>
      </c>
      <c r="B2500" s="72" t="s">
        <v>75</v>
      </c>
      <c r="C2500" s="73">
        <v>62</v>
      </c>
      <c r="D2500" s="73">
        <v>1421952.9220025062</v>
      </c>
      <c r="E2500" s="72">
        <v>85317.175320150389</v>
      </c>
      <c r="F2500" s="72" t="s">
        <v>106</v>
      </c>
      <c r="G2500" s="72" t="s">
        <v>71</v>
      </c>
      <c r="H2500" s="72" t="s">
        <v>72</v>
      </c>
    </row>
    <row r="2501" spans="1:8" x14ac:dyDescent="0.25">
      <c r="A2501" s="72" t="s">
        <v>2766</v>
      </c>
      <c r="B2501" s="72" t="s">
        <v>102</v>
      </c>
      <c r="C2501" s="73">
        <v>62</v>
      </c>
      <c r="D2501" s="73">
        <v>1654294.9172921118</v>
      </c>
      <c r="E2501" s="72">
        <v>132343.59338336895</v>
      </c>
      <c r="F2501" s="72" t="s">
        <v>70</v>
      </c>
      <c r="G2501" s="72" t="s">
        <v>71</v>
      </c>
      <c r="H2501" s="72" t="s">
        <v>72</v>
      </c>
    </row>
    <row r="2502" spans="1:8" x14ac:dyDescent="0.25">
      <c r="A2502" s="43" t="s">
        <v>1334</v>
      </c>
      <c r="B2502" s="43" t="s">
        <v>234</v>
      </c>
      <c r="C2502" s="46">
        <v>61</v>
      </c>
      <c r="D2502" s="46">
        <v>1946300.708059734</v>
      </c>
      <c r="E2502" s="43">
        <v>253019.09204776541</v>
      </c>
      <c r="F2502" s="43" t="s">
        <v>78</v>
      </c>
      <c r="G2502" s="43" t="s">
        <v>71</v>
      </c>
      <c r="H2502" s="43" t="s">
        <v>72</v>
      </c>
    </row>
    <row r="2503" spans="1:8" x14ac:dyDescent="0.25">
      <c r="A2503" s="43" t="s">
        <v>1195</v>
      </c>
      <c r="B2503" s="43" t="s">
        <v>102</v>
      </c>
      <c r="C2503" s="46">
        <v>61</v>
      </c>
      <c r="D2503" s="46">
        <v>1929691.9653140423</v>
      </c>
      <c r="E2503" s="43">
        <v>270156.87514396588</v>
      </c>
      <c r="F2503" s="43" t="s">
        <v>70</v>
      </c>
      <c r="G2503" s="43" t="s">
        <v>71</v>
      </c>
      <c r="H2503" s="43" t="s">
        <v>72</v>
      </c>
    </row>
    <row r="2504" spans="1:8" x14ac:dyDescent="0.25">
      <c r="A2504" s="43" t="s">
        <v>2266</v>
      </c>
      <c r="B2504" s="43" t="s">
        <v>176</v>
      </c>
      <c r="C2504" s="46">
        <v>61</v>
      </c>
      <c r="D2504" s="46">
        <v>1512026.6718399706</v>
      </c>
      <c r="E2504" s="43">
        <v>166322.93390239679</v>
      </c>
      <c r="F2504" s="43" t="s">
        <v>106</v>
      </c>
      <c r="G2504" s="43" t="s">
        <v>71</v>
      </c>
      <c r="H2504" s="43" t="s">
        <v>72</v>
      </c>
    </row>
    <row r="2505" spans="1:8" x14ac:dyDescent="0.25">
      <c r="A2505" s="43" t="s">
        <v>4229</v>
      </c>
      <c r="B2505" s="43" t="s">
        <v>176</v>
      </c>
      <c r="C2505" s="46">
        <v>61</v>
      </c>
      <c r="D2505" s="46">
        <v>1441898.5399450299</v>
      </c>
      <c r="E2505" s="43">
        <v>57675.941597801197</v>
      </c>
      <c r="F2505" s="43" t="s">
        <v>87</v>
      </c>
      <c r="G2505" s="43" t="s">
        <v>71</v>
      </c>
      <c r="H2505" s="43" t="s">
        <v>88</v>
      </c>
    </row>
    <row r="2506" spans="1:8" x14ac:dyDescent="0.25">
      <c r="A2506" s="72" t="s">
        <v>2920</v>
      </c>
      <c r="B2506" s="72" t="s">
        <v>176</v>
      </c>
      <c r="C2506" s="73">
        <v>61</v>
      </c>
      <c r="D2506" s="73">
        <v>1526973.6577400847</v>
      </c>
      <c r="E2506" s="72">
        <v>122157.89261920677</v>
      </c>
      <c r="F2506" s="72" t="s">
        <v>84</v>
      </c>
      <c r="G2506" s="72" t="s">
        <v>71</v>
      </c>
      <c r="H2506" s="72" t="s">
        <v>72</v>
      </c>
    </row>
    <row r="2507" spans="1:8" x14ac:dyDescent="0.25">
      <c r="A2507" s="72" t="s">
        <v>3322</v>
      </c>
      <c r="B2507" s="72" t="s">
        <v>73</v>
      </c>
      <c r="C2507" s="73">
        <v>61</v>
      </c>
      <c r="D2507" s="73">
        <v>1632997.5838767751</v>
      </c>
      <c r="E2507" s="72">
        <v>97979.855032606501</v>
      </c>
      <c r="F2507" s="72" t="s">
        <v>87</v>
      </c>
      <c r="G2507" s="72" t="s">
        <v>71</v>
      </c>
      <c r="H2507" s="72" t="s">
        <v>88</v>
      </c>
    </row>
    <row r="2508" spans="1:8" x14ac:dyDescent="0.25">
      <c r="A2508" s="72" t="s">
        <v>2338</v>
      </c>
      <c r="B2508" s="72" t="s">
        <v>73</v>
      </c>
      <c r="C2508" s="73">
        <v>61</v>
      </c>
      <c r="D2508" s="73">
        <v>1790316.3495952284</v>
      </c>
      <c r="E2508" s="72">
        <v>161128.47146357055</v>
      </c>
      <c r="F2508" s="72" t="s">
        <v>87</v>
      </c>
      <c r="G2508" s="72" t="s">
        <v>71</v>
      </c>
      <c r="H2508" s="72" t="s">
        <v>88</v>
      </c>
    </row>
    <row r="2509" spans="1:8" x14ac:dyDescent="0.25">
      <c r="A2509" s="43" t="s">
        <v>2155</v>
      </c>
      <c r="B2509" s="43" t="s">
        <v>97</v>
      </c>
      <c r="C2509" s="46">
        <v>61</v>
      </c>
      <c r="D2509" s="46">
        <v>1747236.2266190653</v>
      </c>
      <c r="E2509" s="43">
        <v>174723.62266190653</v>
      </c>
      <c r="F2509" s="43" t="s">
        <v>70</v>
      </c>
      <c r="G2509" s="43" t="s">
        <v>71</v>
      </c>
      <c r="H2509" s="43" t="s">
        <v>72</v>
      </c>
    </row>
    <row r="2510" spans="1:8" x14ac:dyDescent="0.25">
      <c r="A2510" s="43" t="s">
        <v>2452</v>
      </c>
      <c r="B2510" s="43" t="s">
        <v>81</v>
      </c>
      <c r="C2510" s="46">
        <v>61</v>
      </c>
      <c r="D2510" s="46">
        <v>1690630.8258547182</v>
      </c>
      <c r="E2510" s="43">
        <v>152156.77432692464</v>
      </c>
      <c r="F2510" s="43" t="s">
        <v>70</v>
      </c>
      <c r="G2510" s="43" t="s">
        <v>71</v>
      </c>
      <c r="H2510" s="43" t="s">
        <v>72</v>
      </c>
    </row>
    <row r="2511" spans="1:8" x14ac:dyDescent="0.25">
      <c r="A2511" s="43" t="s">
        <v>1633</v>
      </c>
      <c r="B2511" s="43" t="s">
        <v>97</v>
      </c>
      <c r="C2511" s="46">
        <v>61</v>
      </c>
      <c r="D2511" s="46">
        <v>1845388.4171884034</v>
      </c>
      <c r="E2511" s="43">
        <v>221446.61006260847</v>
      </c>
      <c r="F2511" s="43" t="s">
        <v>70</v>
      </c>
      <c r="G2511" s="43" t="s">
        <v>71</v>
      </c>
      <c r="H2511" s="43" t="s">
        <v>72</v>
      </c>
    </row>
    <row r="2512" spans="1:8" x14ac:dyDescent="0.25">
      <c r="A2512" s="43" t="s">
        <v>2805</v>
      </c>
      <c r="B2512" s="43" t="s">
        <v>160</v>
      </c>
      <c r="C2512" s="46">
        <v>61</v>
      </c>
      <c r="D2512" s="46">
        <v>1626740.6835998995</v>
      </c>
      <c r="E2512" s="43">
        <v>130139.25468799197</v>
      </c>
      <c r="F2512" s="43" t="s">
        <v>70</v>
      </c>
      <c r="G2512" s="43" t="s">
        <v>71</v>
      </c>
      <c r="H2512" s="43" t="s">
        <v>72</v>
      </c>
    </row>
    <row r="2513" spans="1:8" x14ac:dyDescent="0.25">
      <c r="A2513" s="72" t="s">
        <v>1828</v>
      </c>
      <c r="B2513" s="72" t="s">
        <v>85</v>
      </c>
      <c r="C2513" s="73">
        <v>61</v>
      </c>
      <c r="D2513" s="73">
        <v>1853427.1351863442</v>
      </c>
      <c r="E2513" s="72">
        <v>203876.98487049789</v>
      </c>
      <c r="F2513" s="72" t="s">
        <v>78</v>
      </c>
      <c r="G2513" s="72" t="s">
        <v>71</v>
      </c>
      <c r="H2513" s="72" t="s">
        <v>72</v>
      </c>
    </row>
    <row r="2514" spans="1:8" x14ac:dyDescent="0.25">
      <c r="A2514" s="43" t="s">
        <v>3027</v>
      </c>
      <c r="B2514" s="43" t="s">
        <v>554</v>
      </c>
      <c r="C2514" s="46">
        <v>61</v>
      </c>
      <c r="D2514" s="46">
        <v>1452784.9441086929</v>
      </c>
      <c r="E2514" s="43">
        <v>116222.79552869544</v>
      </c>
      <c r="F2514" s="43" t="s">
        <v>106</v>
      </c>
      <c r="G2514" s="43" t="s">
        <v>71</v>
      </c>
      <c r="H2514" s="43" t="s">
        <v>72</v>
      </c>
    </row>
    <row r="2515" spans="1:8" x14ac:dyDescent="0.25">
      <c r="A2515" s="72" t="s">
        <v>4374</v>
      </c>
      <c r="B2515" s="72" t="s">
        <v>73</v>
      </c>
      <c r="C2515" s="73">
        <v>61</v>
      </c>
      <c r="D2515" s="73">
        <v>1314443.6908686298</v>
      </c>
      <c r="E2515" s="72">
        <v>52577.747634745196</v>
      </c>
      <c r="F2515" s="72" t="s">
        <v>106</v>
      </c>
      <c r="G2515" s="72" t="s">
        <v>71</v>
      </c>
      <c r="H2515" s="72" t="s">
        <v>72</v>
      </c>
    </row>
    <row r="2516" spans="1:8" x14ac:dyDescent="0.25">
      <c r="A2516" s="72" t="s">
        <v>3966</v>
      </c>
      <c r="B2516" s="72" t="s">
        <v>554</v>
      </c>
      <c r="C2516" s="73">
        <v>61</v>
      </c>
      <c r="D2516" s="73">
        <v>1361999.4879090101</v>
      </c>
      <c r="E2516" s="72">
        <v>68099.97439545051</v>
      </c>
      <c r="F2516" s="72" t="s">
        <v>106</v>
      </c>
      <c r="G2516" s="72" t="s">
        <v>71</v>
      </c>
      <c r="H2516" s="72" t="s">
        <v>72</v>
      </c>
    </row>
    <row r="2517" spans="1:8" x14ac:dyDescent="0.25">
      <c r="A2517" s="72" t="s">
        <v>1407</v>
      </c>
      <c r="B2517" s="72" t="s">
        <v>83</v>
      </c>
      <c r="C2517" s="73">
        <v>61</v>
      </c>
      <c r="D2517" s="73">
        <v>1886949.0093161222</v>
      </c>
      <c r="E2517" s="72">
        <v>245303.37121109589</v>
      </c>
      <c r="F2517" s="72" t="s">
        <v>84</v>
      </c>
      <c r="G2517" s="72" t="s">
        <v>71</v>
      </c>
      <c r="H2517" s="72" t="s">
        <v>72</v>
      </c>
    </row>
    <row r="2518" spans="1:8" x14ac:dyDescent="0.25">
      <c r="A2518" s="72" t="s">
        <v>1634</v>
      </c>
      <c r="B2518" s="72" t="s">
        <v>160</v>
      </c>
      <c r="C2518" s="73">
        <v>61</v>
      </c>
      <c r="D2518" s="73">
        <v>1845388.4171884034</v>
      </c>
      <c r="E2518" s="72">
        <v>221446.61006260847</v>
      </c>
      <c r="F2518" s="72" t="s">
        <v>70</v>
      </c>
      <c r="G2518" s="72" t="s">
        <v>71</v>
      </c>
      <c r="H2518" s="72" t="s">
        <v>72</v>
      </c>
    </row>
    <row r="2519" spans="1:8" x14ac:dyDescent="0.25">
      <c r="A2519" s="43" t="s">
        <v>3283</v>
      </c>
      <c r="B2519" s="43" t="s">
        <v>160</v>
      </c>
      <c r="C2519" s="46">
        <v>61</v>
      </c>
      <c r="D2519" s="46">
        <v>1427672.4373086346</v>
      </c>
      <c r="E2519" s="43">
        <v>99937.070611604417</v>
      </c>
      <c r="F2519" s="43" t="s">
        <v>106</v>
      </c>
      <c r="G2519" s="43" t="s">
        <v>71</v>
      </c>
      <c r="H2519" s="43" t="s">
        <v>72</v>
      </c>
    </row>
    <row r="2520" spans="1:8" x14ac:dyDescent="0.25">
      <c r="A2520" s="72" t="s">
        <v>1400</v>
      </c>
      <c r="B2520" s="72" t="s">
        <v>73</v>
      </c>
      <c r="C2520" s="73">
        <v>61</v>
      </c>
      <c r="D2520" s="73">
        <v>1888948.5070716254</v>
      </c>
      <c r="E2520" s="72">
        <v>245563.30591931133</v>
      </c>
      <c r="F2520" s="72" t="s">
        <v>70</v>
      </c>
      <c r="G2520" s="72" t="s">
        <v>71</v>
      </c>
      <c r="H2520" s="72" t="s">
        <v>72</v>
      </c>
    </row>
    <row r="2521" spans="1:8" x14ac:dyDescent="0.25">
      <c r="A2521" s="72" t="s">
        <v>1196</v>
      </c>
      <c r="B2521" s="72" t="s">
        <v>73</v>
      </c>
      <c r="C2521" s="73">
        <v>61</v>
      </c>
      <c r="D2521" s="73">
        <v>1929691.9653140423</v>
      </c>
      <c r="E2521" s="72">
        <v>270156.87514396588</v>
      </c>
      <c r="F2521" s="72" t="s">
        <v>70</v>
      </c>
      <c r="G2521" s="72" t="s">
        <v>71</v>
      </c>
      <c r="H2521" s="72" t="s">
        <v>72</v>
      </c>
    </row>
    <row r="2522" spans="1:8" x14ac:dyDescent="0.25">
      <c r="A2522" s="72" t="s">
        <v>2758</v>
      </c>
      <c r="B2522" s="72" t="s">
        <v>291</v>
      </c>
      <c r="C2522" s="73">
        <v>61</v>
      </c>
      <c r="D2522" s="73">
        <v>1474743.482745043</v>
      </c>
      <c r="E2522" s="72">
        <v>132726.91344705387</v>
      </c>
      <c r="F2522" s="72" t="s">
        <v>106</v>
      </c>
      <c r="G2522" s="72" t="s">
        <v>71</v>
      </c>
      <c r="H2522" s="72" t="s">
        <v>72</v>
      </c>
    </row>
    <row r="2523" spans="1:8" x14ac:dyDescent="0.25">
      <c r="A2523" s="43" t="s">
        <v>1197</v>
      </c>
      <c r="B2523" s="43" t="s">
        <v>107</v>
      </c>
      <c r="C2523" s="46">
        <v>61</v>
      </c>
      <c r="D2523" s="46">
        <v>1929691.9653140423</v>
      </c>
      <c r="E2523" s="43">
        <v>270156.87514396588</v>
      </c>
      <c r="F2523" s="43" t="s">
        <v>70</v>
      </c>
      <c r="G2523" s="43" t="s">
        <v>71</v>
      </c>
      <c r="H2523" s="43" t="s">
        <v>72</v>
      </c>
    </row>
    <row r="2524" spans="1:8" x14ac:dyDescent="0.25">
      <c r="A2524" s="43" t="s">
        <v>3129</v>
      </c>
      <c r="B2524" s="43" t="s">
        <v>73</v>
      </c>
      <c r="C2524" s="46">
        <v>61</v>
      </c>
      <c r="D2524" s="46">
        <v>1552355.2329572837</v>
      </c>
      <c r="E2524" s="43">
        <v>108664.86630700986</v>
      </c>
      <c r="F2524" s="43" t="s">
        <v>70</v>
      </c>
      <c r="G2524" s="43" t="s">
        <v>71</v>
      </c>
      <c r="H2524" s="43" t="s">
        <v>72</v>
      </c>
    </row>
    <row r="2525" spans="1:8" x14ac:dyDescent="0.25">
      <c r="A2525" s="72" t="s">
        <v>2267</v>
      </c>
      <c r="B2525" s="72" t="s">
        <v>75</v>
      </c>
      <c r="C2525" s="73">
        <v>61</v>
      </c>
      <c r="D2525" s="73">
        <v>1512026.6718399706</v>
      </c>
      <c r="E2525" s="72">
        <v>166322.93390239679</v>
      </c>
      <c r="F2525" s="72" t="s">
        <v>106</v>
      </c>
      <c r="G2525" s="72" t="s">
        <v>71</v>
      </c>
      <c r="H2525" s="72" t="s">
        <v>72</v>
      </c>
    </row>
    <row r="2526" spans="1:8" x14ac:dyDescent="0.25">
      <c r="A2526" s="43" t="s">
        <v>3507</v>
      </c>
      <c r="B2526" s="43" t="s">
        <v>102</v>
      </c>
      <c r="C2526" s="46">
        <v>61</v>
      </c>
      <c r="D2526" s="46">
        <v>1461036.6875848759</v>
      </c>
      <c r="E2526" s="43">
        <v>87662.201255092572</v>
      </c>
      <c r="F2526" s="43" t="s">
        <v>70</v>
      </c>
      <c r="G2526" s="43" t="s">
        <v>71</v>
      </c>
      <c r="H2526" s="43" t="s">
        <v>72</v>
      </c>
    </row>
    <row r="2527" spans="1:8" x14ac:dyDescent="0.25">
      <c r="A2527" s="72" t="s">
        <v>3294</v>
      </c>
      <c r="B2527" s="72" t="s">
        <v>1977</v>
      </c>
      <c r="C2527" s="73">
        <v>61</v>
      </c>
      <c r="D2527" s="73">
        <v>1422617.5417872379</v>
      </c>
      <c r="E2527" s="72">
        <v>99583.227925106636</v>
      </c>
      <c r="F2527" s="72" t="s">
        <v>84</v>
      </c>
      <c r="G2527" s="72" t="s">
        <v>71</v>
      </c>
      <c r="H2527" s="72" t="s">
        <v>72</v>
      </c>
    </row>
    <row r="2528" spans="1:8" x14ac:dyDescent="0.25">
      <c r="A2528" s="72" t="s">
        <v>2156</v>
      </c>
      <c r="B2528" s="72" t="s">
        <v>110</v>
      </c>
      <c r="C2528" s="73">
        <v>61</v>
      </c>
      <c r="D2528" s="73">
        <v>1747236.2266190653</v>
      </c>
      <c r="E2528" s="72">
        <v>174723.62266190653</v>
      </c>
      <c r="F2528" s="72" t="s">
        <v>70</v>
      </c>
      <c r="G2528" s="72" t="s">
        <v>71</v>
      </c>
      <c r="H2528" s="72" t="s">
        <v>72</v>
      </c>
    </row>
    <row r="2529" spans="1:8" x14ac:dyDescent="0.25">
      <c r="A2529" s="72" t="s">
        <v>1899</v>
      </c>
      <c r="B2529" s="72" t="s">
        <v>97</v>
      </c>
      <c r="C2529" s="73">
        <v>61</v>
      </c>
      <c r="D2529" s="73">
        <v>1798423.6723793198</v>
      </c>
      <c r="E2529" s="72">
        <v>197826.6039617252</v>
      </c>
      <c r="F2529" s="72" t="s">
        <v>70</v>
      </c>
      <c r="G2529" s="72" t="s">
        <v>71</v>
      </c>
      <c r="H2529" s="72" t="s">
        <v>72</v>
      </c>
    </row>
    <row r="2530" spans="1:8" x14ac:dyDescent="0.25">
      <c r="A2530" s="72" t="s">
        <v>1355</v>
      </c>
      <c r="B2530" s="72" t="s">
        <v>83</v>
      </c>
      <c r="C2530" s="73">
        <v>61</v>
      </c>
      <c r="D2530" s="73">
        <v>1929088.4809414479</v>
      </c>
      <c r="E2530" s="72">
        <v>250781.50252238824</v>
      </c>
      <c r="F2530" s="72" t="s">
        <v>87</v>
      </c>
      <c r="G2530" s="72" t="s">
        <v>71</v>
      </c>
      <c r="H2530" s="72" t="s">
        <v>88</v>
      </c>
    </row>
    <row r="2531" spans="1:8" x14ac:dyDescent="0.25">
      <c r="A2531" s="43" t="s">
        <v>4375</v>
      </c>
      <c r="B2531" s="43" t="s">
        <v>439</v>
      </c>
      <c r="C2531" s="46">
        <v>61</v>
      </c>
      <c r="D2531" s="46">
        <v>1314443.6908686298</v>
      </c>
      <c r="E2531" s="43">
        <v>52577.747634745196</v>
      </c>
      <c r="F2531" s="43" t="s">
        <v>106</v>
      </c>
      <c r="G2531" s="43" t="s">
        <v>71</v>
      </c>
      <c r="H2531" s="43" t="s">
        <v>72</v>
      </c>
    </row>
    <row r="2532" spans="1:8" x14ac:dyDescent="0.25">
      <c r="A2532" s="43" t="s">
        <v>1408</v>
      </c>
      <c r="B2532" s="43" t="s">
        <v>77</v>
      </c>
      <c r="C2532" s="46">
        <v>61</v>
      </c>
      <c r="D2532" s="46">
        <v>1886949.0093161222</v>
      </c>
      <c r="E2532" s="43">
        <v>245303.37121109589</v>
      </c>
      <c r="F2532" s="43" t="s">
        <v>84</v>
      </c>
      <c r="G2532" s="43" t="s">
        <v>71</v>
      </c>
      <c r="H2532" s="43" t="s">
        <v>72</v>
      </c>
    </row>
    <row r="2533" spans="1:8" x14ac:dyDescent="0.25">
      <c r="A2533" s="43" t="s">
        <v>1401</v>
      </c>
      <c r="B2533" s="43" t="s">
        <v>102</v>
      </c>
      <c r="C2533" s="46">
        <v>61</v>
      </c>
      <c r="D2533" s="46">
        <v>1888948.5070716254</v>
      </c>
      <c r="E2533" s="43">
        <v>245563.30591931133</v>
      </c>
      <c r="F2533" s="43" t="s">
        <v>70</v>
      </c>
      <c r="G2533" s="43" t="s">
        <v>71</v>
      </c>
      <c r="H2533" s="43" t="s">
        <v>72</v>
      </c>
    </row>
    <row r="2534" spans="1:8" x14ac:dyDescent="0.25">
      <c r="A2534" s="43" t="s">
        <v>1900</v>
      </c>
      <c r="B2534" s="43" t="s">
        <v>102</v>
      </c>
      <c r="C2534" s="46">
        <v>61</v>
      </c>
      <c r="D2534" s="46">
        <v>1798423.6723793198</v>
      </c>
      <c r="E2534" s="43">
        <v>197826.6039617252</v>
      </c>
      <c r="F2534" s="43" t="s">
        <v>70</v>
      </c>
      <c r="G2534" s="43" t="s">
        <v>71</v>
      </c>
      <c r="H2534" s="43" t="s">
        <v>72</v>
      </c>
    </row>
    <row r="2535" spans="1:8" x14ac:dyDescent="0.25">
      <c r="A2535" s="43" t="s">
        <v>1635</v>
      </c>
      <c r="B2535" s="43" t="s">
        <v>85</v>
      </c>
      <c r="C2535" s="46">
        <v>61</v>
      </c>
      <c r="D2535" s="46">
        <v>1845388.4171884034</v>
      </c>
      <c r="E2535" s="43">
        <v>221446.61006260847</v>
      </c>
      <c r="F2535" s="43" t="s">
        <v>70</v>
      </c>
      <c r="G2535" s="43" t="s">
        <v>71</v>
      </c>
      <c r="H2535" s="43" t="s">
        <v>72</v>
      </c>
    </row>
    <row r="2536" spans="1:8" x14ac:dyDescent="0.25">
      <c r="A2536" s="72" t="s">
        <v>1636</v>
      </c>
      <c r="B2536" s="72" t="s">
        <v>85</v>
      </c>
      <c r="C2536" s="73">
        <v>61</v>
      </c>
      <c r="D2536" s="73">
        <v>1845388.4171884034</v>
      </c>
      <c r="E2536" s="72">
        <v>221446.61006260847</v>
      </c>
      <c r="F2536" s="72" t="s">
        <v>70</v>
      </c>
      <c r="G2536" s="72" t="s">
        <v>71</v>
      </c>
      <c r="H2536" s="72" t="s">
        <v>72</v>
      </c>
    </row>
    <row r="2537" spans="1:8" x14ac:dyDescent="0.25">
      <c r="A2537" s="72" t="s">
        <v>2184</v>
      </c>
      <c r="B2537" s="72" t="s">
        <v>119</v>
      </c>
      <c r="C2537" s="73">
        <v>60</v>
      </c>
      <c r="D2537" s="73">
        <v>1717736.0411997517</v>
      </c>
      <c r="E2537" s="72">
        <v>171773.60411997518</v>
      </c>
      <c r="F2537" s="72" t="s">
        <v>70</v>
      </c>
      <c r="G2537" s="72" t="s">
        <v>71</v>
      </c>
      <c r="H2537" s="72" t="s">
        <v>72</v>
      </c>
    </row>
    <row r="2538" spans="1:8" x14ac:dyDescent="0.25">
      <c r="A2538" s="43" t="s">
        <v>1851</v>
      </c>
      <c r="B2538" s="43" t="s">
        <v>77</v>
      </c>
      <c r="C2538" s="46">
        <v>60</v>
      </c>
      <c r="D2538" s="46">
        <v>1834517.6533162235</v>
      </c>
      <c r="E2538" s="43">
        <v>201796.9418647846</v>
      </c>
      <c r="F2538" s="43" t="s">
        <v>87</v>
      </c>
      <c r="G2538" s="43" t="s">
        <v>71</v>
      </c>
      <c r="H2538" s="43" t="s">
        <v>88</v>
      </c>
    </row>
    <row r="2539" spans="1:8" x14ac:dyDescent="0.25">
      <c r="A2539" s="43" t="s">
        <v>3009</v>
      </c>
      <c r="B2539" s="43" t="s">
        <v>73</v>
      </c>
      <c r="C2539" s="46">
        <v>60</v>
      </c>
      <c r="D2539" s="46">
        <v>1665829.895078369</v>
      </c>
      <c r="E2539" s="43">
        <v>116608.09265548582</v>
      </c>
      <c r="F2539" s="43" t="s">
        <v>87</v>
      </c>
      <c r="G2539" s="43" t="s">
        <v>71</v>
      </c>
      <c r="H2539" s="43" t="s">
        <v>88</v>
      </c>
    </row>
    <row r="2540" spans="1:8" x14ac:dyDescent="0.25">
      <c r="A2540" s="72" t="s">
        <v>1435</v>
      </c>
      <c r="B2540" s="72" t="s">
        <v>85</v>
      </c>
      <c r="C2540" s="73">
        <v>60</v>
      </c>
      <c r="D2540" s="73">
        <v>1857125.169513745</v>
      </c>
      <c r="E2540" s="72">
        <v>241426.27203678686</v>
      </c>
      <c r="F2540" s="72" t="s">
        <v>70</v>
      </c>
      <c r="G2540" s="72" t="s">
        <v>71</v>
      </c>
      <c r="H2540" s="72" t="s">
        <v>72</v>
      </c>
    </row>
    <row r="2541" spans="1:8" x14ac:dyDescent="0.25">
      <c r="A2541" s="43" t="s">
        <v>2095</v>
      </c>
      <c r="B2541" s="43" t="s">
        <v>85</v>
      </c>
      <c r="C2541" s="46">
        <v>60</v>
      </c>
      <c r="D2541" s="46">
        <v>1502325.0670306776</v>
      </c>
      <c r="E2541" s="43">
        <v>180279.0080436813</v>
      </c>
      <c r="F2541" s="43" t="s">
        <v>106</v>
      </c>
      <c r="G2541" s="43" t="s">
        <v>71</v>
      </c>
      <c r="H2541" s="43" t="s">
        <v>72</v>
      </c>
    </row>
    <row r="2542" spans="1:8" x14ac:dyDescent="0.25">
      <c r="A2542" s="43" t="s">
        <v>2185</v>
      </c>
      <c r="B2542" s="43" t="s">
        <v>102</v>
      </c>
      <c r="C2542" s="46">
        <v>60</v>
      </c>
      <c r="D2542" s="46">
        <v>1717736.0411997517</v>
      </c>
      <c r="E2542" s="43">
        <v>171773.60411997518</v>
      </c>
      <c r="F2542" s="43" t="s">
        <v>70</v>
      </c>
      <c r="G2542" s="43" t="s">
        <v>71</v>
      </c>
      <c r="H2542" s="43" t="s">
        <v>72</v>
      </c>
    </row>
    <row r="2543" spans="1:8" x14ac:dyDescent="0.25">
      <c r="A2543" s="43" t="s">
        <v>3539</v>
      </c>
      <c r="B2543" s="43" t="s">
        <v>108</v>
      </c>
      <c r="C2543" s="46">
        <v>60</v>
      </c>
      <c r="D2543" s="46">
        <v>1436228.297887434</v>
      </c>
      <c r="E2543" s="43">
        <v>86173.697873246056</v>
      </c>
      <c r="F2543" s="43" t="s">
        <v>70</v>
      </c>
      <c r="G2543" s="43" t="s">
        <v>71</v>
      </c>
      <c r="H2543" s="43" t="s">
        <v>72</v>
      </c>
    </row>
    <row r="2544" spans="1:8" x14ac:dyDescent="0.25">
      <c r="A2544" s="43" t="s">
        <v>1684</v>
      </c>
      <c r="B2544" s="43" t="s">
        <v>97</v>
      </c>
      <c r="C2544" s="46">
        <v>60</v>
      </c>
      <c r="D2544" s="46">
        <v>1814279.1794646746</v>
      </c>
      <c r="E2544" s="43">
        <v>217713.501535761</v>
      </c>
      <c r="F2544" s="43" t="s">
        <v>70</v>
      </c>
      <c r="G2544" s="43" t="s">
        <v>71</v>
      </c>
      <c r="H2544" s="43" t="s">
        <v>72</v>
      </c>
    </row>
    <row r="2545" spans="1:8" x14ac:dyDescent="0.25">
      <c r="A2545" s="72" t="s">
        <v>3070</v>
      </c>
      <c r="B2545" s="72" t="s">
        <v>3071</v>
      </c>
      <c r="C2545" s="73">
        <v>60</v>
      </c>
      <c r="D2545" s="73">
        <v>1251108.0048276542</v>
      </c>
      <c r="E2545" s="72">
        <v>112599.72043448887</v>
      </c>
      <c r="F2545" s="72" t="s">
        <v>95</v>
      </c>
      <c r="G2545" s="72" t="s">
        <v>96</v>
      </c>
      <c r="H2545" s="72" t="s">
        <v>88</v>
      </c>
    </row>
    <row r="2546" spans="1:8" x14ac:dyDescent="0.25">
      <c r="A2546" s="43" t="s">
        <v>4762</v>
      </c>
      <c r="B2546" s="43" t="s">
        <v>75</v>
      </c>
      <c r="C2546" s="46">
        <v>60</v>
      </c>
      <c r="D2546" s="46">
        <v>1220367.4397407793</v>
      </c>
      <c r="E2546" s="43">
        <v>36611.023192223387</v>
      </c>
      <c r="F2546" s="43" t="s">
        <v>106</v>
      </c>
      <c r="G2546" s="43" t="s">
        <v>71</v>
      </c>
      <c r="H2546" s="43" t="s">
        <v>72</v>
      </c>
    </row>
    <row r="2547" spans="1:8" x14ac:dyDescent="0.25">
      <c r="A2547" s="43" t="s">
        <v>4408</v>
      </c>
      <c r="B2547" s="43" t="s">
        <v>176</v>
      </c>
      <c r="C2547" s="46">
        <v>60</v>
      </c>
      <c r="D2547" s="46">
        <v>1292049.9894734172</v>
      </c>
      <c r="E2547" s="43">
        <v>51681.999578936688</v>
      </c>
      <c r="F2547" s="43" t="s">
        <v>106</v>
      </c>
      <c r="G2547" s="43" t="s">
        <v>71</v>
      </c>
      <c r="H2547" s="43" t="s">
        <v>72</v>
      </c>
    </row>
    <row r="2548" spans="1:8" x14ac:dyDescent="0.25">
      <c r="A2548" s="43" t="s">
        <v>2801</v>
      </c>
      <c r="B2548" s="43" t="s">
        <v>176</v>
      </c>
      <c r="C2548" s="46">
        <v>60</v>
      </c>
      <c r="D2548" s="46">
        <v>1449721.915909233</v>
      </c>
      <c r="E2548" s="43">
        <v>130474.97243183097</v>
      </c>
      <c r="F2548" s="43" t="s">
        <v>106</v>
      </c>
      <c r="G2548" s="43" t="s">
        <v>71</v>
      </c>
      <c r="H2548" s="43" t="s">
        <v>72</v>
      </c>
    </row>
    <row r="2549" spans="1:8" x14ac:dyDescent="0.25">
      <c r="A2549" s="72" t="s">
        <v>1852</v>
      </c>
      <c r="B2549" s="72" t="s">
        <v>73</v>
      </c>
      <c r="C2549" s="73">
        <v>60</v>
      </c>
      <c r="D2549" s="73">
        <v>1834517.6533162235</v>
      </c>
      <c r="E2549" s="72">
        <v>201796.9418647846</v>
      </c>
      <c r="F2549" s="72" t="s">
        <v>87</v>
      </c>
      <c r="G2549" s="72" t="s">
        <v>71</v>
      </c>
      <c r="H2549" s="72" t="s">
        <v>88</v>
      </c>
    </row>
    <row r="2550" spans="1:8" x14ac:dyDescent="0.25">
      <c r="A2550" s="43" t="s">
        <v>1853</v>
      </c>
      <c r="B2550" s="43" t="s">
        <v>149</v>
      </c>
      <c r="C2550" s="46">
        <v>60</v>
      </c>
      <c r="D2550" s="46">
        <v>1834517.6533162235</v>
      </c>
      <c r="E2550" s="43">
        <v>201796.9418647846</v>
      </c>
      <c r="F2550" s="43" t="s">
        <v>87</v>
      </c>
      <c r="G2550" s="43" t="s">
        <v>71</v>
      </c>
      <c r="H2550" s="43" t="s">
        <v>88</v>
      </c>
    </row>
    <row r="2551" spans="1:8" x14ac:dyDescent="0.25">
      <c r="A2551" s="43" t="s">
        <v>1609</v>
      </c>
      <c r="B2551" s="43" t="s">
        <v>93</v>
      </c>
      <c r="C2551" s="46">
        <v>60</v>
      </c>
      <c r="D2551" s="46">
        <v>1866832.9861849491</v>
      </c>
      <c r="E2551" s="43">
        <v>224019.95834219389</v>
      </c>
      <c r="F2551" s="43" t="s">
        <v>87</v>
      </c>
      <c r="G2551" s="43" t="s">
        <v>71</v>
      </c>
      <c r="H2551" s="43" t="s">
        <v>88</v>
      </c>
    </row>
    <row r="2552" spans="1:8" x14ac:dyDescent="0.25">
      <c r="A2552" s="43" t="s">
        <v>1928</v>
      </c>
      <c r="B2552" s="43" t="s">
        <v>107</v>
      </c>
      <c r="C2552" s="46">
        <v>60</v>
      </c>
      <c r="D2552" s="46">
        <v>1768084.3485049203</v>
      </c>
      <c r="E2552" s="43">
        <v>194489.27833554125</v>
      </c>
      <c r="F2552" s="43" t="s">
        <v>70</v>
      </c>
      <c r="G2552" s="43" t="s">
        <v>71</v>
      </c>
      <c r="H2552" s="43" t="s">
        <v>72</v>
      </c>
    </row>
    <row r="2553" spans="1:8" x14ac:dyDescent="0.25">
      <c r="A2553" s="43" t="s">
        <v>3347</v>
      </c>
      <c r="B2553" s="43" t="s">
        <v>93</v>
      </c>
      <c r="C2553" s="46">
        <v>60</v>
      </c>
      <c r="D2553" s="46">
        <v>1605486.7162107627</v>
      </c>
      <c r="E2553" s="43">
        <v>96329.202972645755</v>
      </c>
      <c r="F2553" s="43" t="s">
        <v>87</v>
      </c>
      <c r="G2553" s="43" t="s">
        <v>71</v>
      </c>
      <c r="H2553" s="43" t="s">
        <v>88</v>
      </c>
    </row>
    <row r="2554" spans="1:8" x14ac:dyDescent="0.25">
      <c r="A2554" s="72" t="s">
        <v>1685</v>
      </c>
      <c r="B2554" s="72" t="s">
        <v>97</v>
      </c>
      <c r="C2554" s="73">
        <v>60</v>
      </c>
      <c r="D2554" s="73">
        <v>1814279.1794646746</v>
      </c>
      <c r="E2554" s="72">
        <v>217713.501535761</v>
      </c>
      <c r="F2554" s="72" t="s">
        <v>70</v>
      </c>
      <c r="G2554" s="72" t="s">
        <v>71</v>
      </c>
      <c r="H2554" s="72" t="s">
        <v>72</v>
      </c>
    </row>
    <row r="2555" spans="1:8" x14ac:dyDescent="0.25">
      <c r="A2555" s="43" t="s">
        <v>2383</v>
      </c>
      <c r="B2555" s="43" t="s">
        <v>93</v>
      </c>
      <c r="C2555" s="46">
        <v>60</v>
      </c>
      <c r="D2555" s="46">
        <v>1760226.4857698968</v>
      </c>
      <c r="E2555" s="43">
        <v>158420.38371929069</v>
      </c>
      <c r="F2555" s="43" t="s">
        <v>87</v>
      </c>
      <c r="G2555" s="43" t="s">
        <v>71</v>
      </c>
      <c r="H2555" s="43" t="s">
        <v>88</v>
      </c>
    </row>
    <row r="2556" spans="1:8" x14ac:dyDescent="0.25">
      <c r="A2556" s="72" t="s">
        <v>1610</v>
      </c>
      <c r="B2556" s="72" t="s">
        <v>113</v>
      </c>
      <c r="C2556" s="73">
        <v>60</v>
      </c>
      <c r="D2556" s="73">
        <v>1866832.9861849491</v>
      </c>
      <c r="E2556" s="72">
        <v>224019.95834219389</v>
      </c>
      <c r="F2556" s="72" t="s">
        <v>87</v>
      </c>
      <c r="G2556" s="72" t="s">
        <v>71</v>
      </c>
      <c r="H2556" s="72" t="s">
        <v>88</v>
      </c>
    </row>
    <row r="2557" spans="1:8" x14ac:dyDescent="0.25">
      <c r="A2557" s="43" t="s">
        <v>1611</v>
      </c>
      <c r="B2557" s="43" t="s">
        <v>73</v>
      </c>
      <c r="C2557" s="46">
        <v>60</v>
      </c>
      <c r="D2557" s="46">
        <v>1866832.9861849491</v>
      </c>
      <c r="E2557" s="43">
        <v>224019.95834219389</v>
      </c>
      <c r="F2557" s="43" t="s">
        <v>87</v>
      </c>
      <c r="G2557" s="43" t="s">
        <v>71</v>
      </c>
      <c r="H2557" s="43" t="s">
        <v>88</v>
      </c>
    </row>
    <row r="2558" spans="1:8" x14ac:dyDescent="0.25">
      <c r="A2558" s="43" t="s">
        <v>3163</v>
      </c>
      <c r="B2558" s="43" t="s">
        <v>73</v>
      </c>
      <c r="C2558" s="46">
        <v>60</v>
      </c>
      <c r="D2558" s="46">
        <v>1526049.8179258681</v>
      </c>
      <c r="E2558" s="43">
        <v>106823.48725481075</v>
      </c>
      <c r="F2558" s="43" t="s">
        <v>70</v>
      </c>
      <c r="G2558" s="43" t="s">
        <v>71</v>
      </c>
      <c r="H2558" s="43" t="s">
        <v>72</v>
      </c>
    </row>
    <row r="2559" spans="1:8" x14ac:dyDescent="0.25">
      <c r="A2559" s="72" t="s">
        <v>2844</v>
      </c>
      <c r="B2559" s="72" t="s">
        <v>97</v>
      </c>
      <c r="C2559" s="73">
        <v>60</v>
      </c>
      <c r="D2559" s="73">
        <v>1599215.8349513921</v>
      </c>
      <c r="E2559" s="72">
        <v>127937.26679611138</v>
      </c>
      <c r="F2559" s="72" t="s">
        <v>70</v>
      </c>
      <c r="G2559" s="72" t="s">
        <v>71</v>
      </c>
      <c r="H2559" s="72" t="s">
        <v>72</v>
      </c>
    </row>
    <row r="2560" spans="1:8" x14ac:dyDescent="0.25">
      <c r="A2560" s="43" t="s">
        <v>1217</v>
      </c>
      <c r="B2560" s="43" t="s">
        <v>97</v>
      </c>
      <c r="C2560" s="46">
        <v>60</v>
      </c>
      <c r="D2560" s="46">
        <v>1897200.7022112045</v>
      </c>
      <c r="E2560" s="43">
        <v>265608.0983095686</v>
      </c>
      <c r="F2560" s="43" t="s">
        <v>70</v>
      </c>
      <c r="G2560" s="43" t="s">
        <v>71</v>
      </c>
      <c r="H2560" s="43" t="s">
        <v>72</v>
      </c>
    </row>
    <row r="2561" spans="1:8" x14ac:dyDescent="0.25">
      <c r="A2561" s="72" t="s">
        <v>3998</v>
      </c>
      <c r="B2561" s="72" t="s">
        <v>75</v>
      </c>
      <c r="C2561" s="73">
        <v>60</v>
      </c>
      <c r="D2561" s="73">
        <v>1338826.1832836273</v>
      </c>
      <c r="E2561" s="72">
        <v>66941.309164181366</v>
      </c>
      <c r="F2561" s="72" t="s">
        <v>106</v>
      </c>
      <c r="G2561" s="72" t="s">
        <v>71</v>
      </c>
      <c r="H2561" s="72" t="s">
        <v>72</v>
      </c>
    </row>
    <row r="2562" spans="1:8" x14ac:dyDescent="0.25">
      <c r="A2562" s="43" t="s">
        <v>2123</v>
      </c>
      <c r="B2562" s="43" t="s">
        <v>75</v>
      </c>
      <c r="C2562" s="46">
        <v>60</v>
      </c>
      <c r="D2562" s="46">
        <v>1770393.367636255</v>
      </c>
      <c r="E2562" s="43">
        <v>177039.3367636255</v>
      </c>
      <c r="F2562" s="43" t="s">
        <v>78</v>
      </c>
      <c r="G2562" s="43" t="s">
        <v>71</v>
      </c>
      <c r="H2562" s="43" t="s">
        <v>72</v>
      </c>
    </row>
    <row r="2563" spans="1:8" x14ac:dyDescent="0.25">
      <c r="A2563" s="72" t="s">
        <v>3615</v>
      </c>
      <c r="B2563" s="72" t="s">
        <v>257</v>
      </c>
      <c r="C2563" s="73">
        <v>60</v>
      </c>
      <c r="D2563" s="73">
        <v>1374391.6164332912</v>
      </c>
      <c r="E2563" s="72">
        <v>82463.496985997495</v>
      </c>
      <c r="F2563" s="72" t="s">
        <v>106</v>
      </c>
      <c r="G2563" s="72" t="s">
        <v>71</v>
      </c>
      <c r="H2563" s="72" t="s">
        <v>72</v>
      </c>
    </row>
    <row r="2564" spans="1:8" x14ac:dyDescent="0.25">
      <c r="A2564" s="72" t="s">
        <v>2684</v>
      </c>
      <c r="B2564" s="72" t="s">
        <v>73</v>
      </c>
      <c r="C2564" s="73">
        <v>60</v>
      </c>
      <c r="D2564" s="73">
        <v>1716356.8764403649</v>
      </c>
      <c r="E2564" s="72">
        <v>137308.55011522918</v>
      </c>
      <c r="F2564" s="72" t="s">
        <v>87</v>
      </c>
      <c r="G2564" s="72" t="s">
        <v>71</v>
      </c>
      <c r="H2564" s="72" t="s">
        <v>88</v>
      </c>
    </row>
    <row r="2565" spans="1:8" x14ac:dyDescent="0.25">
      <c r="A2565" s="72" t="s">
        <v>2802</v>
      </c>
      <c r="B2565" s="72" t="s">
        <v>77</v>
      </c>
      <c r="C2565" s="73">
        <v>60</v>
      </c>
      <c r="D2565" s="73">
        <v>1449721.915909233</v>
      </c>
      <c r="E2565" s="72">
        <v>130474.97243183097</v>
      </c>
      <c r="F2565" s="72" t="s">
        <v>106</v>
      </c>
      <c r="G2565" s="72" t="s">
        <v>71</v>
      </c>
      <c r="H2565" s="72" t="s">
        <v>72</v>
      </c>
    </row>
    <row r="2566" spans="1:8" x14ac:dyDescent="0.25">
      <c r="A2566" s="72" t="s">
        <v>2768</v>
      </c>
      <c r="B2566" s="72" t="s">
        <v>75</v>
      </c>
      <c r="C2566" s="73">
        <v>60</v>
      </c>
      <c r="D2566" s="73">
        <v>1648798.0612279039</v>
      </c>
      <c r="E2566" s="72">
        <v>131903.84489823232</v>
      </c>
      <c r="F2566" s="72" t="s">
        <v>78</v>
      </c>
      <c r="G2566" s="72" t="s">
        <v>71</v>
      </c>
      <c r="H2566" s="72" t="s">
        <v>72</v>
      </c>
    </row>
    <row r="2567" spans="1:8" x14ac:dyDescent="0.25">
      <c r="A2567" s="72" t="s">
        <v>2490</v>
      </c>
      <c r="B2567" s="72" t="s">
        <v>102</v>
      </c>
      <c r="C2567" s="73">
        <v>60</v>
      </c>
      <c r="D2567" s="73">
        <v>1662058.597824984</v>
      </c>
      <c r="E2567" s="72">
        <v>149585.27380424854</v>
      </c>
      <c r="F2567" s="72" t="s">
        <v>70</v>
      </c>
      <c r="G2567" s="72" t="s">
        <v>71</v>
      </c>
      <c r="H2567" s="72" t="s">
        <v>72</v>
      </c>
    </row>
    <row r="2568" spans="1:8" x14ac:dyDescent="0.25">
      <c r="A2568" s="72" t="s">
        <v>2124</v>
      </c>
      <c r="B2568" s="72" t="s">
        <v>75</v>
      </c>
      <c r="C2568" s="73">
        <v>60</v>
      </c>
      <c r="D2568" s="73">
        <v>1770393.367636255</v>
      </c>
      <c r="E2568" s="72">
        <v>177039.3367636255</v>
      </c>
      <c r="F2568" s="72" t="s">
        <v>78</v>
      </c>
      <c r="G2568" s="72" t="s">
        <v>71</v>
      </c>
      <c r="H2568" s="72" t="s">
        <v>72</v>
      </c>
    </row>
    <row r="2569" spans="1:8" x14ac:dyDescent="0.25">
      <c r="A2569" s="72" t="s">
        <v>1929</v>
      </c>
      <c r="B2569" s="72" t="s">
        <v>439</v>
      </c>
      <c r="C2569" s="73">
        <v>60</v>
      </c>
      <c r="D2569" s="73">
        <v>1768084.3485049203</v>
      </c>
      <c r="E2569" s="72">
        <v>194489.27833554125</v>
      </c>
      <c r="F2569" s="72" t="s">
        <v>70</v>
      </c>
      <c r="G2569" s="72" t="s">
        <v>71</v>
      </c>
      <c r="H2569" s="72" t="s">
        <v>72</v>
      </c>
    </row>
    <row r="2570" spans="1:8" x14ac:dyDescent="0.25">
      <c r="A2570" s="72" t="s">
        <v>4409</v>
      </c>
      <c r="B2570" s="72" t="s">
        <v>73</v>
      </c>
      <c r="C2570" s="73">
        <v>60</v>
      </c>
      <c r="D2570" s="73">
        <v>1292049.9894734172</v>
      </c>
      <c r="E2570" s="72">
        <v>51681.999578936688</v>
      </c>
      <c r="F2570" s="72" t="s">
        <v>106</v>
      </c>
      <c r="G2570" s="72" t="s">
        <v>71</v>
      </c>
      <c r="H2570" s="72" t="s">
        <v>72</v>
      </c>
    </row>
    <row r="2571" spans="1:8" x14ac:dyDescent="0.25">
      <c r="A2571" s="72" t="s">
        <v>4026</v>
      </c>
      <c r="B2571" s="72" t="s">
        <v>149</v>
      </c>
      <c r="C2571" s="73">
        <v>60</v>
      </c>
      <c r="D2571" s="73">
        <v>1312706.8428561501</v>
      </c>
      <c r="E2571" s="72">
        <v>65635.342142807509</v>
      </c>
      <c r="F2571" s="72" t="s">
        <v>70</v>
      </c>
      <c r="G2571" s="72" t="s">
        <v>71</v>
      </c>
      <c r="H2571" s="72" t="s">
        <v>72</v>
      </c>
    </row>
    <row r="2572" spans="1:8" x14ac:dyDescent="0.25">
      <c r="A2572" s="72" t="s">
        <v>3540</v>
      </c>
      <c r="B2572" s="72" t="s">
        <v>391</v>
      </c>
      <c r="C2572" s="73">
        <v>60</v>
      </c>
      <c r="D2572" s="73">
        <v>1436228.297887434</v>
      </c>
      <c r="E2572" s="72">
        <v>86173.697873246056</v>
      </c>
      <c r="F2572" s="72" t="s">
        <v>70</v>
      </c>
      <c r="G2572" s="72" t="s">
        <v>71</v>
      </c>
      <c r="H2572" s="72" t="s">
        <v>72</v>
      </c>
    </row>
    <row r="2573" spans="1:8" x14ac:dyDescent="0.25">
      <c r="A2573" s="43" t="s">
        <v>1930</v>
      </c>
      <c r="B2573" s="43" t="s">
        <v>73</v>
      </c>
      <c r="C2573" s="46">
        <v>60</v>
      </c>
      <c r="D2573" s="46">
        <v>1768084.3485049203</v>
      </c>
      <c r="E2573" s="43">
        <v>194489.27833554125</v>
      </c>
      <c r="F2573" s="43" t="s">
        <v>70</v>
      </c>
      <c r="G2573" s="43" t="s">
        <v>71</v>
      </c>
      <c r="H2573" s="43" t="s">
        <v>72</v>
      </c>
    </row>
    <row r="2574" spans="1:8" x14ac:dyDescent="0.25">
      <c r="A2574" s="72" t="s">
        <v>2186</v>
      </c>
      <c r="B2574" s="72" t="s">
        <v>73</v>
      </c>
      <c r="C2574" s="73">
        <v>60</v>
      </c>
      <c r="D2574" s="73">
        <v>1717736.0411997517</v>
      </c>
      <c r="E2574" s="72">
        <v>171773.60411997518</v>
      </c>
      <c r="F2574" s="72" t="s">
        <v>70</v>
      </c>
      <c r="G2574" s="72" t="s">
        <v>71</v>
      </c>
      <c r="H2574" s="72" t="s">
        <v>72</v>
      </c>
    </row>
    <row r="2575" spans="1:8" x14ac:dyDescent="0.25">
      <c r="A2575" s="72" t="s">
        <v>3044</v>
      </c>
      <c r="B2575" s="72" t="s">
        <v>90</v>
      </c>
      <c r="C2575" s="73">
        <v>60</v>
      </c>
      <c r="D2575" s="73">
        <v>1428123.3533161017</v>
      </c>
      <c r="E2575" s="72">
        <v>114249.86826528814</v>
      </c>
      <c r="F2575" s="72" t="s">
        <v>106</v>
      </c>
      <c r="G2575" s="72" t="s">
        <v>71</v>
      </c>
      <c r="H2575" s="72" t="s">
        <v>72</v>
      </c>
    </row>
    <row r="2576" spans="1:8" x14ac:dyDescent="0.25">
      <c r="A2576" s="72" t="s">
        <v>1975</v>
      </c>
      <c r="B2576" s="72" t="s">
        <v>92</v>
      </c>
      <c r="C2576" s="73">
        <v>60</v>
      </c>
      <c r="D2576" s="73">
        <v>1732603.3631851245</v>
      </c>
      <c r="E2576" s="72">
        <v>190586.3699503637</v>
      </c>
      <c r="F2576" s="72" t="s">
        <v>84</v>
      </c>
      <c r="G2576" s="72" t="s">
        <v>71</v>
      </c>
      <c r="H2576" s="72" t="s">
        <v>72</v>
      </c>
    </row>
    <row r="2577" spans="1:8" x14ac:dyDescent="0.25">
      <c r="A2577" s="72" t="s">
        <v>4763</v>
      </c>
      <c r="B2577" s="72" t="s">
        <v>73</v>
      </c>
      <c r="C2577" s="73">
        <v>60</v>
      </c>
      <c r="D2577" s="73">
        <v>1220367.4397407793</v>
      </c>
      <c r="E2577" s="72">
        <v>36611.023192223387</v>
      </c>
      <c r="F2577" s="72" t="s">
        <v>106</v>
      </c>
      <c r="G2577" s="72" t="s">
        <v>71</v>
      </c>
      <c r="H2577" s="72" t="s">
        <v>72</v>
      </c>
    </row>
    <row r="2578" spans="1:8" x14ac:dyDescent="0.25">
      <c r="A2578" s="43" t="s">
        <v>1436</v>
      </c>
      <c r="B2578" s="43" t="s">
        <v>73</v>
      </c>
      <c r="C2578" s="46">
        <v>60</v>
      </c>
      <c r="D2578" s="46">
        <v>1857125.169513745</v>
      </c>
      <c r="E2578" s="43">
        <v>241426.27203678686</v>
      </c>
      <c r="F2578" s="43" t="s">
        <v>70</v>
      </c>
      <c r="G2578" s="43" t="s">
        <v>71</v>
      </c>
      <c r="H2578" s="43" t="s">
        <v>72</v>
      </c>
    </row>
    <row r="2579" spans="1:8" x14ac:dyDescent="0.25">
      <c r="A2579" s="72" t="s">
        <v>1170</v>
      </c>
      <c r="B2579" s="72" t="s">
        <v>265</v>
      </c>
      <c r="C2579" s="73">
        <v>60</v>
      </c>
      <c r="D2579" s="73">
        <v>1954514.3807184484</v>
      </c>
      <c r="E2579" s="72">
        <v>273632.01330058277</v>
      </c>
      <c r="F2579" s="72" t="s">
        <v>78</v>
      </c>
      <c r="G2579" s="72" t="s">
        <v>71</v>
      </c>
      <c r="H2579" s="72" t="s">
        <v>72</v>
      </c>
    </row>
    <row r="2580" spans="1:8" x14ac:dyDescent="0.25">
      <c r="A2580" s="72" t="s">
        <v>1854</v>
      </c>
      <c r="B2580" s="72" t="s">
        <v>93</v>
      </c>
      <c r="C2580" s="73">
        <v>60</v>
      </c>
      <c r="D2580" s="73">
        <v>1834517.6533162235</v>
      </c>
      <c r="E2580" s="72">
        <v>201796.9418647846</v>
      </c>
      <c r="F2580" s="72" t="s">
        <v>87</v>
      </c>
      <c r="G2580" s="72" t="s">
        <v>71</v>
      </c>
      <c r="H2580" s="72" t="s">
        <v>88</v>
      </c>
    </row>
    <row r="2581" spans="1:8" x14ac:dyDescent="0.25">
      <c r="A2581" s="72" t="s">
        <v>2096</v>
      </c>
      <c r="B2581" s="72" t="s">
        <v>554</v>
      </c>
      <c r="C2581" s="73">
        <v>60</v>
      </c>
      <c r="D2581" s="73">
        <v>1502325.0670306776</v>
      </c>
      <c r="E2581" s="72">
        <v>180279.0080436813</v>
      </c>
      <c r="F2581" s="72" t="s">
        <v>106</v>
      </c>
      <c r="G2581" s="72" t="s">
        <v>71</v>
      </c>
      <c r="H2581" s="72" t="s">
        <v>72</v>
      </c>
    </row>
    <row r="2582" spans="1:8" x14ac:dyDescent="0.25">
      <c r="A2582" s="72" t="s">
        <v>1394</v>
      </c>
      <c r="B2582" s="72" t="s">
        <v>97</v>
      </c>
      <c r="C2582" s="73">
        <v>60</v>
      </c>
      <c r="D2582" s="73">
        <v>1896723.6641432277</v>
      </c>
      <c r="E2582" s="72">
        <v>246574.0763386196</v>
      </c>
      <c r="F2582" s="72" t="s">
        <v>87</v>
      </c>
      <c r="G2582" s="72" t="s">
        <v>71</v>
      </c>
      <c r="H2582" s="72" t="s">
        <v>88</v>
      </c>
    </row>
    <row r="2583" spans="1:8" x14ac:dyDescent="0.25">
      <c r="A2583" s="72" t="s">
        <v>1931</v>
      </c>
      <c r="B2583" s="72" t="s">
        <v>107</v>
      </c>
      <c r="C2583" s="73">
        <v>60</v>
      </c>
      <c r="D2583" s="73">
        <v>1768084.3485049203</v>
      </c>
      <c r="E2583" s="72">
        <v>194489.27833554125</v>
      </c>
      <c r="F2583" s="72" t="s">
        <v>70</v>
      </c>
      <c r="G2583" s="72" t="s">
        <v>71</v>
      </c>
      <c r="H2583" s="72" t="s">
        <v>72</v>
      </c>
    </row>
    <row r="2584" spans="1:8" x14ac:dyDescent="0.25">
      <c r="A2584" s="43" t="s">
        <v>3616</v>
      </c>
      <c r="B2584" s="43" t="s">
        <v>139</v>
      </c>
      <c r="C2584" s="46">
        <v>60</v>
      </c>
      <c r="D2584" s="46">
        <v>1374391.6164332912</v>
      </c>
      <c r="E2584" s="43">
        <v>82463.496985997495</v>
      </c>
      <c r="F2584" s="43" t="s">
        <v>106</v>
      </c>
      <c r="G2584" s="43" t="s">
        <v>71</v>
      </c>
      <c r="H2584" s="43" t="s">
        <v>72</v>
      </c>
    </row>
    <row r="2585" spans="1:8" x14ac:dyDescent="0.25">
      <c r="A2585" s="43" t="s">
        <v>1976</v>
      </c>
      <c r="B2585" s="43" t="s">
        <v>1977</v>
      </c>
      <c r="C2585" s="46">
        <v>60</v>
      </c>
      <c r="D2585" s="46">
        <v>1732603.3631851245</v>
      </c>
      <c r="E2585" s="43">
        <v>190586.3699503637</v>
      </c>
      <c r="F2585" s="43" t="s">
        <v>84</v>
      </c>
      <c r="G2585" s="43" t="s">
        <v>71</v>
      </c>
      <c r="H2585" s="43" t="s">
        <v>72</v>
      </c>
    </row>
    <row r="2586" spans="1:8" x14ac:dyDescent="0.25">
      <c r="A2586" s="72" t="s">
        <v>3348</v>
      </c>
      <c r="B2586" s="72" t="s">
        <v>73</v>
      </c>
      <c r="C2586" s="73">
        <v>60</v>
      </c>
      <c r="D2586" s="73">
        <v>1605486.7162107627</v>
      </c>
      <c r="E2586" s="72">
        <v>96329.202972645755</v>
      </c>
      <c r="F2586" s="72" t="s">
        <v>87</v>
      </c>
      <c r="G2586" s="72" t="s">
        <v>71</v>
      </c>
      <c r="H2586" s="72" t="s">
        <v>88</v>
      </c>
    </row>
    <row r="2587" spans="1:8" x14ac:dyDescent="0.25">
      <c r="A2587" s="43" t="s">
        <v>3479</v>
      </c>
      <c r="B2587" s="43" t="s">
        <v>337</v>
      </c>
      <c r="C2587" s="46">
        <v>60</v>
      </c>
      <c r="D2587" s="46">
        <v>1481581.6840600763</v>
      </c>
      <c r="E2587" s="43">
        <v>88894.901043604594</v>
      </c>
      <c r="F2587" s="43" t="s">
        <v>78</v>
      </c>
      <c r="G2587" s="43" t="s">
        <v>71</v>
      </c>
      <c r="H2587" s="43" t="s">
        <v>72</v>
      </c>
    </row>
    <row r="2588" spans="1:8" x14ac:dyDescent="0.25">
      <c r="A2588" s="43" t="s">
        <v>2845</v>
      </c>
      <c r="B2588" s="43" t="s">
        <v>81</v>
      </c>
      <c r="C2588" s="46">
        <v>60</v>
      </c>
      <c r="D2588" s="46">
        <v>1599215.8349513921</v>
      </c>
      <c r="E2588" s="43">
        <v>127937.26679611138</v>
      </c>
      <c r="F2588" s="43" t="s">
        <v>70</v>
      </c>
      <c r="G2588" s="43" t="s">
        <v>71</v>
      </c>
      <c r="H2588" s="43" t="s">
        <v>72</v>
      </c>
    </row>
    <row r="2589" spans="1:8" x14ac:dyDescent="0.25">
      <c r="A2589" s="43" t="s">
        <v>2187</v>
      </c>
      <c r="B2589" s="43" t="s">
        <v>211</v>
      </c>
      <c r="C2589" s="46">
        <v>60</v>
      </c>
      <c r="D2589" s="46">
        <v>1717736.0411997517</v>
      </c>
      <c r="E2589" s="43">
        <v>171773.60411997518</v>
      </c>
      <c r="F2589" s="43" t="s">
        <v>70</v>
      </c>
      <c r="G2589" s="43" t="s">
        <v>71</v>
      </c>
      <c r="H2589" s="43" t="s">
        <v>72</v>
      </c>
    </row>
    <row r="2590" spans="1:8" x14ac:dyDescent="0.25">
      <c r="A2590" s="43" t="s">
        <v>2539</v>
      </c>
      <c r="B2590" s="43" t="s">
        <v>105</v>
      </c>
      <c r="C2590" s="46">
        <v>60</v>
      </c>
      <c r="D2590" s="46">
        <v>1468977.3078698781</v>
      </c>
      <c r="E2590" s="43">
        <v>146897.73078698781</v>
      </c>
      <c r="F2590" s="43" t="s">
        <v>106</v>
      </c>
      <c r="G2590" s="43" t="s">
        <v>71</v>
      </c>
      <c r="H2590" s="43" t="s">
        <v>72</v>
      </c>
    </row>
    <row r="2591" spans="1:8" x14ac:dyDescent="0.25">
      <c r="A2591" s="72" t="s">
        <v>3010</v>
      </c>
      <c r="B2591" s="72" t="s">
        <v>2486</v>
      </c>
      <c r="C2591" s="73">
        <v>60</v>
      </c>
      <c r="D2591" s="73">
        <v>1665829.895078369</v>
      </c>
      <c r="E2591" s="72">
        <v>116608.09265548582</v>
      </c>
      <c r="F2591" s="72" t="s">
        <v>87</v>
      </c>
      <c r="G2591" s="72" t="s">
        <v>71</v>
      </c>
      <c r="H2591" s="72" t="s">
        <v>88</v>
      </c>
    </row>
    <row r="2592" spans="1:8" x14ac:dyDescent="0.25">
      <c r="A2592" s="72" t="s">
        <v>1218</v>
      </c>
      <c r="B2592" s="72" t="s">
        <v>112</v>
      </c>
      <c r="C2592" s="73">
        <v>60</v>
      </c>
      <c r="D2592" s="73">
        <v>1897200.7022112045</v>
      </c>
      <c r="E2592" s="72">
        <v>265608.0983095686</v>
      </c>
      <c r="F2592" s="72" t="s">
        <v>70</v>
      </c>
      <c r="G2592" s="72" t="s">
        <v>71</v>
      </c>
      <c r="H2592" s="72" t="s">
        <v>72</v>
      </c>
    </row>
    <row r="2593" spans="1:8" x14ac:dyDescent="0.25">
      <c r="A2593" s="72" t="s">
        <v>1437</v>
      </c>
      <c r="B2593" s="72" t="s">
        <v>112</v>
      </c>
      <c r="C2593" s="73">
        <v>60</v>
      </c>
      <c r="D2593" s="73">
        <v>1857125.169513745</v>
      </c>
      <c r="E2593" s="72">
        <v>241426.27203678686</v>
      </c>
      <c r="F2593" s="72" t="s">
        <v>70</v>
      </c>
      <c r="G2593" s="72" t="s">
        <v>71</v>
      </c>
      <c r="H2593" s="72" t="s">
        <v>72</v>
      </c>
    </row>
    <row r="2594" spans="1:8" x14ac:dyDescent="0.25">
      <c r="A2594" s="43" t="s">
        <v>1219</v>
      </c>
      <c r="B2594" s="43" t="s">
        <v>97</v>
      </c>
      <c r="C2594" s="46">
        <v>60</v>
      </c>
      <c r="D2594" s="46">
        <v>1897200.7022112045</v>
      </c>
      <c r="E2594" s="43">
        <v>265608.0983095686</v>
      </c>
      <c r="F2594" s="43" t="s">
        <v>70</v>
      </c>
      <c r="G2594" s="43" t="s">
        <v>71</v>
      </c>
      <c r="H2594" s="43" t="s">
        <v>72</v>
      </c>
    </row>
    <row r="2595" spans="1:8" x14ac:dyDescent="0.25">
      <c r="A2595" s="43" t="s">
        <v>1438</v>
      </c>
      <c r="B2595" s="43" t="s">
        <v>102</v>
      </c>
      <c r="C2595" s="46">
        <v>60</v>
      </c>
      <c r="D2595" s="46">
        <v>1857125.169513745</v>
      </c>
      <c r="E2595" s="43">
        <v>241426.27203678686</v>
      </c>
      <c r="F2595" s="43" t="s">
        <v>70</v>
      </c>
      <c r="G2595" s="43" t="s">
        <v>71</v>
      </c>
      <c r="H2595" s="43" t="s">
        <v>72</v>
      </c>
    </row>
    <row r="2596" spans="1:8" x14ac:dyDescent="0.25">
      <c r="A2596" s="43" t="s">
        <v>1932</v>
      </c>
      <c r="B2596" s="43" t="s">
        <v>102</v>
      </c>
      <c r="C2596" s="46">
        <v>60</v>
      </c>
      <c r="D2596" s="46">
        <v>1768084.3485049203</v>
      </c>
      <c r="E2596" s="43">
        <v>194489.27833554125</v>
      </c>
      <c r="F2596" s="43" t="s">
        <v>70</v>
      </c>
      <c r="G2596" s="43" t="s">
        <v>71</v>
      </c>
      <c r="H2596" s="43" t="s">
        <v>72</v>
      </c>
    </row>
    <row r="2597" spans="1:8" x14ac:dyDescent="0.25">
      <c r="A2597" s="43" t="s">
        <v>1686</v>
      </c>
      <c r="B2597" s="43" t="s">
        <v>102</v>
      </c>
      <c r="C2597" s="46">
        <v>60</v>
      </c>
      <c r="D2597" s="46">
        <v>1814279.1794646746</v>
      </c>
      <c r="E2597" s="43">
        <v>217713.501535761</v>
      </c>
      <c r="F2597" s="43" t="s">
        <v>70</v>
      </c>
      <c r="G2597" s="43" t="s">
        <v>71</v>
      </c>
      <c r="H2597" s="43" t="s">
        <v>72</v>
      </c>
    </row>
    <row r="2598" spans="1:8" x14ac:dyDescent="0.25">
      <c r="A2598" s="72" t="s">
        <v>1220</v>
      </c>
      <c r="B2598" s="72" t="s">
        <v>107</v>
      </c>
      <c r="C2598" s="73">
        <v>60</v>
      </c>
      <c r="D2598" s="73">
        <v>1897200.7022112045</v>
      </c>
      <c r="E2598" s="72">
        <v>265608.0983095686</v>
      </c>
      <c r="F2598" s="72" t="s">
        <v>70</v>
      </c>
      <c r="G2598" s="72" t="s">
        <v>71</v>
      </c>
      <c r="H2598" s="72" t="s">
        <v>72</v>
      </c>
    </row>
    <row r="2599" spans="1:8" x14ac:dyDescent="0.25">
      <c r="A2599" s="72" t="s">
        <v>3164</v>
      </c>
      <c r="B2599" s="72" t="s">
        <v>85</v>
      </c>
      <c r="C2599" s="73">
        <v>60</v>
      </c>
      <c r="D2599" s="73">
        <v>1526049.8179258681</v>
      </c>
      <c r="E2599" s="72">
        <v>106823.48725481075</v>
      </c>
      <c r="F2599" s="72" t="s">
        <v>70</v>
      </c>
      <c r="G2599" s="72" t="s">
        <v>71</v>
      </c>
      <c r="H2599" s="72" t="s">
        <v>72</v>
      </c>
    </row>
    <row r="2600" spans="1:8" x14ac:dyDescent="0.25">
      <c r="A2600" s="72" t="s">
        <v>1439</v>
      </c>
      <c r="B2600" s="72" t="s">
        <v>97</v>
      </c>
      <c r="C2600" s="73">
        <v>60</v>
      </c>
      <c r="D2600" s="73">
        <v>1857125.169513745</v>
      </c>
      <c r="E2600" s="72">
        <v>241426.27203678686</v>
      </c>
      <c r="F2600" s="72" t="s">
        <v>70</v>
      </c>
      <c r="G2600" s="72" t="s">
        <v>71</v>
      </c>
      <c r="H2600" s="72" t="s">
        <v>72</v>
      </c>
    </row>
    <row r="2601" spans="1:8" x14ac:dyDescent="0.25">
      <c r="A2601" s="72" t="s">
        <v>3766</v>
      </c>
      <c r="B2601" s="72" t="s">
        <v>93</v>
      </c>
      <c r="C2601" s="73">
        <v>60</v>
      </c>
      <c r="D2601" s="73">
        <v>1528812.8592137103</v>
      </c>
      <c r="E2601" s="72">
        <v>76440.642960685524</v>
      </c>
      <c r="F2601" s="72" t="s">
        <v>87</v>
      </c>
      <c r="G2601" s="72" t="s">
        <v>71</v>
      </c>
      <c r="H2601" s="72" t="s">
        <v>88</v>
      </c>
    </row>
    <row r="2602" spans="1:8" x14ac:dyDescent="0.25">
      <c r="A2602" s="72" t="s">
        <v>1687</v>
      </c>
      <c r="B2602" s="72" t="s">
        <v>74</v>
      </c>
      <c r="C2602" s="73">
        <v>60</v>
      </c>
      <c r="D2602" s="73">
        <v>1814279.1794646746</v>
      </c>
      <c r="E2602" s="72">
        <v>217713.501535761</v>
      </c>
      <c r="F2602" s="72" t="s">
        <v>70</v>
      </c>
      <c r="G2602" s="72" t="s">
        <v>71</v>
      </c>
      <c r="H2602" s="72" t="s">
        <v>72</v>
      </c>
    </row>
    <row r="2603" spans="1:8" x14ac:dyDescent="0.25">
      <c r="A2603" s="43" t="s">
        <v>3011</v>
      </c>
      <c r="B2603" s="43" t="s">
        <v>93</v>
      </c>
      <c r="C2603" s="46">
        <v>60</v>
      </c>
      <c r="D2603" s="46">
        <v>1665829.895078369</v>
      </c>
      <c r="E2603" s="43">
        <v>116608.09265548582</v>
      </c>
      <c r="F2603" s="43" t="s">
        <v>87</v>
      </c>
      <c r="G2603" s="43" t="s">
        <v>71</v>
      </c>
      <c r="H2603" s="43" t="s">
        <v>88</v>
      </c>
    </row>
    <row r="2604" spans="1:8" x14ac:dyDescent="0.25">
      <c r="A2604" s="43" t="s">
        <v>2685</v>
      </c>
      <c r="B2604" s="43" t="s">
        <v>73</v>
      </c>
      <c r="C2604" s="46">
        <v>60</v>
      </c>
      <c r="D2604" s="46">
        <v>1716356.8764403649</v>
      </c>
      <c r="E2604" s="43">
        <v>137308.55011522918</v>
      </c>
      <c r="F2604" s="43" t="s">
        <v>87</v>
      </c>
      <c r="G2604" s="43" t="s">
        <v>71</v>
      </c>
      <c r="H2604" s="43" t="s">
        <v>88</v>
      </c>
    </row>
    <row r="2605" spans="1:8" x14ac:dyDescent="0.25">
      <c r="A2605" s="43" t="s">
        <v>3349</v>
      </c>
      <c r="B2605" s="43" t="s">
        <v>265</v>
      </c>
      <c r="C2605" s="46">
        <v>60</v>
      </c>
      <c r="D2605" s="46">
        <v>1605486.7162107627</v>
      </c>
      <c r="E2605" s="43">
        <v>96329.202972645755</v>
      </c>
      <c r="F2605" s="43" t="s">
        <v>87</v>
      </c>
      <c r="G2605" s="43" t="s">
        <v>71</v>
      </c>
      <c r="H2605" s="43" t="s">
        <v>88</v>
      </c>
    </row>
    <row r="2606" spans="1:8" x14ac:dyDescent="0.25">
      <c r="A2606" s="43" t="s">
        <v>3767</v>
      </c>
      <c r="B2606" s="43" t="s">
        <v>77</v>
      </c>
      <c r="C2606" s="46">
        <v>60</v>
      </c>
      <c r="D2606" s="46">
        <v>1528812.8592137103</v>
      </c>
      <c r="E2606" s="43">
        <v>76440.642960685524</v>
      </c>
      <c r="F2606" s="43" t="s">
        <v>87</v>
      </c>
      <c r="G2606" s="43" t="s">
        <v>71</v>
      </c>
      <c r="H2606" s="43" t="s">
        <v>88</v>
      </c>
    </row>
    <row r="2607" spans="1:8" x14ac:dyDescent="0.25">
      <c r="A2607" s="72" t="s">
        <v>3617</v>
      </c>
      <c r="B2607" s="72" t="s">
        <v>75</v>
      </c>
      <c r="C2607" s="73">
        <v>60</v>
      </c>
      <c r="D2607" s="73">
        <v>1374391.6164332912</v>
      </c>
      <c r="E2607" s="72">
        <v>82463.496985997495</v>
      </c>
      <c r="F2607" s="72" t="s">
        <v>106</v>
      </c>
      <c r="G2607" s="72" t="s">
        <v>71</v>
      </c>
      <c r="H2607" s="72" t="s">
        <v>72</v>
      </c>
    </row>
    <row r="2608" spans="1:8" x14ac:dyDescent="0.25">
      <c r="A2608" s="43" t="s">
        <v>3317</v>
      </c>
      <c r="B2608" s="43" t="s">
        <v>257</v>
      </c>
      <c r="C2608" s="46">
        <v>60</v>
      </c>
      <c r="D2608" s="46">
        <v>1403422.5269553887</v>
      </c>
      <c r="E2608" s="43">
        <v>98239.576886877199</v>
      </c>
      <c r="F2608" s="43" t="s">
        <v>106</v>
      </c>
      <c r="G2608" s="43" t="s">
        <v>71</v>
      </c>
      <c r="H2608" s="43" t="s">
        <v>72</v>
      </c>
    </row>
    <row r="2609" spans="1:8" x14ac:dyDescent="0.25">
      <c r="A2609" s="72" t="s">
        <v>2303</v>
      </c>
      <c r="B2609" s="72" t="s">
        <v>257</v>
      </c>
      <c r="C2609" s="73">
        <v>60</v>
      </c>
      <c r="D2609" s="73">
        <v>1486393.9051829325</v>
      </c>
      <c r="E2609" s="72">
        <v>163503.32957012259</v>
      </c>
      <c r="F2609" s="72" t="s">
        <v>106</v>
      </c>
      <c r="G2609" s="72" t="s">
        <v>71</v>
      </c>
      <c r="H2609" s="72" t="s">
        <v>72</v>
      </c>
    </row>
    <row r="2610" spans="1:8" x14ac:dyDescent="0.25">
      <c r="A2610" s="43" t="s">
        <v>3541</v>
      </c>
      <c r="B2610" s="43" t="s">
        <v>93</v>
      </c>
      <c r="C2610" s="46">
        <v>60</v>
      </c>
      <c r="D2610" s="46">
        <v>1436228.297887434</v>
      </c>
      <c r="E2610" s="43">
        <v>86173.697873246056</v>
      </c>
      <c r="F2610" s="43" t="s">
        <v>70</v>
      </c>
      <c r="G2610" s="43" t="s">
        <v>71</v>
      </c>
      <c r="H2610" s="43" t="s">
        <v>72</v>
      </c>
    </row>
    <row r="2611" spans="1:8" x14ac:dyDescent="0.25">
      <c r="A2611" s="72" t="s">
        <v>1933</v>
      </c>
      <c r="B2611" s="72" t="s">
        <v>73</v>
      </c>
      <c r="C2611" s="73">
        <v>60</v>
      </c>
      <c r="D2611" s="73">
        <v>1768084.3485049203</v>
      </c>
      <c r="E2611" s="72">
        <v>194489.27833554125</v>
      </c>
      <c r="F2611" s="72" t="s">
        <v>70</v>
      </c>
      <c r="G2611" s="72" t="s">
        <v>71</v>
      </c>
      <c r="H2611" s="72" t="s">
        <v>72</v>
      </c>
    </row>
    <row r="2612" spans="1:8" x14ac:dyDescent="0.25">
      <c r="A2612" s="72" t="s">
        <v>3768</v>
      </c>
      <c r="B2612" s="72" t="s">
        <v>202</v>
      </c>
      <c r="C2612" s="73">
        <v>60</v>
      </c>
      <c r="D2612" s="73">
        <v>1528812.8592137103</v>
      </c>
      <c r="E2612" s="72">
        <v>76440.642960685524</v>
      </c>
      <c r="F2612" s="72" t="s">
        <v>87</v>
      </c>
      <c r="G2612" s="72" t="s">
        <v>71</v>
      </c>
      <c r="H2612" s="72" t="s">
        <v>88</v>
      </c>
    </row>
    <row r="2613" spans="1:8" x14ac:dyDescent="0.25">
      <c r="A2613" s="43" t="s">
        <v>2097</v>
      </c>
      <c r="B2613" s="43" t="s">
        <v>75</v>
      </c>
      <c r="C2613" s="46">
        <v>60</v>
      </c>
      <c r="D2613" s="46">
        <v>1502325.0670306776</v>
      </c>
      <c r="E2613" s="43">
        <v>180279.0080436813</v>
      </c>
      <c r="F2613" s="43" t="s">
        <v>106</v>
      </c>
      <c r="G2613" s="43" t="s">
        <v>71</v>
      </c>
      <c r="H2613" s="43" t="s">
        <v>72</v>
      </c>
    </row>
    <row r="2614" spans="1:8" x14ac:dyDescent="0.25">
      <c r="A2614" s="72" t="s">
        <v>2461</v>
      </c>
      <c r="B2614" s="72" t="s">
        <v>75</v>
      </c>
      <c r="C2614" s="73">
        <v>59</v>
      </c>
      <c r="D2614" s="73">
        <v>1683739.3244112805</v>
      </c>
      <c r="E2614" s="72">
        <v>151536.53919701523</v>
      </c>
      <c r="F2614" s="72" t="s">
        <v>78</v>
      </c>
      <c r="G2614" s="72" t="s">
        <v>71</v>
      </c>
      <c r="H2614" s="72" t="s">
        <v>72</v>
      </c>
    </row>
    <row r="2615" spans="1:8" x14ac:dyDescent="0.25">
      <c r="A2615" s="43" t="s">
        <v>1968</v>
      </c>
      <c r="B2615" s="43" t="s">
        <v>75</v>
      </c>
      <c r="C2615" s="46">
        <v>59</v>
      </c>
      <c r="D2615" s="46">
        <v>1737774.3693037808</v>
      </c>
      <c r="E2615" s="43">
        <v>191155.18062341592</v>
      </c>
      <c r="F2615" s="43" t="s">
        <v>70</v>
      </c>
      <c r="G2615" s="43" t="s">
        <v>71</v>
      </c>
      <c r="H2615" s="43" t="s">
        <v>72</v>
      </c>
    </row>
    <row r="2616" spans="1:8" x14ac:dyDescent="0.25">
      <c r="A2616" s="43" t="s">
        <v>2563</v>
      </c>
      <c r="B2616" s="43" t="s">
        <v>75</v>
      </c>
      <c r="C2616" s="46">
        <v>59</v>
      </c>
      <c r="D2616" s="46">
        <v>1443663.9502191087</v>
      </c>
      <c r="E2616" s="43">
        <v>144366.39502191087</v>
      </c>
      <c r="F2616" s="43" t="s">
        <v>106</v>
      </c>
      <c r="G2616" s="43" t="s">
        <v>71</v>
      </c>
      <c r="H2616" s="43" t="s">
        <v>72</v>
      </c>
    </row>
    <row r="2617" spans="1:8" x14ac:dyDescent="0.25">
      <c r="A2617" s="72" t="s">
        <v>2564</v>
      </c>
      <c r="B2617" s="72" t="s">
        <v>77</v>
      </c>
      <c r="C2617" s="73">
        <v>59</v>
      </c>
      <c r="D2617" s="73">
        <v>1443663.9502191087</v>
      </c>
      <c r="E2617" s="72">
        <v>144366.39502191087</v>
      </c>
      <c r="F2617" s="72" t="s">
        <v>106</v>
      </c>
      <c r="G2617" s="72" t="s">
        <v>71</v>
      </c>
      <c r="H2617" s="72" t="s">
        <v>72</v>
      </c>
    </row>
    <row r="2618" spans="1:8" x14ac:dyDescent="0.25">
      <c r="A2618" s="43" t="s">
        <v>2535</v>
      </c>
      <c r="B2618" s="43" t="s">
        <v>73</v>
      </c>
      <c r="C2618" s="46">
        <v>59</v>
      </c>
      <c r="D2618" s="46">
        <v>1633515.7144685104</v>
      </c>
      <c r="E2618" s="43">
        <v>147016.41430216594</v>
      </c>
      <c r="F2618" s="43" t="s">
        <v>70</v>
      </c>
      <c r="G2618" s="43" t="s">
        <v>71</v>
      </c>
      <c r="H2618" s="43" t="s">
        <v>72</v>
      </c>
    </row>
    <row r="2619" spans="1:8" x14ac:dyDescent="0.25">
      <c r="A2619" s="72" t="s">
        <v>2132</v>
      </c>
      <c r="B2619" s="72" t="s">
        <v>93</v>
      </c>
      <c r="C2619" s="73">
        <v>59</v>
      </c>
      <c r="D2619" s="73">
        <v>1768521.6237574071</v>
      </c>
      <c r="E2619" s="72">
        <v>176852.16237574071</v>
      </c>
      <c r="F2619" s="72" t="s">
        <v>87</v>
      </c>
      <c r="G2619" s="72" t="s">
        <v>71</v>
      </c>
      <c r="H2619" s="72" t="s">
        <v>88</v>
      </c>
    </row>
    <row r="2620" spans="1:8" x14ac:dyDescent="0.25">
      <c r="A2620" s="72" t="s">
        <v>3379</v>
      </c>
      <c r="B2620" s="72" t="s">
        <v>77</v>
      </c>
      <c r="C2620" s="73">
        <v>59</v>
      </c>
      <c r="D2620" s="73">
        <v>1578001.1045212478</v>
      </c>
      <c r="E2620" s="72">
        <v>94680.06627127486</v>
      </c>
      <c r="F2620" s="72" t="s">
        <v>87</v>
      </c>
      <c r="G2620" s="72" t="s">
        <v>71</v>
      </c>
      <c r="H2620" s="72" t="s">
        <v>88</v>
      </c>
    </row>
    <row r="2621" spans="1:8" x14ac:dyDescent="0.25">
      <c r="A2621" s="72" t="s">
        <v>2871</v>
      </c>
      <c r="B2621" s="72" t="s">
        <v>211</v>
      </c>
      <c r="C2621" s="73">
        <v>59</v>
      </c>
      <c r="D2621" s="73">
        <v>1571720.3309761451</v>
      </c>
      <c r="E2621" s="72">
        <v>125737.62647809161</v>
      </c>
      <c r="F2621" s="72" t="s">
        <v>70</v>
      </c>
      <c r="G2621" s="72" t="s">
        <v>71</v>
      </c>
      <c r="H2621" s="72" t="s">
        <v>72</v>
      </c>
    </row>
    <row r="2622" spans="1:8" x14ac:dyDescent="0.25">
      <c r="A2622" s="72" t="s">
        <v>2536</v>
      </c>
      <c r="B2622" s="72" t="s">
        <v>113</v>
      </c>
      <c r="C2622" s="73">
        <v>59</v>
      </c>
      <c r="D2622" s="73">
        <v>1633515.7144685104</v>
      </c>
      <c r="E2622" s="72">
        <v>147016.41430216594</v>
      </c>
      <c r="F2622" s="72" t="s">
        <v>70</v>
      </c>
      <c r="G2622" s="72" t="s">
        <v>71</v>
      </c>
      <c r="H2622" s="72" t="s">
        <v>72</v>
      </c>
    </row>
    <row r="2623" spans="1:8" x14ac:dyDescent="0.25">
      <c r="A2623" s="43" t="s">
        <v>1716</v>
      </c>
      <c r="B2623" s="43" t="s">
        <v>211</v>
      </c>
      <c r="C2623" s="46">
        <v>59</v>
      </c>
      <c r="D2623" s="46">
        <v>1783199.286414206</v>
      </c>
      <c r="E2623" s="43">
        <v>213983.91436970475</v>
      </c>
      <c r="F2623" s="43" t="s">
        <v>70</v>
      </c>
      <c r="G2623" s="43" t="s">
        <v>71</v>
      </c>
      <c r="H2623" s="43" t="s">
        <v>72</v>
      </c>
    </row>
    <row r="2624" spans="1:8" x14ac:dyDescent="0.25">
      <c r="A2624" s="43" t="s">
        <v>1643</v>
      </c>
      <c r="B2624" s="43" t="s">
        <v>75</v>
      </c>
      <c r="C2624" s="46">
        <v>59</v>
      </c>
      <c r="D2624" s="46">
        <v>1837306.5546006497</v>
      </c>
      <c r="E2624" s="43">
        <v>220476.786552078</v>
      </c>
      <c r="F2624" s="43" t="s">
        <v>78</v>
      </c>
      <c r="G2624" s="43" t="s">
        <v>71</v>
      </c>
      <c r="H2624" s="43" t="s">
        <v>72</v>
      </c>
    </row>
    <row r="2625" spans="1:8" x14ac:dyDescent="0.25">
      <c r="A2625" s="72" t="s">
        <v>1893</v>
      </c>
      <c r="B2625" s="72" t="s">
        <v>73</v>
      </c>
      <c r="C2625" s="73">
        <v>59</v>
      </c>
      <c r="D2625" s="73">
        <v>1803214.8593416174</v>
      </c>
      <c r="E2625" s="72">
        <v>198353.63452757793</v>
      </c>
      <c r="F2625" s="72" t="s">
        <v>87</v>
      </c>
      <c r="G2625" s="72" t="s">
        <v>71</v>
      </c>
      <c r="H2625" s="72" t="s">
        <v>88</v>
      </c>
    </row>
    <row r="2626" spans="1:8" x14ac:dyDescent="0.25">
      <c r="A2626" s="72" t="s">
        <v>3190</v>
      </c>
      <c r="B2626" s="72" t="s">
        <v>97</v>
      </c>
      <c r="C2626" s="73">
        <v>59</v>
      </c>
      <c r="D2626" s="73">
        <v>1499773.747567713</v>
      </c>
      <c r="E2626" s="72">
        <v>104984.16232973991</v>
      </c>
      <c r="F2626" s="72" t="s">
        <v>70</v>
      </c>
      <c r="G2626" s="72" t="s">
        <v>71</v>
      </c>
      <c r="H2626" s="72" t="s">
        <v>72</v>
      </c>
    </row>
    <row r="2627" spans="1:8" x14ac:dyDescent="0.25">
      <c r="A2627" s="72" t="s">
        <v>1491</v>
      </c>
      <c r="B2627" s="72" t="s">
        <v>73</v>
      </c>
      <c r="C2627" s="73">
        <v>59</v>
      </c>
      <c r="D2627" s="73">
        <v>1825331.1766291254</v>
      </c>
      <c r="E2627" s="72">
        <v>237293.05296178631</v>
      </c>
      <c r="F2627" s="72" t="s">
        <v>70</v>
      </c>
      <c r="G2627" s="72" t="s">
        <v>71</v>
      </c>
      <c r="H2627" s="72" t="s">
        <v>72</v>
      </c>
    </row>
    <row r="2628" spans="1:8" x14ac:dyDescent="0.25">
      <c r="A2628" s="43" t="s">
        <v>3380</v>
      </c>
      <c r="B2628" s="43" t="s">
        <v>73</v>
      </c>
      <c r="C2628" s="46">
        <v>59</v>
      </c>
      <c r="D2628" s="46">
        <v>1578001.1045212478</v>
      </c>
      <c r="E2628" s="43">
        <v>94680.06627127486</v>
      </c>
      <c r="F2628" s="43" t="s">
        <v>87</v>
      </c>
      <c r="G2628" s="43" t="s">
        <v>71</v>
      </c>
      <c r="H2628" s="43" t="s">
        <v>88</v>
      </c>
    </row>
    <row r="2629" spans="1:8" x14ac:dyDescent="0.25">
      <c r="A2629" s="72" t="s">
        <v>4063</v>
      </c>
      <c r="B2629" s="72" t="s">
        <v>77</v>
      </c>
      <c r="C2629" s="73">
        <v>59</v>
      </c>
      <c r="D2629" s="73">
        <v>1289986.4887491569</v>
      </c>
      <c r="E2629" s="72">
        <v>64499.32443745785</v>
      </c>
      <c r="F2629" s="72" t="s">
        <v>70</v>
      </c>
      <c r="G2629" s="72" t="s">
        <v>71</v>
      </c>
      <c r="H2629" s="72" t="s">
        <v>72</v>
      </c>
    </row>
    <row r="2630" spans="1:8" x14ac:dyDescent="0.25">
      <c r="A2630" s="43" t="s">
        <v>2537</v>
      </c>
      <c r="B2630" s="43" t="s">
        <v>77</v>
      </c>
      <c r="C2630" s="46">
        <v>59</v>
      </c>
      <c r="D2630" s="46">
        <v>1633515.7144685104</v>
      </c>
      <c r="E2630" s="43">
        <v>147016.41430216594</v>
      </c>
      <c r="F2630" s="43" t="s">
        <v>70</v>
      </c>
      <c r="G2630" s="43" t="s">
        <v>71</v>
      </c>
      <c r="H2630" s="43" t="s">
        <v>72</v>
      </c>
    </row>
    <row r="2631" spans="1:8" x14ac:dyDescent="0.25">
      <c r="A2631" s="43" t="s">
        <v>2813</v>
      </c>
      <c r="B2631" s="43" t="s">
        <v>77</v>
      </c>
      <c r="C2631" s="46">
        <v>59</v>
      </c>
      <c r="D2631" s="46">
        <v>1620340.6109916458</v>
      </c>
      <c r="E2631" s="43">
        <v>129627.24887933167</v>
      </c>
      <c r="F2631" s="43" t="s">
        <v>78</v>
      </c>
      <c r="G2631" s="43" t="s">
        <v>71</v>
      </c>
      <c r="H2631" s="43" t="s">
        <v>72</v>
      </c>
    </row>
    <row r="2632" spans="1:8" x14ac:dyDescent="0.25">
      <c r="A2632" s="72" t="s">
        <v>1969</v>
      </c>
      <c r="B2632" s="72" t="s">
        <v>97</v>
      </c>
      <c r="C2632" s="73">
        <v>59</v>
      </c>
      <c r="D2632" s="73">
        <v>1737774.3693037808</v>
      </c>
      <c r="E2632" s="72">
        <v>191155.18062341592</v>
      </c>
      <c r="F2632" s="72" t="s">
        <v>70</v>
      </c>
      <c r="G2632" s="72" t="s">
        <v>71</v>
      </c>
      <c r="H2632" s="72" t="s">
        <v>72</v>
      </c>
    </row>
    <row r="2633" spans="1:8" x14ac:dyDescent="0.25">
      <c r="A2633" s="72" t="s">
        <v>4296</v>
      </c>
      <c r="B2633" s="72" t="s">
        <v>93</v>
      </c>
      <c r="C2633" s="73">
        <v>59</v>
      </c>
      <c r="D2633" s="73">
        <v>1393167.6030134941</v>
      </c>
      <c r="E2633" s="72">
        <v>55726.704120539762</v>
      </c>
      <c r="F2633" s="72" t="s">
        <v>87</v>
      </c>
      <c r="G2633" s="72" t="s">
        <v>71</v>
      </c>
      <c r="H2633" s="72" t="s">
        <v>88</v>
      </c>
    </row>
    <row r="2634" spans="1:8" x14ac:dyDescent="0.25">
      <c r="A2634" s="72" t="s">
        <v>3792</v>
      </c>
      <c r="B2634" s="72" t="s">
        <v>97</v>
      </c>
      <c r="C2634" s="73">
        <v>59</v>
      </c>
      <c r="D2634" s="73">
        <v>1502605.1451408132</v>
      </c>
      <c r="E2634" s="72">
        <v>75130.257257040663</v>
      </c>
      <c r="F2634" s="72" t="s">
        <v>87</v>
      </c>
      <c r="G2634" s="72" t="s">
        <v>71</v>
      </c>
      <c r="H2634" s="72" t="s">
        <v>88</v>
      </c>
    </row>
    <row r="2635" spans="1:8" x14ac:dyDescent="0.25">
      <c r="A2635" s="43" t="s">
        <v>3191</v>
      </c>
      <c r="B2635" s="43" t="s">
        <v>74</v>
      </c>
      <c r="C2635" s="46">
        <v>59</v>
      </c>
      <c r="D2635" s="46">
        <v>1499773.747567713</v>
      </c>
      <c r="E2635" s="43">
        <v>104984.16232973991</v>
      </c>
      <c r="F2635" s="43" t="s">
        <v>70</v>
      </c>
      <c r="G2635" s="43" t="s">
        <v>71</v>
      </c>
      <c r="H2635" s="43" t="s">
        <v>72</v>
      </c>
    </row>
    <row r="2636" spans="1:8" x14ac:dyDescent="0.25">
      <c r="A2636" s="43" t="s">
        <v>1430</v>
      </c>
      <c r="B2636" s="43" t="s">
        <v>73</v>
      </c>
      <c r="C2636" s="46">
        <v>59</v>
      </c>
      <c r="D2636" s="46">
        <v>1864384.103321505</v>
      </c>
      <c r="E2636" s="43">
        <v>242369.93343179565</v>
      </c>
      <c r="F2636" s="43" t="s">
        <v>87</v>
      </c>
      <c r="G2636" s="43" t="s">
        <v>71</v>
      </c>
      <c r="H2636" s="43" t="s">
        <v>88</v>
      </c>
    </row>
    <row r="2637" spans="1:8" x14ac:dyDescent="0.25">
      <c r="A2637" s="72" t="s">
        <v>4103</v>
      </c>
      <c r="B2637" s="72" t="s">
        <v>211</v>
      </c>
      <c r="C2637" s="73">
        <v>58</v>
      </c>
      <c r="D2637" s="73">
        <v>1267295.4389945099</v>
      </c>
      <c r="E2637" s="72">
        <v>63364.771949725495</v>
      </c>
      <c r="F2637" s="72" t="s">
        <v>70</v>
      </c>
      <c r="G2637" s="72" t="s">
        <v>71</v>
      </c>
      <c r="H2637" s="72" t="s">
        <v>72</v>
      </c>
    </row>
    <row r="2638" spans="1:8" x14ac:dyDescent="0.25">
      <c r="A2638" s="72" t="s">
        <v>1701</v>
      </c>
      <c r="B2638" s="72" t="s">
        <v>176</v>
      </c>
      <c r="C2638" s="73">
        <v>58</v>
      </c>
      <c r="D2638" s="73">
        <v>1803175.4467420992</v>
      </c>
      <c r="E2638" s="72">
        <v>216381.05360905189</v>
      </c>
      <c r="F2638" s="72" t="s">
        <v>87</v>
      </c>
      <c r="G2638" s="72" t="s">
        <v>71</v>
      </c>
      <c r="H2638" s="72" t="s">
        <v>88</v>
      </c>
    </row>
    <row r="2639" spans="1:8" x14ac:dyDescent="0.25">
      <c r="A2639" s="43" t="s">
        <v>1762</v>
      </c>
      <c r="B2639" s="43" t="s">
        <v>77</v>
      </c>
      <c r="C2639" s="46">
        <v>58</v>
      </c>
      <c r="D2639" s="46">
        <v>1752148.6977160838</v>
      </c>
      <c r="E2639" s="43">
        <v>210257.84372593011</v>
      </c>
      <c r="F2639" s="43" t="s">
        <v>70</v>
      </c>
      <c r="G2639" s="43" t="s">
        <v>71</v>
      </c>
      <c r="H2639" s="43" t="s">
        <v>72</v>
      </c>
    </row>
    <row r="2640" spans="1:8" x14ac:dyDescent="0.25">
      <c r="A2640" s="43" t="s">
        <v>4104</v>
      </c>
      <c r="B2640" s="43" t="s">
        <v>112</v>
      </c>
      <c r="C2640" s="46">
        <v>58</v>
      </c>
      <c r="D2640" s="46">
        <v>1267295.4389945099</v>
      </c>
      <c r="E2640" s="43">
        <v>63364.771949725495</v>
      </c>
      <c r="F2640" s="43" t="s">
        <v>70</v>
      </c>
      <c r="G2640" s="43" t="s">
        <v>71</v>
      </c>
      <c r="H2640" s="43" t="s">
        <v>72</v>
      </c>
    </row>
    <row r="2641" spans="1:8" x14ac:dyDescent="0.25">
      <c r="A2641" s="72" t="s">
        <v>1763</v>
      </c>
      <c r="B2641" s="72" t="s">
        <v>97</v>
      </c>
      <c r="C2641" s="73">
        <v>58</v>
      </c>
      <c r="D2641" s="73">
        <v>1752148.6977160838</v>
      </c>
      <c r="E2641" s="72">
        <v>210257.84372593011</v>
      </c>
      <c r="F2641" s="72" t="s">
        <v>70</v>
      </c>
      <c r="G2641" s="72" t="s">
        <v>71</v>
      </c>
      <c r="H2641" s="72" t="s">
        <v>72</v>
      </c>
    </row>
    <row r="2642" spans="1:8" x14ac:dyDescent="0.25">
      <c r="A2642" s="72" t="s">
        <v>2902</v>
      </c>
      <c r="B2642" s="72" t="s">
        <v>97</v>
      </c>
      <c r="C2642" s="73">
        <v>58</v>
      </c>
      <c r="D2642" s="73">
        <v>1544254.1313532435</v>
      </c>
      <c r="E2642" s="72">
        <v>123540.33050825947</v>
      </c>
      <c r="F2642" s="72" t="s">
        <v>70</v>
      </c>
      <c r="G2642" s="72" t="s">
        <v>71</v>
      </c>
      <c r="H2642" s="72" t="s">
        <v>72</v>
      </c>
    </row>
    <row r="2643" spans="1:8" x14ac:dyDescent="0.25">
      <c r="A2643" s="72" t="s">
        <v>2680</v>
      </c>
      <c r="B2643" s="72" t="s">
        <v>149</v>
      </c>
      <c r="C2643" s="73">
        <v>58</v>
      </c>
      <c r="D2643" s="73">
        <v>1532529.5780677816</v>
      </c>
      <c r="E2643" s="72">
        <v>137927.66202610036</v>
      </c>
      <c r="F2643" s="72" t="s">
        <v>84</v>
      </c>
      <c r="G2643" s="72" t="s">
        <v>71</v>
      </c>
      <c r="H2643" s="72" t="s">
        <v>72</v>
      </c>
    </row>
    <row r="2644" spans="1:8" x14ac:dyDescent="0.25">
      <c r="A2644" s="72" t="s">
        <v>3226</v>
      </c>
      <c r="B2644" s="72" t="s">
        <v>97</v>
      </c>
      <c r="C2644" s="73">
        <v>58</v>
      </c>
      <c r="D2644" s="73">
        <v>1473526.9815619041</v>
      </c>
      <c r="E2644" s="72">
        <v>103146.88870933327</v>
      </c>
      <c r="F2644" s="72" t="s">
        <v>70</v>
      </c>
      <c r="G2644" s="72" t="s">
        <v>71</v>
      </c>
      <c r="H2644" s="72" t="s">
        <v>72</v>
      </c>
    </row>
    <row r="2645" spans="1:8" x14ac:dyDescent="0.25">
      <c r="A2645" s="72" t="s">
        <v>4105</v>
      </c>
      <c r="B2645" s="72" t="s">
        <v>77</v>
      </c>
      <c r="C2645" s="73">
        <v>58</v>
      </c>
      <c r="D2645" s="73">
        <v>1267295.4389945099</v>
      </c>
      <c r="E2645" s="72">
        <v>63364.771949725495</v>
      </c>
      <c r="F2645" s="72" t="s">
        <v>70</v>
      </c>
      <c r="G2645" s="72" t="s">
        <v>71</v>
      </c>
      <c r="H2645" s="72" t="s">
        <v>72</v>
      </c>
    </row>
    <row r="2646" spans="1:8" x14ac:dyDescent="0.25">
      <c r="A2646" s="43" t="s">
        <v>3227</v>
      </c>
      <c r="B2646" s="43" t="s">
        <v>73</v>
      </c>
      <c r="C2646" s="46">
        <v>58</v>
      </c>
      <c r="D2646" s="46">
        <v>1473526.9815619041</v>
      </c>
      <c r="E2646" s="43">
        <v>103146.88870933327</v>
      </c>
      <c r="F2646" s="43" t="s">
        <v>70</v>
      </c>
      <c r="G2646" s="43" t="s">
        <v>71</v>
      </c>
      <c r="H2646" s="43" t="s">
        <v>72</v>
      </c>
    </row>
    <row r="2647" spans="1:8" x14ac:dyDescent="0.25">
      <c r="A2647" s="72" t="s">
        <v>2269</v>
      </c>
      <c r="B2647" s="72" t="s">
        <v>73</v>
      </c>
      <c r="C2647" s="73">
        <v>58</v>
      </c>
      <c r="D2647" s="73">
        <v>1658823.6640599915</v>
      </c>
      <c r="E2647" s="72">
        <v>165882.36640599917</v>
      </c>
      <c r="F2647" s="72" t="s">
        <v>70</v>
      </c>
      <c r="G2647" s="72" t="s">
        <v>71</v>
      </c>
      <c r="H2647" s="72" t="s">
        <v>72</v>
      </c>
    </row>
    <row r="2648" spans="1:8" x14ac:dyDescent="0.25">
      <c r="A2648" s="43" t="s">
        <v>2270</v>
      </c>
      <c r="B2648" s="43" t="s">
        <v>77</v>
      </c>
      <c r="C2648" s="46">
        <v>58</v>
      </c>
      <c r="D2648" s="46">
        <v>1658823.6640599915</v>
      </c>
      <c r="E2648" s="43">
        <v>165882.36640599917</v>
      </c>
      <c r="F2648" s="43" t="s">
        <v>70</v>
      </c>
      <c r="G2648" s="43" t="s">
        <v>71</v>
      </c>
      <c r="H2648" s="43" t="s">
        <v>72</v>
      </c>
    </row>
    <row r="2649" spans="1:8" x14ac:dyDescent="0.25">
      <c r="A2649" s="43" t="s">
        <v>2167</v>
      </c>
      <c r="B2649" s="43" t="s">
        <v>73</v>
      </c>
      <c r="C2649" s="46">
        <v>58</v>
      </c>
      <c r="D2649" s="46">
        <v>1737832.0769935593</v>
      </c>
      <c r="E2649" s="43">
        <v>173783.20769935593</v>
      </c>
      <c r="F2649" s="43" t="s">
        <v>87</v>
      </c>
      <c r="G2649" s="43" t="s">
        <v>71</v>
      </c>
      <c r="H2649" s="43" t="s">
        <v>88</v>
      </c>
    </row>
    <row r="2650" spans="1:8" x14ac:dyDescent="0.25">
      <c r="A2650" s="43" t="s">
        <v>1478</v>
      </c>
      <c r="B2650" s="43" t="s">
        <v>93</v>
      </c>
      <c r="C2650" s="46">
        <v>58</v>
      </c>
      <c r="D2650" s="46">
        <v>1832069.7687684351</v>
      </c>
      <c r="E2650" s="43">
        <v>238169.06993989658</v>
      </c>
      <c r="F2650" s="43" t="s">
        <v>87</v>
      </c>
      <c r="G2650" s="43" t="s">
        <v>71</v>
      </c>
      <c r="H2650" s="43" t="s">
        <v>88</v>
      </c>
    </row>
    <row r="2651" spans="1:8" x14ac:dyDescent="0.25">
      <c r="A2651" s="43" t="s">
        <v>1301</v>
      </c>
      <c r="B2651" s="43" t="s">
        <v>112</v>
      </c>
      <c r="C2651" s="46">
        <v>58</v>
      </c>
      <c r="D2651" s="46">
        <v>1832306.1697043956</v>
      </c>
      <c r="E2651" s="43">
        <v>256522.86375861536</v>
      </c>
      <c r="F2651" s="43" t="s">
        <v>70</v>
      </c>
      <c r="G2651" s="43" t="s">
        <v>71</v>
      </c>
      <c r="H2651" s="43" t="s">
        <v>72</v>
      </c>
    </row>
    <row r="2652" spans="1:8" x14ac:dyDescent="0.25">
      <c r="A2652" s="72" t="s">
        <v>2562</v>
      </c>
      <c r="B2652" s="72" t="s">
        <v>102</v>
      </c>
      <c r="C2652" s="73">
        <v>58</v>
      </c>
      <c r="D2652" s="73">
        <v>1605002.1354643828</v>
      </c>
      <c r="E2652" s="72">
        <v>144450.19219179446</v>
      </c>
      <c r="F2652" s="72" t="s">
        <v>70</v>
      </c>
      <c r="G2652" s="72" t="s">
        <v>71</v>
      </c>
      <c r="H2652" s="72" t="s">
        <v>72</v>
      </c>
    </row>
    <row r="2653" spans="1:8" x14ac:dyDescent="0.25">
      <c r="A2653" s="43" t="s">
        <v>1764</v>
      </c>
      <c r="B2653" s="43" t="s">
        <v>102</v>
      </c>
      <c r="C2653" s="46">
        <v>58</v>
      </c>
      <c r="D2653" s="46">
        <v>1752148.6977160838</v>
      </c>
      <c r="E2653" s="43">
        <v>210257.84372593011</v>
      </c>
      <c r="F2653" s="43" t="s">
        <v>70</v>
      </c>
      <c r="G2653" s="43" t="s">
        <v>71</v>
      </c>
      <c r="H2653" s="43" t="s">
        <v>72</v>
      </c>
    </row>
    <row r="2654" spans="1:8" x14ac:dyDescent="0.25">
      <c r="A2654" s="43" t="s">
        <v>1525</v>
      </c>
      <c r="B2654" s="43" t="s">
        <v>85</v>
      </c>
      <c r="C2654" s="46">
        <v>58</v>
      </c>
      <c r="D2654" s="46">
        <v>1793566.4880968519</v>
      </c>
      <c r="E2654" s="43">
        <v>233163.64345259074</v>
      </c>
      <c r="F2654" s="43" t="s">
        <v>70</v>
      </c>
      <c r="G2654" s="43" t="s">
        <v>71</v>
      </c>
      <c r="H2654" s="43" t="s">
        <v>72</v>
      </c>
    </row>
    <row r="2655" spans="1:8" x14ac:dyDescent="0.25">
      <c r="A2655" s="43" t="s">
        <v>3400</v>
      </c>
      <c r="B2655" s="43" t="s">
        <v>93</v>
      </c>
      <c r="C2655" s="46">
        <v>58</v>
      </c>
      <c r="D2655" s="46">
        <v>1550540.7191003859</v>
      </c>
      <c r="E2655" s="43">
        <v>93032.443146023157</v>
      </c>
      <c r="F2655" s="43" t="s">
        <v>87</v>
      </c>
      <c r="G2655" s="43" t="s">
        <v>71</v>
      </c>
      <c r="H2655" s="43" t="s">
        <v>88</v>
      </c>
    </row>
    <row r="2656" spans="1:8" x14ac:dyDescent="0.25">
      <c r="A2656" s="72" t="s">
        <v>1302</v>
      </c>
      <c r="B2656" s="72" t="s">
        <v>97</v>
      </c>
      <c r="C2656" s="73">
        <v>58</v>
      </c>
      <c r="D2656" s="73">
        <v>1832306.1697043956</v>
      </c>
      <c r="E2656" s="72">
        <v>256522.86375861536</v>
      </c>
      <c r="F2656" s="72" t="s">
        <v>70</v>
      </c>
      <c r="G2656" s="72" t="s">
        <v>71</v>
      </c>
      <c r="H2656" s="72" t="s">
        <v>72</v>
      </c>
    </row>
    <row r="2657" spans="1:8" x14ac:dyDescent="0.25">
      <c r="A2657" s="72" t="s">
        <v>2869</v>
      </c>
      <c r="B2657" s="72" t="s">
        <v>77</v>
      </c>
      <c r="C2657" s="73">
        <v>58</v>
      </c>
      <c r="D2657" s="73">
        <v>1399766.1299700732</v>
      </c>
      <c r="E2657" s="72">
        <v>125978.95169730659</v>
      </c>
      <c r="F2657" s="72" t="s">
        <v>106</v>
      </c>
      <c r="G2657" s="72" t="s">
        <v>71</v>
      </c>
      <c r="H2657" s="72" t="s">
        <v>72</v>
      </c>
    </row>
    <row r="2658" spans="1:8" x14ac:dyDescent="0.25">
      <c r="A2658" s="72" t="s">
        <v>2007</v>
      </c>
      <c r="B2658" s="72" t="s">
        <v>74</v>
      </c>
      <c r="C2658" s="73">
        <v>58</v>
      </c>
      <c r="D2658" s="73">
        <v>1707493.6944549878</v>
      </c>
      <c r="E2658" s="72">
        <v>187824.30639004867</v>
      </c>
      <c r="F2658" s="72" t="s">
        <v>70</v>
      </c>
      <c r="G2658" s="72" t="s">
        <v>71</v>
      </c>
      <c r="H2658" s="72" t="s">
        <v>72</v>
      </c>
    </row>
    <row r="2659" spans="1:8" x14ac:dyDescent="0.25">
      <c r="A2659" s="72" t="s">
        <v>2271</v>
      </c>
      <c r="B2659" s="72" t="s">
        <v>74</v>
      </c>
      <c r="C2659" s="73">
        <v>58</v>
      </c>
      <c r="D2659" s="73">
        <v>1658823.6640599915</v>
      </c>
      <c r="E2659" s="72">
        <v>165882.36640599917</v>
      </c>
      <c r="F2659" s="72" t="s">
        <v>70</v>
      </c>
      <c r="G2659" s="72" t="s">
        <v>71</v>
      </c>
      <c r="H2659" s="72" t="s">
        <v>72</v>
      </c>
    </row>
    <row r="2660" spans="1:8" x14ac:dyDescent="0.25">
      <c r="A2660" s="72" t="s">
        <v>3401</v>
      </c>
      <c r="B2660" s="72" t="s">
        <v>1247</v>
      </c>
      <c r="C2660" s="73">
        <v>58</v>
      </c>
      <c r="D2660" s="73">
        <v>1550540.7191003859</v>
      </c>
      <c r="E2660" s="72">
        <v>93032.443146023157</v>
      </c>
      <c r="F2660" s="72" t="s">
        <v>87</v>
      </c>
      <c r="G2660" s="72" t="s">
        <v>71</v>
      </c>
      <c r="H2660" s="72" t="s">
        <v>88</v>
      </c>
    </row>
    <row r="2661" spans="1:8" x14ac:dyDescent="0.25">
      <c r="A2661" s="43" t="s">
        <v>1799</v>
      </c>
      <c r="B2661" s="43" t="s">
        <v>107</v>
      </c>
      <c r="C2661" s="46">
        <v>57</v>
      </c>
      <c r="D2661" s="46">
        <v>1721127.3730988649</v>
      </c>
      <c r="E2661" s="43">
        <v>206535.28477186384</v>
      </c>
      <c r="F2661" s="43" t="s">
        <v>70</v>
      </c>
      <c r="G2661" s="43" t="s">
        <v>71</v>
      </c>
      <c r="H2661" s="43" t="s">
        <v>72</v>
      </c>
    </row>
    <row r="2662" spans="1:8" x14ac:dyDescent="0.25">
      <c r="A2662" s="43" t="s">
        <v>1736</v>
      </c>
      <c r="B2662" s="43" t="s">
        <v>73</v>
      </c>
      <c r="C2662" s="46">
        <v>57</v>
      </c>
      <c r="D2662" s="46">
        <v>1771384.4867469915</v>
      </c>
      <c r="E2662" s="43">
        <v>212566.13840963898</v>
      </c>
      <c r="F2662" s="43" t="s">
        <v>87</v>
      </c>
      <c r="G2662" s="43" t="s">
        <v>71</v>
      </c>
      <c r="H2662" s="43" t="s">
        <v>88</v>
      </c>
    </row>
    <row r="2663" spans="1:8" x14ac:dyDescent="0.25">
      <c r="A2663" s="72" t="s">
        <v>2315</v>
      </c>
      <c r="B2663" s="72" t="s">
        <v>73</v>
      </c>
      <c r="C2663" s="73">
        <v>57</v>
      </c>
      <c r="D2663" s="73">
        <v>1629411.3917471883</v>
      </c>
      <c r="E2663" s="72">
        <v>162941.13917471885</v>
      </c>
      <c r="F2663" s="72" t="s">
        <v>70</v>
      </c>
      <c r="G2663" s="72" t="s">
        <v>71</v>
      </c>
      <c r="H2663" s="72" t="s">
        <v>72</v>
      </c>
    </row>
    <row r="2664" spans="1:8" x14ac:dyDescent="0.25">
      <c r="A2664" s="72" t="s">
        <v>2203</v>
      </c>
      <c r="B2664" s="72" t="s">
        <v>75</v>
      </c>
      <c r="C2664" s="73">
        <v>57</v>
      </c>
      <c r="D2664" s="73">
        <v>1424804.8056656499</v>
      </c>
      <c r="E2664" s="72">
        <v>170976.576679878</v>
      </c>
      <c r="F2664" s="72" t="s">
        <v>106</v>
      </c>
      <c r="G2664" s="72" t="s">
        <v>71</v>
      </c>
      <c r="H2664" s="72" t="s">
        <v>72</v>
      </c>
    </row>
    <row r="2665" spans="1:8" x14ac:dyDescent="0.25">
      <c r="A2665" s="72" t="s">
        <v>2550</v>
      </c>
      <c r="B2665" s="72" t="s">
        <v>176</v>
      </c>
      <c r="C2665" s="73">
        <v>57</v>
      </c>
      <c r="D2665" s="73">
        <v>1624777.6579571443</v>
      </c>
      <c r="E2665" s="72">
        <v>146229.98921614297</v>
      </c>
      <c r="F2665" s="72" t="s">
        <v>78</v>
      </c>
      <c r="G2665" s="72" t="s">
        <v>71</v>
      </c>
      <c r="H2665" s="72" t="s">
        <v>72</v>
      </c>
    </row>
    <row r="2666" spans="1:8" x14ac:dyDescent="0.25">
      <c r="A2666" s="43" t="s">
        <v>3581</v>
      </c>
      <c r="B2666" s="43" t="s">
        <v>176</v>
      </c>
      <c r="C2666" s="46">
        <v>57</v>
      </c>
      <c r="D2666" s="46">
        <v>1404672.4951575524</v>
      </c>
      <c r="E2666" s="43">
        <v>84280.349709453163</v>
      </c>
      <c r="F2666" s="43" t="s">
        <v>78</v>
      </c>
      <c r="G2666" s="43" t="s">
        <v>71</v>
      </c>
      <c r="H2666" s="43" t="s">
        <v>72</v>
      </c>
    </row>
    <row r="2667" spans="1:8" x14ac:dyDescent="0.25">
      <c r="A2667" s="43" t="s">
        <v>3721</v>
      </c>
      <c r="B2667" s="43" t="s">
        <v>85</v>
      </c>
      <c r="C2667" s="46">
        <v>57</v>
      </c>
      <c r="D2667" s="46">
        <v>1303268.0275981328</v>
      </c>
      <c r="E2667" s="43">
        <v>78196.081655887989</v>
      </c>
      <c r="F2667" s="43" t="s">
        <v>106</v>
      </c>
      <c r="G2667" s="43" t="s">
        <v>71</v>
      </c>
      <c r="H2667" s="43" t="s">
        <v>72</v>
      </c>
    </row>
    <row r="2668" spans="1:8" x14ac:dyDescent="0.25">
      <c r="A2668" s="43" t="s">
        <v>1340</v>
      </c>
      <c r="B2668" s="43" t="s">
        <v>234</v>
      </c>
      <c r="C2668" s="46">
        <v>57</v>
      </c>
      <c r="D2668" s="46">
        <v>1799902.8197080684</v>
      </c>
      <c r="E2668" s="43">
        <v>251986.39475912956</v>
      </c>
      <c r="F2668" s="43" t="s">
        <v>70</v>
      </c>
      <c r="G2668" s="43" t="s">
        <v>71</v>
      </c>
      <c r="H2668" s="43" t="s">
        <v>72</v>
      </c>
    </row>
    <row r="2669" spans="1:8" x14ac:dyDescent="0.25">
      <c r="A2669" s="72" t="s">
        <v>1341</v>
      </c>
      <c r="B2669" s="72" t="s">
        <v>97</v>
      </c>
      <c r="C2669" s="73">
        <v>57</v>
      </c>
      <c r="D2669" s="73">
        <v>1799902.8197080684</v>
      </c>
      <c r="E2669" s="72">
        <v>251986.39475912956</v>
      </c>
      <c r="F2669" s="72" t="s">
        <v>70</v>
      </c>
      <c r="G2669" s="72" t="s">
        <v>71</v>
      </c>
      <c r="H2669" s="72" t="s">
        <v>72</v>
      </c>
    </row>
    <row r="2670" spans="1:8" x14ac:dyDescent="0.25">
      <c r="A2670" s="43" t="s">
        <v>1517</v>
      </c>
      <c r="B2670" s="43" t="s">
        <v>93</v>
      </c>
      <c r="C2670" s="46">
        <v>57</v>
      </c>
      <c r="D2670" s="46">
        <v>1799780.6308073562</v>
      </c>
      <c r="E2670" s="43">
        <v>233971.48200495631</v>
      </c>
      <c r="F2670" s="43" t="s">
        <v>87</v>
      </c>
      <c r="G2670" s="43" t="s">
        <v>71</v>
      </c>
      <c r="H2670" s="43" t="s">
        <v>88</v>
      </c>
    </row>
    <row r="2671" spans="1:8" x14ac:dyDescent="0.25">
      <c r="A2671" s="43" t="s">
        <v>2208</v>
      </c>
      <c r="B2671" s="43" t="s">
        <v>73</v>
      </c>
      <c r="C2671" s="46">
        <v>57</v>
      </c>
      <c r="D2671" s="46">
        <v>1707167.7268217017</v>
      </c>
      <c r="E2671" s="43">
        <v>170716.77268217018</v>
      </c>
      <c r="F2671" s="43" t="s">
        <v>87</v>
      </c>
      <c r="G2671" s="43" t="s">
        <v>71</v>
      </c>
      <c r="H2671" s="43" t="s">
        <v>88</v>
      </c>
    </row>
    <row r="2672" spans="1:8" x14ac:dyDescent="0.25">
      <c r="A2672" s="43" t="s">
        <v>2472</v>
      </c>
      <c r="B2672" s="43" t="s">
        <v>202</v>
      </c>
      <c r="C2672" s="46">
        <v>57</v>
      </c>
      <c r="D2672" s="46">
        <v>1670108.3113526918</v>
      </c>
      <c r="E2672" s="43">
        <v>150309.74802174227</v>
      </c>
      <c r="F2672" s="43" t="s">
        <v>87</v>
      </c>
      <c r="G2672" s="43" t="s">
        <v>71</v>
      </c>
      <c r="H2672" s="43" t="s">
        <v>88</v>
      </c>
    </row>
    <row r="2673" spans="1:8" x14ac:dyDescent="0.25">
      <c r="A2673" s="43" t="s">
        <v>2657</v>
      </c>
      <c r="B2673" s="43" t="s">
        <v>554</v>
      </c>
      <c r="C2673" s="46">
        <v>57</v>
      </c>
      <c r="D2673" s="46">
        <v>1393124.4344628903</v>
      </c>
      <c r="E2673" s="43">
        <v>139312.44344628902</v>
      </c>
      <c r="F2673" s="43" t="s">
        <v>106</v>
      </c>
      <c r="G2673" s="43" t="s">
        <v>71</v>
      </c>
      <c r="H2673" s="43" t="s">
        <v>72</v>
      </c>
    </row>
    <row r="2674" spans="1:8" x14ac:dyDescent="0.25">
      <c r="A2674" s="43" t="s">
        <v>4098</v>
      </c>
      <c r="B2674" s="43" t="s">
        <v>554</v>
      </c>
      <c r="C2674" s="46">
        <v>57</v>
      </c>
      <c r="D2674" s="46">
        <v>1269480.8661059521</v>
      </c>
      <c r="E2674" s="43">
        <v>63474.043305297608</v>
      </c>
      <c r="F2674" s="43" t="s">
        <v>106</v>
      </c>
      <c r="G2674" s="43" t="s">
        <v>71</v>
      </c>
      <c r="H2674" s="43" t="s">
        <v>72</v>
      </c>
    </row>
    <row r="2675" spans="1:8" x14ac:dyDescent="0.25">
      <c r="A2675" s="72" t="s">
        <v>2045</v>
      </c>
      <c r="B2675" s="72" t="s">
        <v>75</v>
      </c>
      <c r="C2675" s="73">
        <v>57</v>
      </c>
      <c r="D2675" s="73">
        <v>1677242.2836870982</v>
      </c>
      <c r="E2675" s="72">
        <v>184496.65120558083</v>
      </c>
      <c r="F2675" s="72" t="s">
        <v>70</v>
      </c>
      <c r="G2675" s="72" t="s">
        <v>71</v>
      </c>
      <c r="H2675" s="72" t="s">
        <v>72</v>
      </c>
    </row>
    <row r="2676" spans="1:8" x14ac:dyDescent="0.25">
      <c r="A2676" s="72" t="s">
        <v>1800</v>
      </c>
      <c r="B2676" s="72" t="s">
        <v>73</v>
      </c>
      <c r="C2676" s="73">
        <v>57</v>
      </c>
      <c r="D2676" s="73">
        <v>1721127.3730988649</v>
      </c>
      <c r="E2676" s="72">
        <v>206535.28477186384</v>
      </c>
      <c r="F2676" s="72" t="s">
        <v>70</v>
      </c>
      <c r="G2676" s="72" t="s">
        <v>71</v>
      </c>
      <c r="H2676" s="72" t="s">
        <v>72</v>
      </c>
    </row>
    <row r="2677" spans="1:8" x14ac:dyDescent="0.25">
      <c r="A2677" s="72" t="s">
        <v>4475</v>
      </c>
      <c r="B2677" s="72" t="s">
        <v>75</v>
      </c>
      <c r="C2677" s="73">
        <v>57</v>
      </c>
      <c r="D2677" s="73">
        <v>1225043.4819862526</v>
      </c>
      <c r="E2677" s="72">
        <v>49001.739279450107</v>
      </c>
      <c r="F2677" s="72" t="s">
        <v>106</v>
      </c>
      <c r="G2677" s="72" t="s">
        <v>71</v>
      </c>
      <c r="H2677" s="72" t="s">
        <v>72</v>
      </c>
    </row>
    <row r="2678" spans="1:8" x14ac:dyDescent="0.25">
      <c r="A2678" s="43" t="s">
        <v>2949</v>
      </c>
      <c r="B2678" s="43" t="s">
        <v>102</v>
      </c>
      <c r="C2678" s="46">
        <v>57</v>
      </c>
      <c r="D2678" s="46">
        <v>1516817.1958112463</v>
      </c>
      <c r="E2678" s="43">
        <v>121345.37566489971</v>
      </c>
      <c r="F2678" s="43" t="s">
        <v>70</v>
      </c>
      <c r="G2678" s="43" t="s">
        <v>71</v>
      </c>
      <c r="H2678" s="43" t="s">
        <v>72</v>
      </c>
    </row>
    <row r="2679" spans="1:8" x14ac:dyDescent="0.25">
      <c r="A2679" s="43" t="s">
        <v>2046</v>
      </c>
      <c r="B2679" s="43" t="s">
        <v>127</v>
      </c>
      <c r="C2679" s="46">
        <v>57</v>
      </c>
      <c r="D2679" s="46">
        <v>1677242.2836870982</v>
      </c>
      <c r="E2679" s="43">
        <v>184496.65120558083</v>
      </c>
      <c r="F2679" s="43" t="s">
        <v>70</v>
      </c>
      <c r="G2679" s="43" t="s">
        <v>71</v>
      </c>
      <c r="H2679" s="43" t="s">
        <v>72</v>
      </c>
    </row>
    <row r="2680" spans="1:8" x14ac:dyDescent="0.25">
      <c r="A2680" s="72" t="s">
        <v>1501</v>
      </c>
      <c r="B2680" s="72" t="s">
        <v>383</v>
      </c>
      <c r="C2680" s="73">
        <v>57</v>
      </c>
      <c r="D2680" s="73">
        <v>1814898.9992040282</v>
      </c>
      <c r="E2680" s="72">
        <v>235936.86989652368</v>
      </c>
      <c r="F2680" s="72" t="s">
        <v>78</v>
      </c>
      <c r="G2680" s="72" t="s">
        <v>71</v>
      </c>
      <c r="H2680" s="72" t="s">
        <v>72</v>
      </c>
    </row>
    <row r="2681" spans="1:8" x14ac:dyDescent="0.25">
      <c r="A2681" s="43" t="s">
        <v>1553</v>
      </c>
      <c r="B2681" s="43" t="s">
        <v>105</v>
      </c>
      <c r="C2681" s="46">
        <v>57</v>
      </c>
      <c r="D2681" s="46">
        <v>1761831.0636454821</v>
      </c>
      <c r="E2681" s="43">
        <v>229038.03827391268</v>
      </c>
      <c r="F2681" s="43" t="s">
        <v>70</v>
      </c>
      <c r="G2681" s="43" t="s">
        <v>71</v>
      </c>
      <c r="H2681" s="43" t="s">
        <v>72</v>
      </c>
    </row>
    <row r="2682" spans="1:8" x14ac:dyDescent="0.25">
      <c r="A2682" s="43" t="s">
        <v>1801</v>
      </c>
      <c r="B2682" s="43" t="s">
        <v>211</v>
      </c>
      <c r="C2682" s="46">
        <v>57</v>
      </c>
      <c r="D2682" s="46">
        <v>1721127.3730988649</v>
      </c>
      <c r="E2682" s="43">
        <v>206535.28477186384</v>
      </c>
      <c r="F2682" s="43" t="s">
        <v>70</v>
      </c>
      <c r="G2682" s="43" t="s">
        <v>71</v>
      </c>
      <c r="H2682" s="43" t="s">
        <v>72</v>
      </c>
    </row>
    <row r="2683" spans="1:8" x14ac:dyDescent="0.25">
      <c r="A2683" s="43" t="s">
        <v>2087</v>
      </c>
      <c r="B2683" s="43" t="s">
        <v>83</v>
      </c>
      <c r="C2683" s="46">
        <v>57</v>
      </c>
      <c r="D2683" s="46">
        <v>1643031.5044645402</v>
      </c>
      <c r="E2683" s="43">
        <v>180733.46549109943</v>
      </c>
      <c r="F2683" s="43" t="s">
        <v>84</v>
      </c>
      <c r="G2683" s="43" t="s">
        <v>71</v>
      </c>
      <c r="H2683" s="43" t="s">
        <v>72</v>
      </c>
    </row>
    <row r="2684" spans="1:8" x14ac:dyDescent="0.25">
      <c r="A2684" s="43" t="s">
        <v>3851</v>
      </c>
      <c r="B2684" s="43" t="s">
        <v>73</v>
      </c>
      <c r="C2684" s="46">
        <v>57</v>
      </c>
      <c r="D2684" s="46">
        <v>1450265.3661243147</v>
      </c>
      <c r="E2684" s="43">
        <v>72513.268306215745</v>
      </c>
      <c r="F2684" s="43" t="s">
        <v>87</v>
      </c>
      <c r="G2684" s="43" t="s">
        <v>71</v>
      </c>
      <c r="H2684" s="43" t="s">
        <v>88</v>
      </c>
    </row>
    <row r="2685" spans="1:8" x14ac:dyDescent="0.25">
      <c r="A2685" s="43" t="s">
        <v>1122</v>
      </c>
      <c r="B2685" s="43" t="s">
        <v>77</v>
      </c>
      <c r="C2685" s="46">
        <v>57</v>
      </c>
      <c r="D2685" s="46">
        <v>1861716.2394465925</v>
      </c>
      <c r="E2685" s="43">
        <v>279257.43591698888</v>
      </c>
      <c r="F2685" s="43" t="s">
        <v>84</v>
      </c>
      <c r="G2685" s="43" t="s">
        <v>71</v>
      </c>
      <c r="H2685" s="43" t="s">
        <v>72</v>
      </c>
    </row>
    <row r="2686" spans="1:8" x14ac:dyDescent="0.25">
      <c r="A2686" s="72" t="s">
        <v>1123</v>
      </c>
      <c r="B2686" s="72" t="s">
        <v>77</v>
      </c>
      <c r="C2686" s="73">
        <v>57</v>
      </c>
      <c r="D2686" s="73">
        <v>1861716.2394465925</v>
      </c>
      <c r="E2686" s="72">
        <v>279257.43591698888</v>
      </c>
      <c r="F2686" s="72" t="s">
        <v>84</v>
      </c>
      <c r="G2686" s="72" t="s">
        <v>71</v>
      </c>
      <c r="H2686" s="72" t="s">
        <v>72</v>
      </c>
    </row>
    <row r="2687" spans="1:8" x14ac:dyDescent="0.25">
      <c r="A2687" s="43" t="s">
        <v>2316</v>
      </c>
      <c r="B2687" s="43" t="s">
        <v>102</v>
      </c>
      <c r="C2687" s="46">
        <v>57</v>
      </c>
      <c r="D2687" s="46">
        <v>1629411.3917471883</v>
      </c>
      <c r="E2687" s="43">
        <v>162941.13917471885</v>
      </c>
      <c r="F2687" s="43" t="s">
        <v>70</v>
      </c>
      <c r="G2687" s="43" t="s">
        <v>71</v>
      </c>
      <c r="H2687" s="43" t="s">
        <v>72</v>
      </c>
    </row>
    <row r="2688" spans="1:8" x14ac:dyDescent="0.25">
      <c r="A2688" s="72" t="s">
        <v>2047</v>
      </c>
      <c r="B2688" s="72" t="s">
        <v>85</v>
      </c>
      <c r="C2688" s="73">
        <v>57</v>
      </c>
      <c r="D2688" s="73">
        <v>1677242.2836870982</v>
      </c>
      <c r="E2688" s="72">
        <v>184496.65120558083</v>
      </c>
      <c r="F2688" s="72" t="s">
        <v>70</v>
      </c>
      <c r="G2688" s="72" t="s">
        <v>71</v>
      </c>
      <c r="H2688" s="72" t="s">
        <v>72</v>
      </c>
    </row>
    <row r="2689" spans="1:8" x14ac:dyDescent="0.25">
      <c r="A2689" s="72" t="s">
        <v>2950</v>
      </c>
      <c r="B2689" s="72" t="s">
        <v>85</v>
      </c>
      <c r="C2689" s="73">
        <v>57</v>
      </c>
      <c r="D2689" s="73">
        <v>1516817.1958112463</v>
      </c>
      <c r="E2689" s="72">
        <v>121345.37566489971</v>
      </c>
      <c r="F2689" s="72" t="s">
        <v>70</v>
      </c>
      <c r="G2689" s="72" t="s">
        <v>71</v>
      </c>
      <c r="H2689" s="72" t="s">
        <v>72</v>
      </c>
    </row>
    <row r="2690" spans="1:8" x14ac:dyDescent="0.25">
      <c r="A2690" s="72" t="s">
        <v>1554</v>
      </c>
      <c r="B2690" s="72" t="s">
        <v>252</v>
      </c>
      <c r="C2690" s="73">
        <v>57</v>
      </c>
      <c r="D2690" s="73">
        <v>1761831.0636454821</v>
      </c>
      <c r="E2690" s="72">
        <v>229038.03827391268</v>
      </c>
      <c r="F2690" s="72" t="s">
        <v>70</v>
      </c>
      <c r="G2690" s="72" t="s">
        <v>71</v>
      </c>
      <c r="H2690" s="72" t="s">
        <v>72</v>
      </c>
    </row>
    <row r="2691" spans="1:8" x14ac:dyDescent="0.25">
      <c r="A2691" s="72" t="s">
        <v>3258</v>
      </c>
      <c r="B2691" s="72" t="s">
        <v>74</v>
      </c>
      <c r="C2691" s="73">
        <v>57</v>
      </c>
      <c r="D2691" s="73">
        <v>1447309.4796369988</v>
      </c>
      <c r="E2691" s="72">
        <v>101311.66357458991</v>
      </c>
      <c r="F2691" s="72" t="s">
        <v>70</v>
      </c>
      <c r="G2691" s="72" t="s">
        <v>71</v>
      </c>
      <c r="H2691" s="72" t="s">
        <v>72</v>
      </c>
    </row>
    <row r="2692" spans="1:8" x14ac:dyDescent="0.25">
      <c r="A2692" s="43" t="s">
        <v>2603</v>
      </c>
      <c r="B2692" s="43" t="s">
        <v>162</v>
      </c>
      <c r="C2692" s="46">
        <v>57</v>
      </c>
      <c r="D2692" s="46">
        <v>1576517.8205411588</v>
      </c>
      <c r="E2692" s="43">
        <v>141886.60384870428</v>
      </c>
      <c r="F2692" s="43" t="s">
        <v>70</v>
      </c>
      <c r="G2692" s="43" t="s">
        <v>71</v>
      </c>
      <c r="H2692" s="43" t="s">
        <v>72</v>
      </c>
    </row>
    <row r="2693" spans="1:8" x14ac:dyDescent="0.25">
      <c r="A2693" s="72" t="s">
        <v>3627</v>
      </c>
      <c r="B2693" s="72" t="s">
        <v>162</v>
      </c>
      <c r="C2693" s="73">
        <v>57</v>
      </c>
      <c r="D2693" s="73">
        <v>1361979.0356004864</v>
      </c>
      <c r="E2693" s="72">
        <v>81718.742136029206</v>
      </c>
      <c r="F2693" s="72" t="s">
        <v>70</v>
      </c>
      <c r="G2693" s="72" t="s">
        <v>71</v>
      </c>
      <c r="H2693" s="72" t="s">
        <v>72</v>
      </c>
    </row>
    <row r="2694" spans="1:8" x14ac:dyDescent="0.25">
      <c r="A2694" s="43" t="s">
        <v>3429</v>
      </c>
      <c r="B2694" s="43" t="s">
        <v>73</v>
      </c>
      <c r="C2694" s="46">
        <v>57</v>
      </c>
      <c r="D2694" s="46">
        <v>1523105.5302715143</v>
      </c>
      <c r="E2694" s="43">
        <v>91386.331816290854</v>
      </c>
      <c r="F2694" s="43" t="s">
        <v>87</v>
      </c>
      <c r="G2694" s="43" t="s">
        <v>71</v>
      </c>
      <c r="H2694" s="43" t="s">
        <v>88</v>
      </c>
    </row>
    <row r="2695" spans="1:8" x14ac:dyDescent="0.25">
      <c r="A2695" s="72" t="s">
        <v>2604</v>
      </c>
      <c r="B2695" s="72" t="s">
        <v>103</v>
      </c>
      <c r="C2695" s="73">
        <v>57</v>
      </c>
      <c r="D2695" s="73">
        <v>1576517.8205411588</v>
      </c>
      <c r="E2695" s="72">
        <v>141886.60384870428</v>
      </c>
      <c r="F2695" s="72" t="s">
        <v>70</v>
      </c>
      <c r="G2695" s="72" t="s">
        <v>71</v>
      </c>
      <c r="H2695" s="72" t="s">
        <v>72</v>
      </c>
    </row>
    <row r="2696" spans="1:8" x14ac:dyDescent="0.25">
      <c r="A2696" s="43" t="s">
        <v>2653</v>
      </c>
      <c r="B2696" s="43" t="s">
        <v>119</v>
      </c>
      <c r="C2696" s="46">
        <v>56</v>
      </c>
      <c r="D2696" s="46">
        <v>1548062.7294768114</v>
      </c>
      <c r="E2696" s="43">
        <v>139325.64565291302</v>
      </c>
      <c r="F2696" s="43" t="s">
        <v>70</v>
      </c>
      <c r="G2696" s="43" t="s">
        <v>71</v>
      </c>
      <c r="H2696" s="43" t="s">
        <v>72</v>
      </c>
    </row>
    <row r="2697" spans="1:8" x14ac:dyDescent="0.25">
      <c r="A2697" s="43" t="s">
        <v>2239</v>
      </c>
      <c r="B2697" s="43" t="s">
        <v>176</v>
      </c>
      <c r="C2697" s="46">
        <v>56</v>
      </c>
      <c r="D2697" s="46">
        <v>1399022.7529575196</v>
      </c>
      <c r="E2697" s="43">
        <v>167882.73035490233</v>
      </c>
      <c r="F2697" s="43" t="s">
        <v>106</v>
      </c>
      <c r="G2697" s="43" t="s">
        <v>71</v>
      </c>
      <c r="H2697" s="43" t="s">
        <v>72</v>
      </c>
    </row>
    <row r="2698" spans="1:8" x14ac:dyDescent="0.25">
      <c r="A2698" s="43" t="s">
        <v>2581</v>
      </c>
      <c r="B2698" s="43" t="s">
        <v>383</v>
      </c>
      <c r="C2698" s="46">
        <v>56</v>
      </c>
      <c r="D2698" s="46">
        <v>1595347.8911224292</v>
      </c>
      <c r="E2698" s="43">
        <v>143581.31020101861</v>
      </c>
      <c r="F2698" s="43" t="s">
        <v>78</v>
      </c>
      <c r="G2698" s="43" t="s">
        <v>71</v>
      </c>
      <c r="H2698" s="43" t="s">
        <v>72</v>
      </c>
    </row>
    <row r="2699" spans="1:8" x14ac:dyDescent="0.25">
      <c r="A2699" s="72" t="s">
        <v>3130</v>
      </c>
      <c r="B2699" s="72" t="s">
        <v>73</v>
      </c>
      <c r="C2699" s="73">
        <v>56</v>
      </c>
      <c r="D2699" s="73">
        <v>1552015.8086655578</v>
      </c>
      <c r="E2699" s="72">
        <v>108641.10660658903</v>
      </c>
      <c r="F2699" s="72" t="s">
        <v>87</v>
      </c>
      <c r="G2699" s="72" t="s">
        <v>71</v>
      </c>
      <c r="H2699" s="72" t="s">
        <v>88</v>
      </c>
    </row>
    <row r="2700" spans="1:8" x14ac:dyDescent="0.25">
      <c r="A2700" s="72" t="s">
        <v>1389</v>
      </c>
      <c r="B2700" s="72" t="s">
        <v>97</v>
      </c>
      <c r="C2700" s="73">
        <v>56</v>
      </c>
      <c r="D2700" s="73">
        <v>1767528.6935706169</v>
      </c>
      <c r="E2700" s="72">
        <v>247454.01709988635</v>
      </c>
      <c r="F2700" s="72" t="s">
        <v>70</v>
      </c>
      <c r="G2700" s="72" t="s">
        <v>71</v>
      </c>
      <c r="H2700" s="72" t="s">
        <v>72</v>
      </c>
    </row>
    <row r="2701" spans="1:8" x14ac:dyDescent="0.25">
      <c r="A2701" s="72" t="s">
        <v>1775</v>
      </c>
      <c r="B2701" s="72" t="s">
        <v>73</v>
      </c>
      <c r="C2701" s="73">
        <v>56</v>
      </c>
      <c r="D2701" s="73">
        <v>1739618.6936983659</v>
      </c>
      <c r="E2701" s="72">
        <v>208754.24324380391</v>
      </c>
      <c r="F2701" s="72" t="s">
        <v>87</v>
      </c>
      <c r="G2701" s="72" t="s">
        <v>71</v>
      </c>
      <c r="H2701" s="72" t="s">
        <v>88</v>
      </c>
    </row>
    <row r="2702" spans="1:8" x14ac:dyDescent="0.25">
      <c r="A2702" s="72" t="s">
        <v>1836</v>
      </c>
      <c r="B2702" s="72" t="s">
        <v>77</v>
      </c>
      <c r="C2702" s="73">
        <v>56</v>
      </c>
      <c r="D2702" s="73">
        <v>1690135.2723405224</v>
      </c>
      <c r="E2702" s="72">
        <v>202816.23268086271</v>
      </c>
      <c r="F2702" s="72" t="s">
        <v>70</v>
      </c>
      <c r="G2702" s="72" t="s">
        <v>71</v>
      </c>
      <c r="H2702" s="72" t="s">
        <v>72</v>
      </c>
    </row>
    <row r="2703" spans="1:8" x14ac:dyDescent="0.25">
      <c r="A2703" s="43" t="s">
        <v>1776</v>
      </c>
      <c r="B2703" s="43" t="s">
        <v>93</v>
      </c>
      <c r="C2703" s="46">
        <v>56</v>
      </c>
      <c r="D2703" s="46">
        <v>1739618.6936983659</v>
      </c>
      <c r="E2703" s="43">
        <v>208754.24324380391</v>
      </c>
      <c r="F2703" s="43" t="s">
        <v>87</v>
      </c>
      <c r="G2703" s="43" t="s">
        <v>71</v>
      </c>
      <c r="H2703" s="43" t="s">
        <v>88</v>
      </c>
    </row>
    <row r="2704" spans="1:8" x14ac:dyDescent="0.25">
      <c r="A2704" s="43" t="s">
        <v>2973</v>
      </c>
      <c r="B2704" s="43" t="s">
        <v>97</v>
      </c>
      <c r="C2704" s="46">
        <v>56</v>
      </c>
      <c r="D2704" s="46">
        <v>1489409.4841281252</v>
      </c>
      <c r="E2704" s="43">
        <v>119152.75873025002</v>
      </c>
      <c r="F2704" s="43" t="s">
        <v>70</v>
      </c>
      <c r="G2704" s="43" t="s">
        <v>71</v>
      </c>
      <c r="H2704" s="43" t="s">
        <v>72</v>
      </c>
    </row>
    <row r="2705" spans="1:8" x14ac:dyDescent="0.25">
      <c r="A2705" s="72" t="s">
        <v>2351</v>
      </c>
      <c r="B2705" s="72" t="s">
        <v>211</v>
      </c>
      <c r="C2705" s="73">
        <v>56</v>
      </c>
      <c r="D2705" s="73">
        <v>1600028.343293261</v>
      </c>
      <c r="E2705" s="72">
        <v>160002.83432932611</v>
      </c>
      <c r="F2705" s="72" t="s">
        <v>70</v>
      </c>
      <c r="G2705" s="72" t="s">
        <v>71</v>
      </c>
      <c r="H2705" s="72" t="s">
        <v>72</v>
      </c>
    </row>
    <row r="2706" spans="1:8" x14ac:dyDescent="0.25">
      <c r="A2706" s="72" t="s">
        <v>2846</v>
      </c>
      <c r="B2706" s="72" t="s">
        <v>73</v>
      </c>
      <c r="C2706" s="73">
        <v>56</v>
      </c>
      <c r="D2706" s="73">
        <v>1599174.3246034207</v>
      </c>
      <c r="E2706" s="72">
        <v>127933.94596827366</v>
      </c>
      <c r="F2706" s="72" t="s">
        <v>87</v>
      </c>
      <c r="G2706" s="72" t="s">
        <v>71</v>
      </c>
      <c r="H2706" s="72" t="s">
        <v>88</v>
      </c>
    </row>
    <row r="2707" spans="1:8" x14ac:dyDescent="0.25">
      <c r="A2707" s="43" t="s">
        <v>4135</v>
      </c>
      <c r="B2707" s="43" t="s">
        <v>75</v>
      </c>
      <c r="C2707" s="46">
        <v>56</v>
      </c>
      <c r="D2707" s="46">
        <v>1246423.794793606</v>
      </c>
      <c r="E2707" s="43">
        <v>62321.189739680303</v>
      </c>
      <c r="F2707" s="43" t="s">
        <v>106</v>
      </c>
      <c r="G2707" s="43" t="s">
        <v>71</v>
      </c>
      <c r="H2707" s="43" t="s">
        <v>72</v>
      </c>
    </row>
    <row r="2708" spans="1:8" x14ac:dyDescent="0.25">
      <c r="A2708" s="43" t="s">
        <v>2525</v>
      </c>
      <c r="B2708" s="43" t="s">
        <v>73</v>
      </c>
      <c r="C2708" s="46">
        <v>56</v>
      </c>
      <c r="D2708" s="46">
        <v>1640119.2933109838</v>
      </c>
      <c r="E2708" s="43">
        <v>147610.73639798854</v>
      </c>
      <c r="F2708" s="43" t="s">
        <v>87</v>
      </c>
      <c r="G2708" s="43" t="s">
        <v>71</v>
      </c>
      <c r="H2708" s="43" t="s">
        <v>88</v>
      </c>
    </row>
    <row r="2709" spans="1:8" x14ac:dyDescent="0.25">
      <c r="A2709" s="72" t="s">
        <v>3426</v>
      </c>
      <c r="B2709" s="72" t="s">
        <v>257</v>
      </c>
      <c r="C2709" s="73">
        <v>56</v>
      </c>
      <c r="D2709" s="73">
        <v>1306713.7155539168</v>
      </c>
      <c r="E2709" s="72">
        <v>91469.960088774169</v>
      </c>
      <c r="F2709" s="72" t="s">
        <v>106</v>
      </c>
      <c r="G2709" s="72" t="s">
        <v>71</v>
      </c>
      <c r="H2709" s="72" t="s">
        <v>72</v>
      </c>
    </row>
    <row r="2710" spans="1:8" x14ac:dyDescent="0.25">
      <c r="A2710" s="72" t="s">
        <v>2692</v>
      </c>
      <c r="B2710" s="72" t="s">
        <v>554</v>
      </c>
      <c r="C2710" s="73">
        <v>56</v>
      </c>
      <c r="D2710" s="73">
        <v>1367898.1777407734</v>
      </c>
      <c r="E2710" s="72">
        <v>136789.81777407735</v>
      </c>
      <c r="F2710" s="72" t="s">
        <v>106</v>
      </c>
      <c r="G2710" s="72" t="s">
        <v>71</v>
      </c>
      <c r="H2710" s="72" t="s">
        <v>72</v>
      </c>
    </row>
    <row r="2711" spans="1:8" x14ac:dyDescent="0.25">
      <c r="A2711" s="43" t="s">
        <v>3610</v>
      </c>
      <c r="B2711" s="43" t="s">
        <v>75</v>
      </c>
      <c r="C2711" s="46">
        <v>56</v>
      </c>
      <c r="D2711" s="46">
        <v>1379104.2224070407</v>
      </c>
      <c r="E2711" s="43">
        <v>82746.253344422454</v>
      </c>
      <c r="F2711" s="43" t="s">
        <v>78</v>
      </c>
      <c r="G2711" s="43" t="s">
        <v>71</v>
      </c>
      <c r="H2711" s="43" t="s">
        <v>72</v>
      </c>
    </row>
    <row r="2712" spans="1:8" x14ac:dyDescent="0.25">
      <c r="A2712" s="43" t="s">
        <v>1837</v>
      </c>
      <c r="B2712" s="43" t="s">
        <v>73</v>
      </c>
      <c r="C2712" s="46">
        <v>56</v>
      </c>
      <c r="D2712" s="46">
        <v>1690135.2723405224</v>
      </c>
      <c r="E2712" s="43">
        <v>202816.23268086271</v>
      </c>
      <c r="F2712" s="43" t="s">
        <v>70</v>
      </c>
      <c r="G2712" s="43" t="s">
        <v>71</v>
      </c>
      <c r="H2712" s="43" t="s">
        <v>72</v>
      </c>
    </row>
    <row r="2713" spans="1:8" x14ac:dyDescent="0.25">
      <c r="A2713" s="72" t="s">
        <v>1838</v>
      </c>
      <c r="B2713" s="72" t="s">
        <v>97</v>
      </c>
      <c r="C2713" s="73">
        <v>56</v>
      </c>
      <c r="D2713" s="73">
        <v>1690135.2723405224</v>
      </c>
      <c r="E2713" s="72">
        <v>202816.23268086271</v>
      </c>
      <c r="F2713" s="72" t="s">
        <v>70</v>
      </c>
      <c r="G2713" s="72" t="s">
        <v>71</v>
      </c>
      <c r="H2713" s="72" t="s">
        <v>72</v>
      </c>
    </row>
    <row r="2714" spans="1:8" x14ac:dyDescent="0.25">
      <c r="A2714" s="72" t="s">
        <v>2654</v>
      </c>
      <c r="B2714" s="72" t="s">
        <v>97</v>
      </c>
      <c r="C2714" s="73">
        <v>56</v>
      </c>
      <c r="D2714" s="73">
        <v>1548062.7294768114</v>
      </c>
      <c r="E2714" s="72">
        <v>139325.64565291302</v>
      </c>
      <c r="F2714" s="72" t="s">
        <v>70</v>
      </c>
      <c r="G2714" s="72" t="s">
        <v>71</v>
      </c>
      <c r="H2714" s="72" t="s">
        <v>72</v>
      </c>
    </row>
    <row r="2715" spans="1:8" x14ac:dyDescent="0.25">
      <c r="A2715" s="43" t="s">
        <v>2352</v>
      </c>
      <c r="B2715" s="43" t="s">
        <v>102</v>
      </c>
      <c r="C2715" s="46">
        <v>56</v>
      </c>
      <c r="D2715" s="46">
        <v>1600028.343293261</v>
      </c>
      <c r="E2715" s="43">
        <v>160002.83432932611</v>
      </c>
      <c r="F2715" s="43" t="s">
        <v>70</v>
      </c>
      <c r="G2715" s="43" t="s">
        <v>71</v>
      </c>
      <c r="H2715" s="43" t="s">
        <v>72</v>
      </c>
    </row>
    <row r="2716" spans="1:8" x14ac:dyDescent="0.25">
      <c r="A2716" s="72" t="s">
        <v>4800</v>
      </c>
      <c r="B2716" s="72" t="s">
        <v>73</v>
      </c>
      <c r="C2716" s="73">
        <v>56</v>
      </c>
      <c r="D2716" s="73">
        <v>1135862.300820281</v>
      </c>
      <c r="E2716" s="72">
        <v>34075.869024608437</v>
      </c>
      <c r="F2716" s="72" t="s">
        <v>106</v>
      </c>
      <c r="G2716" s="72" t="s">
        <v>71</v>
      </c>
      <c r="H2716" s="72" t="s">
        <v>72</v>
      </c>
    </row>
    <row r="2717" spans="1:8" x14ac:dyDescent="0.25">
      <c r="A2717" s="72" t="s">
        <v>3611</v>
      </c>
      <c r="B2717" s="72" t="s">
        <v>75</v>
      </c>
      <c r="C2717" s="73">
        <v>56</v>
      </c>
      <c r="D2717" s="73">
        <v>1379104.2224070407</v>
      </c>
      <c r="E2717" s="72">
        <v>82746.253344422454</v>
      </c>
      <c r="F2717" s="72" t="s">
        <v>78</v>
      </c>
      <c r="G2717" s="72" t="s">
        <v>71</v>
      </c>
      <c r="H2717" s="72" t="s">
        <v>72</v>
      </c>
    </row>
    <row r="2718" spans="1:8" x14ac:dyDescent="0.25">
      <c r="A2718" s="72" t="s">
        <v>1777</v>
      </c>
      <c r="B2718" s="72" t="s">
        <v>93</v>
      </c>
      <c r="C2718" s="73">
        <v>56</v>
      </c>
      <c r="D2718" s="73">
        <v>1739618.6936983659</v>
      </c>
      <c r="E2718" s="72">
        <v>208754.24324380391</v>
      </c>
      <c r="F2718" s="72" t="s">
        <v>87</v>
      </c>
      <c r="G2718" s="72" t="s">
        <v>71</v>
      </c>
      <c r="H2718" s="72" t="s">
        <v>88</v>
      </c>
    </row>
    <row r="2719" spans="1:8" x14ac:dyDescent="0.25">
      <c r="A2719" s="72" t="s">
        <v>2582</v>
      </c>
      <c r="B2719" s="72" t="s">
        <v>77</v>
      </c>
      <c r="C2719" s="73">
        <v>56</v>
      </c>
      <c r="D2719" s="73">
        <v>1595347.8911224292</v>
      </c>
      <c r="E2719" s="72">
        <v>143581.31020101861</v>
      </c>
      <c r="F2719" s="72" t="s">
        <v>78</v>
      </c>
      <c r="G2719" s="72" t="s">
        <v>71</v>
      </c>
      <c r="H2719" s="72" t="s">
        <v>72</v>
      </c>
    </row>
    <row r="2720" spans="1:8" x14ac:dyDescent="0.25">
      <c r="A2720" s="43" t="s">
        <v>1226</v>
      </c>
      <c r="B2720" s="43" t="s">
        <v>77</v>
      </c>
      <c r="C2720" s="46">
        <v>56</v>
      </c>
      <c r="D2720" s="46">
        <v>1767528.6935706169</v>
      </c>
      <c r="E2720" s="43">
        <v>247454.01709988635</v>
      </c>
      <c r="F2720" s="43" t="s">
        <v>70</v>
      </c>
      <c r="G2720" s="43" t="s">
        <v>71</v>
      </c>
      <c r="H2720" s="43" t="s">
        <v>72</v>
      </c>
    </row>
    <row r="2721" spans="1:8" x14ac:dyDescent="0.25">
      <c r="A2721" s="43" t="s">
        <v>1778</v>
      </c>
      <c r="B2721" s="43" t="s">
        <v>73</v>
      </c>
      <c r="C2721" s="46">
        <v>56</v>
      </c>
      <c r="D2721" s="46">
        <v>1739618.6936983659</v>
      </c>
      <c r="E2721" s="43">
        <v>208754.24324380391</v>
      </c>
      <c r="F2721" s="43" t="s">
        <v>87</v>
      </c>
      <c r="G2721" s="43" t="s">
        <v>71</v>
      </c>
      <c r="H2721" s="43" t="s">
        <v>88</v>
      </c>
    </row>
    <row r="2722" spans="1:8" x14ac:dyDescent="0.25">
      <c r="A2722" s="72" t="s">
        <v>4162</v>
      </c>
      <c r="B2722" s="72" t="s">
        <v>110</v>
      </c>
      <c r="C2722" s="73">
        <v>56</v>
      </c>
      <c r="D2722" s="73">
        <v>1222001.0915058996</v>
      </c>
      <c r="E2722" s="72">
        <v>61100.054575294984</v>
      </c>
      <c r="F2722" s="72" t="s">
        <v>70</v>
      </c>
      <c r="G2722" s="72" t="s">
        <v>71</v>
      </c>
      <c r="H2722" s="72" t="s">
        <v>72</v>
      </c>
    </row>
    <row r="2723" spans="1:8" x14ac:dyDescent="0.25">
      <c r="A2723" s="43" t="s">
        <v>2085</v>
      </c>
      <c r="B2723" s="43" t="s">
        <v>102</v>
      </c>
      <c r="C2723" s="46">
        <v>56</v>
      </c>
      <c r="D2723" s="46">
        <v>1647020.0967780852</v>
      </c>
      <c r="E2723" s="43">
        <v>181172.2106455894</v>
      </c>
      <c r="F2723" s="43" t="s">
        <v>70</v>
      </c>
      <c r="G2723" s="43" t="s">
        <v>71</v>
      </c>
      <c r="H2723" s="43" t="s">
        <v>72</v>
      </c>
    </row>
    <row r="2724" spans="1:8" x14ac:dyDescent="0.25">
      <c r="A2724" s="43" t="s">
        <v>3660</v>
      </c>
      <c r="B2724" s="43" t="s">
        <v>211</v>
      </c>
      <c r="C2724" s="46">
        <v>56</v>
      </c>
      <c r="D2724" s="46">
        <v>1337287.7828684314</v>
      </c>
      <c r="E2724" s="43">
        <v>80237.266972105906</v>
      </c>
      <c r="F2724" s="43" t="s">
        <v>70</v>
      </c>
      <c r="G2724" s="43" t="s">
        <v>71</v>
      </c>
      <c r="H2724" s="43" t="s">
        <v>72</v>
      </c>
    </row>
    <row r="2725" spans="1:8" x14ac:dyDescent="0.25">
      <c r="A2725" s="72" t="s">
        <v>3298</v>
      </c>
      <c r="B2725" s="72" t="s">
        <v>73</v>
      </c>
      <c r="C2725" s="73">
        <v>56</v>
      </c>
      <c r="D2725" s="73">
        <v>1421121.2015709698</v>
      </c>
      <c r="E2725" s="72">
        <v>99478.484109967874</v>
      </c>
      <c r="F2725" s="72" t="s">
        <v>70</v>
      </c>
      <c r="G2725" s="72" t="s">
        <v>71</v>
      </c>
      <c r="H2725" s="72" t="s">
        <v>72</v>
      </c>
    </row>
    <row r="2726" spans="1:8" x14ac:dyDescent="0.25">
      <c r="A2726" s="72" t="s">
        <v>2526</v>
      </c>
      <c r="B2726" s="72" t="s">
        <v>73</v>
      </c>
      <c r="C2726" s="73">
        <v>56</v>
      </c>
      <c r="D2726" s="73">
        <v>1640119.2933109838</v>
      </c>
      <c r="E2726" s="72">
        <v>147610.73639798854</v>
      </c>
      <c r="F2726" s="72" t="s">
        <v>87</v>
      </c>
      <c r="G2726" s="72" t="s">
        <v>71</v>
      </c>
      <c r="H2726" s="72" t="s">
        <v>88</v>
      </c>
    </row>
    <row r="2727" spans="1:8" x14ac:dyDescent="0.25">
      <c r="A2727" s="72" t="s">
        <v>3894</v>
      </c>
      <c r="B2727" s="72" t="s">
        <v>73</v>
      </c>
      <c r="C2727" s="73">
        <v>56</v>
      </c>
      <c r="D2727" s="73">
        <v>1424133.2418585434</v>
      </c>
      <c r="E2727" s="72">
        <v>71206.662092927174</v>
      </c>
      <c r="F2727" s="72" t="s">
        <v>87</v>
      </c>
      <c r="G2727" s="72" t="s">
        <v>71</v>
      </c>
      <c r="H2727" s="72" t="s">
        <v>88</v>
      </c>
    </row>
    <row r="2728" spans="1:8" x14ac:dyDescent="0.25">
      <c r="A2728" s="72" t="s">
        <v>3661</v>
      </c>
      <c r="B2728" s="72" t="s">
        <v>112</v>
      </c>
      <c r="C2728" s="73">
        <v>56</v>
      </c>
      <c r="D2728" s="73">
        <v>1337287.7828684314</v>
      </c>
      <c r="E2728" s="72">
        <v>80237.266972105906</v>
      </c>
      <c r="F2728" s="72" t="s">
        <v>70</v>
      </c>
      <c r="G2728" s="72" t="s">
        <v>71</v>
      </c>
      <c r="H2728" s="72" t="s">
        <v>72</v>
      </c>
    </row>
    <row r="2729" spans="1:8" x14ac:dyDescent="0.25">
      <c r="A2729" s="43" t="s">
        <v>2000</v>
      </c>
      <c r="B2729" s="43" t="s">
        <v>73</v>
      </c>
      <c r="C2729" s="46">
        <v>56</v>
      </c>
      <c r="D2729" s="46">
        <v>1709457.7163542223</v>
      </c>
      <c r="E2729" s="43">
        <v>188040.34879896446</v>
      </c>
      <c r="F2729" s="43" t="s">
        <v>87</v>
      </c>
      <c r="G2729" s="43" t="s">
        <v>71</v>
      </c>
      <c r="H2729" s="43" t="s">
        <v>88</v>
      </c>
    </row>
    <row r="2730" spans="1:8" x14ac:dyDescent="0.25">
      <c r="A2730" s="43" t="s">
        <v>4163</v>
      </c>
      <c r="B2730" s="43" t="s">
        <v>85</v>
      </c>
      <c r="C2730" s="46">
        <v>56</v>
      </c>
      <c r="D2730" s="46">
        <v>1222001.0915058996</v>
      </c>
      <c r="E2730" s="43">
        <v>61100.054575294984</v>
      </c>
      <c r="F2730" s="43" t="s">
        <v>70</v>
      </c>
      <c r="G2730" s="43" t="s">
        <v>71</v>
      </c>
      <c r="H2730" s="43" t="s">
        <v>72</v>
      </c>
    </row>
    <row r="2731" spans="1:8" x14ac:dyDescent="0.25">
      <c r="A2731" s="72" t="s">
        <v>4164</v>
      </c>
      <c r="B2731" s="72" t="s">
        <v>211</v>
      </c>
      <c r="C2731" s="73">
        <v>56</v>
      </c>
      <c r="D2731" s="73">
        <v>1222001.0915058996</v>
      </c>
      <c r="E2731" s="72">
        <v>61100.054575294984</v>
      </c>
      <c r="F2731" s="72" t="s">
        <v>70</v>
      </c>
      <c r="G2731" s="72" t="s">
        <v>71</v>
      </c>
      <c r="H2731" s="72" t="s">
        <v>72</v>
      </c>
    </row>
    <row r="2732" spans="1:8" x14ac:dyDescent="0.25">
      <c r="A2732" s="43" t="s">
        <v>2655</v>
      </c>
      <c r="B2732" s="43" t="s">
        <v>77</v>
      </c>
      <c r="C2732" s="46">
        <v>56</v>
      </c>
      <c r="D2732" s="46">
        <v>1548062.7294768114</v>
      </c>
      <c r="E2732" s="43">
        <v>139325.64565291302</v>
      </c>
      <c r="F2732" s="43" t="s">
        <v>70</v>
      </c>
      <c r="G2732" s="43" t="s">
        <v>71</v>
      </c>
      <c r="H2732" s="43" t="s">
        <v>72</v>
      </c>
    </row>
    <row r="2733" spans="1:8" x14ac:dyDescent="0.25">
      <c r="A2733" s="72" t="s">
        <v>2353</v>
      </c>
      <c r="B2733" s="72" t="s">
        <v>102</v>
      </c>
      <c r="C2733" s="73">
        <v>56</v>
      </c>
      <c r="D2733" s="73">
        <v>1600028.343293261</v>
      </c>
      <c r="E2733" s="72">
        <v>160002.83432932611</v>
      </c>
      <c r="F2733" s="72" t="s">
        <v>70</v>
      </c>
      <c r="G2733" s="72" t="s">
        <v>71</v>
      </c>
      <c r="H2733" s="72" t="s">
        <v>72</v>
      </c>
    </row>
    <row r="2734" spans="1:8" x14ac:dyDescent="0.25">
      <c r="A2734" s="72" t="s">
        <v>1779</v>
      </c>
      <c r="B2734" s="72" t="s">
        <v>93</v>
      </c>
      <c r="C2734" s="73">
        <v>56</v>
      </c>
      <c r="D2734" s="73">
        <v>1739618.6936983659</v>
      </c>
      <c r="E2734" s="72">
        <v>208754.24324380391</v>
      </c>
      <c r="F2734" s="72" t="s">
        <v>87</v>
      </c>
      <c r="G2734" s="72" t="s">
        <v>71</v>
      </c>
      <c r="H2734" s="72" t="s">
        <v>88</v>
      </c>
    </row>
    <row r="2735" spans="1:8" x14ac:dyDescent="0.25">
      <c r="A2735" s="43" t="s">
        <v>2693</v>
      </c>
      <c r="B2735" s="43" t="s">
        <v>257</v>
      </c>
      <c r="C2735" s="46">
        <v>56</v>
      </c>
      <c r="D2735" s="46">
        <v>1367898.1777407734</v>
      </c>
      <c r="E2735" s="43">
        <v>136789.81777407735</v>
      </c>
      <c r="F2735" s="43" t="s">
        <v>106</v>
      </c>
      <c r="G2735" s="43" t="s">
        <v>71</v>
      </c>
      <c r="H2735" s="43" t="s">
        <v>72</v>
      </c>
    </row>
    <row r="2736" spans="1:8" x14ac:dyDescent="0.25">
      <c r="A2736" s="43" t="s">
        <v>2945</v>
      </c>
      <c r="B2736" s="43" t="s">
        <v>127</v>
      </c>
      <c r="C2736" s="46">
        <v>56</v>
      </c>
      <c r="D2736" s="46">
        <v>1349926.4785775046</v>
      </c>
      <c r="E2736" s="43">
        <v>121493.38307197542</v>
      </c>
      <c r="F2736" s="43" t="s">
        <v>106</v>
      </c>
      <c r="G2736" s="43" t="s">
        <v>71</v>
      </c>
      <c r="H2736" s="43" t="s">
        <v>72</v>
      </c>
    </row>
    <row r="2737" spans="1:8" x14ac:dyDescent="0.25">
      <c r="A2737" s="43" t="s">
        <v>2354</v>
      </c>
      <c r="B2737" s="43" t="s">
        <v>211</v>
      </c>
      <c r="C2737" s="46">
        <v>56</v>
      </c>
      <c r="D2737" s="46">
        <v>1600028.343293261</v>
      </c>
      <c r="E2737" s="43">
        <v>160002.83432932611</v>
      </c>
      <c r="F2737" s="43" t="s">
        <v>70</v>
      </c>
      <c r="G2737" s="43" t="s">
        <v>71</v>
      </c>
      <c r="H2737" s="43" t="s">
        <v>72</v>
      </c>
    </row>
    <row r="2738" spans="1:8" x14ac:dyDescent="0.25">
      <c r="A2738" s="72" t="s">
        <v>2656</v>
      </c>
      <c r="B2738" s="72" t="s">
        <v>73</v>
      </c>
      <c r="C2738" s="73">
        <v>56</v>
      </c>
      <c r="D2738" s="73">
        <v>1548062.7294768114</v>
      </c>
      <c r="E2738" s="72">
        <v>139325.64565291302</v>
      </c>
      <c r="F2738" s="72" t="s">
        <v>70</v>
      </c>
      <c r="G2738" s="72" t="s">
        <v>71</v>
      </c>
      <c r="H2738" s="72" t="s">
        <v>72</v>
      </c>
    </row>
    <row r="2739" spans="1:8" x14ac:dyDescent="0.25">
      <c r="A2739" s="43" t="s">
        <v>1839</v>
      </c>
      <c r="B2739" s="43" t="s">
        <v>102</v>
      </c>
      <c r="C2739" s="46">
        <v>56</v>
      </c>
      <c r="D2739" s="46">
        <v>1690135.2723405224</v>
      </c>
      <c r="E2739" s="43">
        <v>202816.23268086271</v>
      </c>
      <c r="F2739" s="43" t="s">
        <v>70</v>
      </c>
      <c r="G2739" s="43" t="s">
        <v>71</v>
      </c>
      <c r="H2739" s="43" t="s">
        <v>72</v>
      </c>
    </row>
    <row r="2740" spans="1:8" x14ac:dyDescent="0.25">
      <c r="A2740" s="43" t="s">
        <v>3925</v>
      </c>
      <c r="B2740" s="43" t="s">
        <v>93</v>
      </c>
      <c r="C2740" s="46">
        <v>55</v>
      </c>
      <c r="D2740" s="46">
        <v>1398026.254924868</v>
      </c>
      <c r="E2740" s="43">
        <v>69901.312746243406</v>
      </c>
      <c r="F2740" s="43" t="s">
        <v>87</v>
      </c>
      <c r="G2740" s="43" t="s">
        <v>71</v>
      </c>
      <c r="H2740" s="43" t="s">
        <v>88</v>
      </c>
    </row>
    <row r="2741" spans="1:8" x14ac:dyDescent="0.25">
      <c r="A2741" s="43" t="s">
        <v>1424</v>
      </c>
      <c r="B2741" s="43" t="s">
        <v>269</v>
      </c>
      <c r="C2741" s="46">
        <v>55</v>
      </c>
      <c r="D2741" s="46">
        <v>1735183.7511193729</v>
      </c>
      <c r="E2741" s="43">
        <v>242925.72515671217</v>
      </c>
      <c r="F2741" s="43" t="s">
        <v>70</v>
      </c>
      <c r="G2741" s="43" t="s">
        <v>71</v>
      </c>
      <c r="H2741" s="43" t="s">
        <v>72</v>
      </c>
    </row>
    <row r="2742" spans="1:8" x14ac:dyDescent="0.25">
      <c r="A2742" s="72" t="s">
        <v>2732</v>
      </c>
      <c r="B2742" s="72" t="s">
        <v>77</v>
      </c>
      <c r="C2742" s="73">
        <v>55</v>
      </c>
      <c r="D2742" s="73">
        <v>1342700.8561694904</v>
      </c>
      <c r="E2742" s="72">
        <v>134270.08561694904</v>
      </c>
      <c r="F2742" s="72" t="s">
        <v>106</v>
      </c>
      <c r="G2742" s="72" t="s">
        <v>71</v>
      </c>
      <c r="H2742" s="72" t="s">
        <v>72</v>
      </c>
    </row>
    <row r="2743" spans="1:8" x14ac:dyDescent="0.25">
      <c r="A2743" s="43" t="s">
        <v>4814</v>
      </c>
      <c r="B2743" s="43" t="s">
        <v>75</v>
      </c>
      <c r="C2743" s="46">
        <v>55</v>
      </c>
      <c r="D2743" s="46">
        <v>1114808.4770511501</v>
      </c>
      <c r="E2743" s="43">
        <v>33444.254311534511</v>
      </c>
      <c r="F2743" s="43" t="s">
        <v>106</v>
      </c>
      <c r="G2743" s="43" t="s">
        <v>71</v>
      </c>
      <c r="H2743" s="43" t="s">
        <v>72</v>
      </c>
    </row>
    <row r="2744" spans="1:8" x14ac:dyDescent="0.25">
      <c r="A2744" s="43" t="s">
        <v>1886</v>
      </c>
      <c r="B2744" s="43" t="s">
        <v>73</v>
      </c>
      <c r="C2744" s="46">
        <v>55</v>
      </c>
      <c r="D2744" s="46">
        <v>1659172.3552683874</v>
      </c>
      <c r="E2744" s="43">
        <v>199100.68263220653</v>
      </c>
      <c r="F2744" s="43" t="s">
        <v>70</v>
      </c>
      <c r="G2744" s="43" t="s">
        <v>71</v>
      </c>
      <c r="H2744" s="43" t="s">
        <v>72</v>
      </c>
    </row>
    <row r="2745" spans="1:8" x14ac:dyDescent="0.25">
      <c r="A2745" s="72" t="s">
        <v>1640</v>
      </c>
      <c r="B2745" s="72" t="s">
        <v>73</v>
      </c>
      <c r="C2745" s="73">
        <v>55</v>
      </c>
      <c r="D2745" s="73">
        <v>1698447.8461467021</v>
      </c>
      <c r="E2745" s="72">
        <v>220798.21999907127</v>
      </c>
      <c r="F2745" s="72" t="s">
        <v>70</v>
      </c>
      <c r="G2745" s="72" t="s">
        <v>71</v>
      </c>
      <c r="H2745" s="72" t="s">
        <v>72</v>
      </c>
    </row>
    <row r="2746" spans="1:8" x14ac:dyDescent="0.25">
      <c r="A2746" s="43" t="s">
        <v>2044</v>
      </c>
      <c r="B2746" s="43" t="s">
        <v>73</v>
      </c>
      <c r="C2746" s="46">
        <v>55</v>
      </c>
      <c r="D2746" s="46">
        <v>1678255.6495188382</v>
      </c>
      <c r="E2746" s="43">
        <v>184608.12144707222</v>
      </c>
      <c r="F2746" s="43" t="s">
        <v>87</v>
      </c>
      <c r="G2746" s="43" t="s">
        <v>71</v>
      </c>
      <c r="H2746" s="43" t="s">
        <v>88</v>
      </c>
    </row>
    <row r="2747" spans="1:8" x14ac:dyDescent="0.25">
      <c r="A2747" s="43" t="s">
        <v>3171</v>
      </c>
      <c r="B2747" s="43" t="s">
        <v>73</v>
      </c>
      <c r="C2747" s="46">
        <v>55</v>
      </c>
      <c r="D2747" s="46">
        <v>1523625.2044674715</v>
      </c>
      <c r="E2747" s="43">
        <v>106653.764312723</v>
      </c>
      <c r="F2747" s="43" t="s">
        <v>87</v>
      </c>
      <c r="G2747" s="43" t="s">
        <v>71</v>
      </c>
      <c r="H2747" s="43" t="s">
        <v>88</v>
      </c>
    </row>
    <row r="2748" spans="1:8" x14ac:dyDescent="0.25">
      <c r="A2748" s="72" t="s">
        <v>3926</v>
      </c>
      <c r="B2748" s="72" t="s">
        <v>73</v>
      </c>
      <c r="C2748" s="73">
        <v>55</v>
      </c>
      <c r="D2748" s="73">
        <v>1398026.254924868</v>
      </c>
      <c r="E2748" s="72">
        <v>69901.312746243406</v>
      </c>
      <c r="F2748" s="72" t="s">
        <v>87</v>
      </c>
      <c r="G2748" s="72" t="s">
        <v>71</v>
      </c>
      <c r="H2748" s="72" t="s">
        <v>88</v>
      </c>
    </row>
    <row r="2749" spans="1:8" x14ac:dyDescent="0.25">
      <c r="A2749" s="72" t="s">
        <v>2694</v>
      </c>
      <c r="B2749" s="72" t="s">
        <v>97</v>
      </c>
      <c r="C2749" s="73">
        <v>55</v>
      </c>
      <c r="D2749" s="73">
        <v>1519636.822098671</v>
      </c>
      <c r="E2749" s="72">
        <v>136767.31398888037</v>
      </c>
      <c r="F2749" s="72" t="s">
        <v>70</v>
      </c>
      <c r="G2749" s="72" t="s">
        <v>71</v>
      </c>
      <c r="H2749" s="72" t="s">
        <v>72</v>
      </c>
    </row>
    <row r="2750" spans="1:8" x14ac:dyDescent="0.25">
      <c r="A2750" s="72" t="s">
        <v>3172</v>
      </c>
      <c r="B2750" s="72" t="s">
        <v>73</v>
      </c>
      <c r="C2750" s="73">
        <v>55</v>
      </c>
      <c r="D2750" s="73">
        <v>1523625.2044674715</v>
      </c>
      <c r="E2750" s="72">
        <v>106653.764312723</v>
      </c>
      <c r="F2750" s="72" t="s">
        <v>87</v>
      </c>
      <c r="G2750" s="72" t="s">
        <v>71</v>
      </c>
      <c r="H2750" s="72" t="s">
        <v>88</v>
      </c>
    </row>
    <row r="2751" spans="1:8" x14ac:dyDescent="0.25">
      <c r="A2751" s="43" t="s">
        <v>3706</v>
      </c>
      <c r="B2751" s="43" t="s">
        <v>97</v>
      </c>
      <c r="C2751" s="46">
        <v>55</v>
      </c>
      <c r="D2751" s="46">
        <v>1312625.7138225837</v>
      </c>
      <c r="E2751" s="43">
        <v>78757.542829355036</v>
      </c>
      <c r="F2751" s="43" t="s">
        <v>70</v>
      </c>
      <c r="G2751" s="43" t="s">
        <v>71</v>
      </c>
      <c r="H2751" s="43" t="s">
        <v>72</v>
      </c>
    </row>
    <row r="2752" spans="1:8" x14ac:dyDescent="0.25">
      <c r="A2752" s="72" t="s">
        <v>1425</v>
      </c>
      <c r="B2752" s="72" t="s">
        <v>107</v>
      </c>
      <c r="C2752" s="73">
        <v>55</v>
      </c>
      <c r="D2752" s="73">
        <v>1735183.7511193729</v>
      </c>
      <c r="E2752" s="72">
        <v>242925.72515671217</v>
      </c>
      <c r="F2752" s="72" t="s">
        <v>70</v>
      </c>
      <c r="G2752" s="72" t="s">
        <v>71</v>
      </c>
      <c r="H2752" s="72" t="s">
        <v>72</v>
      </c>
    </row>
    <row r="2753" spans="1:8" x14ac:dyDescent="0.25">
      <c r="A2753" s="43" t="s">
        <v>1813</v>
      </c>
      <c r="B2753" s="43" t="s">
        <v>265</v>
      </c>
      <c r="C2753" s="46">
        <v>55</v>
      </c>
      <c r="D2753" s="46">
        <v>1709107.9911648058</v>
      </c>
      <c r="E2753" s="43">
        <v>205092.95893977673</v>
      </c>
      <c r="F2753" s="43" t="s">
        <v>78</v>
      </c>
      <c r="G2753" s="43" t="s">
        <v>71</v>
      </c>
      <c r="H2753" s="43" t="s">
        <v>72</v>
      </c>
    </row>
    <row r="2754" spans="1:8" x14ac:dyDescent="0.25">
      <c r="A2754" s="72" t="s">
        <v>3707</v>
      </c>
      <c r="B2754" s="72" t="s">
        <v>73</v>
      </c>
      <c r="C2754" s="73">
        <v>55</v>
      </c>
      <c r="D2754" s="73">
        <v>1312625.7138225837</v>
      </c>
      <c r="E2754" s="72">
        <v>78757.542829355036</v>
      </c>
      <c r="F2754" s="72" t="s">
        <v>70</v>
      </c>
      <c r="G2754" s="72" t="s">
        <v>71</v>
      </c>
      <c r="H2754" s="72" t="s">
        <v>72</v>
      </c>
    </row>
    <row r="2755" spans="1:8" x14ac:dyDescent="0.25">
      <c r="A2755" s="72" t="s">
        <v>1814</v>
      </c>
      <c r="B2755" s="72" t="s">
        <v>73</v>
      </c>
      <c r="C2755" s="73">
        <v>55</v>
      </c>
      <c r="D2755" s="73">
        <v>1709107.9911648058</v>
      </c>
      <c r="E2755" s="72">
        <v>205092.95893977673</v>
      </c>
      <c r="F2755" s="72" t="s">
        <v>78</v>
      </c>
      <c r="G2755" s="72" t="s">
        <v>71</v>
      </c>
      <c r="H2755" s="72" t="s">
        <v>72</v>
      </c>
    </row>
    <row r="2756" spans="1:8" x14ac:dyDescent="0.25">
      <c r="A2756" s="43" t="s">
        <v>3636</v>
      </c>
      <c r="B2756" s="43" t="s">
        <v>92</v>
      </c>
      <c r="C2756" s="46">
        <v>55</v>
      </c>
      <c r="D2756" s="46">
        <v>1353569.9239842091</v>
      </c>
      <c r="E2756" s="43">
        <v>81214.195439052564</v>
      </c>
      <c r="F2756" s="43" t="s">
        <v>78</v>
      </c>
      <c r="G2756" s="43" t="s">
        <v>71</v>
      </c>
      <c r="H2756" s="43" t="s">
        <v>72</v>
      </c>
    </row>
    <row r="2757" spans="1:8" x14ac:dyDescent="0.25">
      <c r="A2757" s="43" t="s">
        <v>3708</v>
      </c>
      <c r="B2757" s="43" t="s">
        <v>102</v>
      </c>
      <c r="C2757" s="46">
        <v>55</v>
      </c>
      <c r="D2757" s="46">
        <v>1312625.7138225837</v>
      </c>
      <c r="E2757" s="43">
        <v>78757.542829355036</v>
      </c>
      <c r="F2757" s="43" t="s">
        <v>70</v>
      </c>
      <c r="G2757" s="43" t="s">
        <v>71</v>
      </c>
      <c r="H2757" s="43" t="s">
        <v>72</v>
      </c>
    </row>
    <row r="2758" spans="1:8" x14ac:dyDescent="0.25">
      <c r="A2758" s="72" t="s">
        <v>3709</v>
      </c>
      <c r="B2758" s="72" t="s">
        <v>102</v>
      </c>
      <c r="C2758" s="73">
        <v>55</v>
      </c>
      <c r="D2758" s="73">
        <v>1312625.7138225837</v>
      </c>
      <c r="E2758" s="72">
        <v>78757.542829355036</v>
      </c>
      <c r="F2758" s="72" t="s">
        <v>70</v>
      </c>
      <c r="G2758" s="72" t="s">
        <v>71</v>
      </c>
      <c r="H2758" s="72" t="s">
        <v>72</v>
      </c>
    </row>
    <row r="2759" spans="1:8" x14ac:dyDescent="0.25">
      <c r="A2759" s="43" t="s">
        <v>3271</v>
      </c>
      <c r="B2759" s="43" t="s">
        <v>73</v>
      </c>
      <c r="C2759" s="46">
        <v>55</v>
      </c>
      <c r="D2759" s="46">
        <v>1438042.599970188</v>
      </c>
      <c r="E2759" s="43">
        <v>100662.98199791314</v>
      </c>
      <c r="F2759" s="43" t="s">
        <v>78</v>
      </c>
      <c r="G2759" s="43" t="s">
        <v>71</v>
      </c>
      <c r="H2759" s="43" t="s">
        <v>72</v>
      </c>
    </row>
    <row r="2760" spans="1:8" x14ac:dyDescent="0.25">
      <c r="A2760" s="43" t="s">
        <v>2874</v>
      </c>
      <c r="B2760" s="43" t="s">
        <v>93</v>
      </c>
      <c r="C2760" s="46">
        <v>55</v>
      </c>
      <c r="D2760" s="46">
        <v>1569941.604049301</v>
      </c>
      <c r="E2760" s="43">
        <v>125595.32832394408</v>
      </c>
      <c r="F2760" s="43" t="s">
        <v>87</v>
      </c>
      <c r="G2760" s="43" t="s">
        <v>71</v>
      </c>
      <c r="H2760" s="43" t="s">
        <v>88</v>
      </c>
    </row>
    <row r="2761" spans="1:8" x14ac:dyDescent="0.25">
      <c r="A2761" s="72" t="s">
        <v>2394</v>
      </c>
      <c r="B2761" s="72" t="s">
        <v>97</v>
      </c>
      <c r="C2761" s="73">
        <v>55</v>
      </c>
      <c r="D2761" s="73">
        <v>1570674.478525541</v>
      </c>
      <c r="E2761" s="72">
        <v>157067.44785255412</v>
      </c>
      <c r="F2761" s="72" t="s">
        <v>70</v>
      </c>
      <c r="G2761" s="72" t="s">
        <v>71</v>
      </c>
      <c r="H2761" s="72" t="s">
        <v>72</v>
      </c>
    </row>
    <row r="2762" spans="1:8" x14ac:dyDescent="0.25">
      <c r="A2762" s="43" t="s">
        <v>1203</v>
      </c>
      <c r="B2762" s="43" t="s">
        <v>103</v>
      </c>
      <c r="C2762" s="46">
        <v>55</v>
      </c>
      <c r="D2762" s="46">
        <v>1794505.7351162587</v>
      </c>
      <c r="E2762" s="43">
        <v>269175.86026743881</v>
      </c>
      <c r="F2762" s="43" t="s">
        <v>84</v>
      </c>
      <c r="G2762" s="43" t="s">
        <v>71</v>
      </c>
      <c r="H2762" s="43" t="s">
        <v>72</v>
      </c>
    </row>
    <row r="2763" spans="1:8" x14ac:dyDescent="0.25">
      <c r="A2763" s="43" t="s">
        <v>2395</v>
      </c>
      <c r="B2763" s="43" t="s">
        <v>107</v>
      </c>
      <c r="C2763" s="46">
        <v>55</v>
      </c>
      <c r="D2763" s="46">
        <v>1570674.478525541</v>
      </c>
      <c r="E2763" s="43">
        <v>157067.44785255412</v>
      </c>
      <c r="F2763" s="43" t="s">
        <v>70</v>
      </c>
      <c r="G2763" s="43" t="s">
        <v>71</v>
      </c>
      <c r="H2763" s="43" t="s">
        <v>72</v>
      </c>
    </row>
    <row r="2764" spans="1:8" x14ac:dyDescent="0.25">
      <c r="A2764" s="72" t="s">
        <v>2396</v>
      </c>
      <c r="B2764" s="72" t="s">
        <v>439</v>
      </c>
      <c r="C2764" s="73">
        <v>55</v>
      </c>
      <c r="D2764" s="73">
        <v>1570674.478525541</v>
      </c>
      <c r="E2764" s="72">
        <v>157067.44785255412</v>
      </c>
      <c r="F2764" s="72" t="s">
        <v>70</v>
      </c>
      <c r="G2764" s="72" t="s">
        <v>71</v>
      </c>
      <c r="H2764" s="72" t="s">
        <v>72</v>
      </c>
    </row>
    <row r="2765" spans="1:8" x14ac:dyDescent="0.25">
      <c r="A2765" s="43" t="s">
        <v>4155</v>
      </c>
      <c r="B2765" s="43" t="s">
        <v>252</v>
      </c>
      <c r="C2765" s="46">
        <v>55</v>
      </c>
      <c r="D2765" s="46">
        <v>1223395.6586320938</v>
      </c>
      <c r="E2765" s="43">
        <v>61169.782931604692</v>
      </c>
      <c r="F2765" s="43" t="s">
        <v>106</v>
      </c>
      <c r="G2765" s="43" t="s">
        <v>71</v>
      </c>
      <c r="H2765" s="43" t="s">
        <v>72</v>
      </c>
    </row>
    <row r="2766" spans="1:8" x14ac:dyDescent="0.25">
      <c r="A2766" s="43" t="s">
        <v>2695</v>
      </c>
      <c r="B2766" s="43" t="s">
        <v>145</v>
      </c>
      <c r="C2766" s="46">
        <v>55</v>
      </c>
      <c r="D2766" s="46">
        <v>1519636.822098671</v>
      </c>
      <c r="E2766" s="43">
        <v>136767.31398888037</v>
      </c>
      <c r="F2766" s="43" t="s">
        <v>70</v>
      </c>
      <c r="G2766" s="43" t="s">
        <v>71</v>
      </c>
      <c r="H2766" s="43" t="s">
        <v>72</v>
      </c>
    </row>
    <row r="2767" spans="1:8" x14ac:dyDescent="0.25">
      <c r="A2767" s="72" t="s">
        <v>4156</v>
      </c>
      <c r="B2767" s="72" t="s">
        <v>1225</v>
      </c>
      <c r="C2767" s="73">
        <v>55</v>
      </c>
      <c r="D2767" s="73">
        <v>1223395.6586320938</v>
      </c>
      <c r="E2767" s="72">
        <v>61169.782931604692</v>
      </c>
      <c r="F2767" s="72" t="s">
        <v>106</v>
      </c>
      <c r="G2767" s="72" t="s">
        <v>71</v>
      </c>
      <c r="H2767" s="72" t="s">
        <v>72</v>
      </c>
    </row>
    <row r="2768" spans="1:8" x14ac:dyDescent="0.25">
      <c r="A2768" s="72" t="s">
        <v>1588</v>
      </c>
      <c r="B2768" s="72" t="s">
        <v>73</v>
      </c>
      <c r="C2768" s="73">
        <v>55</v>
      </c>
      <c r="D2768" s="73">
        <v>1735277.8261102585</v>
      </c>
      <c r="E2768" s="72">
        <v>225586.11739433362</v>
      </c>
      <c r="F2768" s="72" t="s">
        <v>87</v>
      </c>
      <c r="G2768" s="72" t="s">
        <v>71</v>
      </c>
      <c r="H2768" s="72" t="s">
        <v>88</v>
      </c>
    </row>
    <row r="2769" spans="1:8" x14ac:dyDescent="0.25">
      <c r="A2769" s="72" t="s">
        <v>2332</v>
      </c>
      <c r="B2769" s="72" t="s">
        <v>93</v>
      </c>
      <c r="C2769" s="73">
        <v>54</v>
      </c>
      <c r="D2769" s="73">
        <v>1347545.4038721954</v>
      </c>
      <c r="E2769" s="72">
        <v>161705.44846466344</v>
      </c>
      <c r="F2769" s="72" t="s">
        <v>106</v>
      </c>
      <c r="G2769" s="72" t="s">
        <v>71</v>
      </c>
      <c r="H2769" s="72" t="s">
        <v>72</v>
      </c>
    </row>
    <row r="2770" spans="1:8" x14ac:dyDescent="0.25">
      <c r="A2770" s="43" t="s">
        <v>3731</v>
      </c>
      <c r="B2770" s="43" t="s">
        <v>211</v>
      </c>
      <c r="C2770" s="46">
        <v>54</v>
      </c>
      <c r="D2770" s="46">
        <v>1287992.7883395758</v>
      </c>
      <c r="E2770" s="43">
        <v>77279.567300374561</v>
      </c>
      <c r="F2770" s="43" t="s">
        <v>70</v>
      </c>
      <c r="G2770" s="43" t="s">
        <v>71</v>
      </c>
      <c r="H2770" s="43" t="s">
        <v>72</v>
      </c>
    </row>
    <row r="2771" spans="1:8" x14ac:dyDescent="0.25">
      <c r="A2771" s="43" t="s">
        <v>2905</v>
      </c>
      <c r="B2771" s="43" t="s">
        <v>73</v>
      </c>
      <c r="C2771" s="46">
        <v>54</v>
      </c>
      <c r="D2771" s="46">
        <v>1540733.991243982</v>
      </c>
      <c r="E2771" s="43">
        <v>123258.71929951856</v>
      </c>
      <c r="F2771" s="43" t="s">
        <v>87</v>
      </c>
      <c r="G2771" s="43" t="s">
        <v>71</v>
      </c>
      <c r="H2771" s="43" t="s">
        <v>88</v>
      </c>
    </row>
    <row r="2772" spans="1:8" x14ac:dyDescent="0.25">
      <c r="A2772" s="43" t="s">
        <v>3237</v>
      </c>
      <c r="B2772" s="43" t="s">
        <v>75</v>
      </c>
      <c r="C2772" s="46">
        <v>54</v>
      </c>
      <c r="D2772" s="46">
        <v>1280763.8615290772</v>
      </c>
      <c r="E2772" s="43">
        <v>102461.10892232618</v>
      </c>
      <c r="F2772" s="43" t="s">
        <v>106</v>
      </c>
      <c r="G2772" s="43" t="s">
        <v>71</v>
      </c>
      <c r="H2772" s="43" t="s">
        <v>72</v>
      </c>
    </row>
    <row r="2773" spans="1:8" x14ac:dyDescent="0.25">
      <c r="A2773" s="43" t="s">
        <v>3005</v>
      </c>
      <c r="B2773" s="43" t="s">
        <v>75</v>
      </c>
      <c r="C2773" s="46">
        <v>54</v>
      </c>
      <c r="D2773" s="46">
        <v>1300202.5678628951</v>
      </c>
      <c r="E2773" s="43">
        <v>117018.23110766055</v>
      </c>
      <c r="F2773" s="43" t="s">
        <v>106</v>
      </c>
      <c r="G2773" s="43" t="s">
        <v>71</v>
      </c>
      <c r="H2773" s="43" t="s">
        <v>72</v>
      </c>
    </row>
    <row r="2774" spans="1:8" x14ac:dyDescent="0.25">
      <c r="A2774" s="72" t="s">
        <v>2542</v>
      </c>
      <c r="B2774" s="72" t="s">
        <v>75</v>
      </c>
      <c r="C2774" s="73">
        <v>54</v>
      </c>
      <c r="D2774" s="73">
        <v>1333207.3582092247</v>
      </c>
      <c r="E2774" s="72">
        <v>146652.80940301472</v>
      </c>
      <c r="F2774" s="72" t="s">
        <v>106</v>
      </c>
      <c r="G2774" s="72" t="s">
        <v>71</v>
      </c>
      <c r="H2774" s="72" t="s">
        <v>72</v>
      </c>
    </row>
    <row r="2775" spans="1:8" x14ac:dyDescent="0.25">
      <c r="A2775" s="43" t="s">
        <v>4179</v>
      </c>
      <c r="B2775" s="43" t="s">
        <v>554</v>
      </c>
      <c r="C2775" s="46">
        <v>54</v>
      </c>
      <c r="D2775" s="46">
        <v>1200396.4084998497</v>
      </c>
      <c r="E2775" s="43">
        <v>60019.820424992489</v>
      </c>
      <c r="F2775" s="43" t="s">
        <v>106</v>
      </c>
      <c r="G2775" s="43" t="s">
        <v>71</v>
      </c>
      <c r="H2775" s="43" t="s">
        <v>72</v>
      </c>
    </row>
    <row r="2776" spans="1:8" x14ac:dyDescent="0.25">
      <c r="A2776" s="43" t="s">
        <v>2733</v>
      </c>
      <c r="B2776" s="43" t="s">
        <v>112</v>
      </c>
      <c r="C2776" s="46">
        <v>54</v>
      </c>
      <c r="D2776" s="46">
        <v>1491240.0582833707</v>
      </c>
      <c r="E2776" s="43">
        <v>134211.60524550336</v>
      </c>
      <c r="F2776" s="43" t="s">
        <v>70</v>
      </c>
      <c r="G2776" s="43" t="s">
        <v>71</v>
      </c>
      <c r="H2776" s="43" t="s">
        <v>72</v>
      </c>
    </row>
    <row r="2777" spans="1:8" x14ac:dyDescent="0.25">
      <c r="A2777" s="72" t="s">
        <v>3972</v>
      </c>
      <c r="B2777" s="72" t="s">
        <v>83</v>
      </c>
      <c r="C2777" s="73">
        <v>54</v>
      </c>
      <c r="D2777" s="73">
        <v>1132477.7537120208</v>
      </c>
      <c r="E2777" s="72">
        <v>67948.665222721247</v>
      </c>
      <c r="F2777" s="72" t="s">
        <v>84</v>
      </c>
      <c r="G2777" s="72" t="s">
        <v>71</v>
      </c>
      <c r="H2777" s="72" t="s">
        <v>72</v>
      </c>
    </row>
    <row r="2778" spans="1:8" x14ac:dyDescent="0.25">
      <c r="A2778" s="43" t="s">
        <v>1617</v>
      </c>
      <c r="B2778" s="43" t="s">
        <v>75</v>
      </c>
      <c r="C2778" s="46">
        <v>54</v>
      </c>
      <c r="D2778" s="46">
        <v>1716705.1829413227</v>
      </c>
      <c r="E2778" s="43">
        <v>223171.67378237194</v>
      </c>
      <c r="F2778" s="43" t="s">
        <v>78</v>
      </c>
      <c r="G2778" s="43" t="s">
        <v>71</v>
      </c>
      <c r="H2778" s="43" t="s">
        <v>72</v>
      </c>
    </row>
    <row r="2779" spans="1:8" x14ac:dyDescent="0.25">
      <c r="A2779" s="72" t="s">
        <v>2430</v>
      </c>
      <c r="B2779" s="72" t="s">
        <v>102</v>
      </c>
      <c r="C2779" s="73">
        <v>54</v>
      </c>
      <c r="D2779" s="73">
        <v>1541349.7573206613</v>
      </c>
      <c r="E2779" s="72">
        <v>154134.97573206614</v>
      </c>
      <c r="F2779" s="72" t="s">
        <v>70</v>
      </c>
      <c r="G2779" s="72" t="s">
        <v>71</v>
      </c>
      <c r="H2779" s="72" t="s">
        <v>72</v>
      </c>
    </row>
    <row r="2780" spans="1:8" x14ac:dyDescent="0.25">
      <c r="A2780" s="72" t="s">
        <v>1618</v>
      </c>
      <c r="B2780" s="72" t="s">
        <v>73</v>
      </c>
      <c r="C2780" s="73">
        <v>54</v>
      </c>
      <c r="D2780" s="73">
        <v>1716705.1829413227</v>
      </c>
      <c r="E2780" s="72">
        <v>223171.67378237194</v>
      </c>
      <c r="F2780" s="72" t="s">
        <v>78</v>
      </c>
      <c r="G2780" s="72" t="s">
        <v>71</v>
      </c>
      <c r="H2780" s="72" t="s">
        <v>72</v>
      </c>
    </row>
    <row r="2781" spans="1:8" x14ac:dyDescent="0.25">
      <c r="A2781" s="72" t="s">
        <v>2734</v>
      </c>
      <c r="B2781" s="72" t="s">
        <v>102</v>
      </c>
      <c r="C2781" s="73">
        <v>54</v>
      </c>
      <c r="D2781" s="73">
        <v>1491240.0582833707</v>
      </c>
      <c r="E2781" s="72">
        <v>134211.60524550336</v>
      </c>
      <c r="F2781" s="72" t="s">
        <v>70</v>
      </c>
      <c r="G2781" s="72" t="s">
        <v>71</v>
      </c>
      <c r="H2781" s="72" t="s">
        <v>72</v>
      </c>
    </row>
    <row r="2782" spans="1:8" x14ac:dyDescent="0.25">
      <c r="A2782" s="72" t="s">
        <v>1471</v>
      </c>
      <c r="B2782" s="72" t="s">
        <v>97</v>
      </c>
      <c r="C2782" s="73">
        <v>54</v>
      </c>
      <c r="D2782" s="73">
        <v>1702867.952230969</v>
      </c>
      <c r="E2782" s="72">
        <v>238401.51331233562</v>
      </c>
      <c r="F2782" s="72" t="s">
        <v>70</v>
      </c>
      <c r="G2782" s="72" t="s">
        <v>71</v>
      </c>
      <c r="H2782" s="72" t="s">
        <v>72</v>
      </c>
    </row>
    <row r="2783" spans="1:8" x14ac:dyDescent="0.25">
      <c r="A2783" s="43" t="s">
        <v>4427</v>
      </c>
      <c r="B2783" s="43" t="s">
        <v>2263</v>
      </c>
      <c r="C2783" s="46">
        <v>54</v>
      </c>
      <c r="D2783" s="46">
        <v>1271781.2015895653</v>
      </c>
      <c r="E2783" s="43">
        <v>50871.248063582614</v>
      </c>
      <c r="F2783" s="43" t="s">
        <v>87</v>
      </c>
      <c r="G2783" s="43" t="s">
        <v>71</v>
      </c>
      <c r="H2783" s="43" t="s">
        <v>88</v>
      </c>
    </row>
    <row r="2784" spans="1:8" x14ac:dyDescent="0.25">
      <c r="A2784" s="43" t="s">
        <v>1869</v>
      </c>
      <c r="B2784" s="43" t="s">
        <v>75</v>
      </c>
      <c r="C2784" s="46">
        <v>54</v>
      </c>
      <c r="D2784" s="46">
        <v>1677143.2862152762</v>
      </c>
      <c r="E2784" s="43">
        <v>201257.19434583318</v>
      </c>
      <c r="F2784" s="43" t="s">
        <v>78</v>
      </c>
      <c r="G2784" s="43" t="s">
        <v>71</v>
      </c>
      <c r="H2784" s="43" t="s">
        <v>72</v>
      </c>
    </row>
    <row r="2785" spans="1:8" x14ac:dyDescent="0.25">
      <c r="A2785" s="43" t="s">
        <v>4197</v>
      </c>
      <c r="B2785" s="43" t="s">
        <v>97</v>
      </c>
      <c r="C2785" s="46">
        <v>54</v>
      </c>
      <c r="D2785" s="46">
        <v>1176823.47881142</v>
      </c>
      <c r="E2785" s="43">
        <v>58841.173940571003</v>
      </c>
      <c r="F2785" s="43" t="s">
        <v>70</v>
      </c>
      <c r="G2785" s="43" t="s">
        <v>71</v>
      </c>
      <c r="H2785" s="43" t="s">
        <v>72</v>
      </c>
    </row>
    <row r="2786" spans="1:8" x14ac:dyDescent="0.25">
      <c r="A2786" s="72" t="s">
        <v>3732</v>
      </c>
      <c r="B2786" s="72" t="s">
        <v>73</v>
      </c>
      <c r="C2786" s="73">
        <v>54</v>
      </c>
      <c r="D2786" s="73">
        <v>1287992.7883395758</v>
      </c>
      <c r="E2786" s="72">
        <v>77279.567300374561</v>
      </c>
      <c r="F2786" s="72" t="s">
        <v>70</v>
      </c>
      <c r="G2786" s="72" t="s">
        <v>71</v>
      </c>
      <c r="H2786" s="72" t="s">
        <v>72</v>
      </c>
    </row>
    <row r="2787" spans="1:8" x14ac:dyDescent="0.25">
      <c r="A2787" s="72" t="s">
        <v>3310</v>
      </c>
      <c r="B2787" s="72" t="s">
        <v>252</v>
      </c>
      <c r="C2787" s="73">
        <v>54</v>
      </c>
      <c r="D2787" s="73">
        <v>1411006.3566787427</v>
      </c>
      <c r="E2787" s="72">
        <v>98770.444967511983</v>
      </c>
      <c r="F2787" s="72" t="s">
        <v>78</v>
      </c>
      <c r="G2787" s="72" t="s">
        <v>71</v>
      </c>
      <c r="H2787" s="72" t="s">
        <v>72</v>
      </c>
    </row>
    <row r="2788" spans="1:8" x14ac:dyDescent="0.25">
      <c r="A2788" s="72" t="s">
        <v>1697</v>
      </c>
      <c r="B2788" s="72" t="s">
        <v>102</v>
      </c>
      <c r="C2788" s="73">
        <v>54</v>
      </c>
      <c r="D2788" s="73">
        <v>1666799.9728032555</v>
      </c>
      <c r="E2788" s="72">
        <v>216683.99646442322</v>
      </c>
      <c r="F2788" s="72" t="s">
        <v>70</v>
      </c>
      <c r="G2788" s="72" t="s">
        <v>71</v>
      </c>
      <c r="H2788" s="72" t="s">
        <v>72</v>
      </c>
    </row>
    <row r="2789" spans="1:8" x14ac:dyDescent="0.25">
      <c r="A2789" s="43" t="s">
        <v>2735</v>
      </c>
      <c r="B2789" s="43" t="s">
        <v>269</v>
      </c>
      <c r="C2789" s="46">
        <v>54</v>
      </c>
      <c r="D2789" s="46">
        <v>1491240.0582833707</v>
      </c>
      <c r="E2789" s="43">
        <v>134211.60524550336</v>
      </c>
      <c r="F2789" s="43" t="s">
        <v>70</v>
      </c>
      <c r="G2789" s="43" t="s">
        <v>71</v>
      </c>
      <c r="H2789" s="43" t="s">
        <v>72</v>
      </c>
    </row>
    <row r="2790" spans="1:8" x14ac:dyDescent="0.25">
      <c r="A2790" s="72" t="s">
        <v>2160</v>
      </c>
      <c r="B2790" s="72" t="s">
        <v>107</v>
      </c>
      <c r="C2790" s="73">
        <v>54</v>
      </c>
      <c r="D2790" s="73">
        <v>1586663.2338953132</v>
      </c>
      <c r="E2790" s="72">
        <v>174532.95572848449</v>
      </c>
      <c r="F2790" s="72" t="s">
        <v>70</v>
      </c>
      <c r="G2790" s="72" t="s">
        <v>71</v>
      </c>
      <c r="H2790" s="72" t="s">
        <v>72</v>
      </c>
    </row>
    <row r="2791" spans="1:8" x14ac:dyDescent="0.25">
      <c r="A2791" s="43" t="s">
        <v>1472</v>
      </c>
      <c r="B2791" s="43" t="s">
        <v>102</v>
      </c>
      <c r="C2791" s="46">
        <v>54</v>
      </c>
      <c r="D2791" s="46">
        <v>1702867.952230969</v>
      </c>
      <c r="E2791" s="43">
        <v>238401.51331233562</v>
      </c>
      <c r="F2791" s="43" t="s">
        <v>70</v>
      </c>
      <c r="G2791" s="43" t="s">
        <v>71</v>
      </c>
      <c r="H2791" s="43" t="s">
        <v>72</v>
      </c>
    </row>
    <row r="2792" spans="1:8" x14ac:dyDescent="0.25">
      <c r="A2792" s="43" t="s">
        <v>2431</v>
      </c>
      <c r="B2792" s="43" t="s">
        <v>102</v>
      </c>
      <c r="C2792" s="46">
        <v>54</v>
      </c>
      <c r="D2792" s="46">
        <v>1541349.7573206613</v>
      </c>
      <c r="E2792" s="43">
        <v>154134.97573206614</v>
      </c>
      <c r="F2792" s="43" t="s">
        <v>70</v>
      </c>
      <c r="G2792" s="43" t="s">
        <v>71</v>
      </c>
      <c r="H2792" s="43" t="s">
        <v>72</v>
      </c>
    </row>
    <row r="2793" spans="1:8" x14ac:dyDescent="0.25">
      <c r="A2793" s="43" t="s">
        <v>3733</v>
      </c>
      <c r="B2793" s="43" t="s">
        <v>102</v>
      </c>
      <c r="C2793" s="46">
        <v>54</v>
      </c>
      <c r="D2793" s="46">
        <v>1287992.7883395758</v>
      </c>
      <c r="E2793" s="43">
        <v>77279.567300374561</v>
      </c>
      <c r="F2793" s="43" t="s">
        <v>70</v>
      </c>
      <c r="G2793" s="43" t="s">
        <v>71</v>
      </c>
      <c r="H2793" s="43" t="s">
        <v>72</v>
      </c>
    </row>
    <row r="2794" spans="1:8" x14ac:dyDescent="0.25">
      <c r="A2794" s="43" t="s">
        <v>3037</v>
      </c>
      <c r="B2794" s="43" t="s">
        <v>85</v>
      </c>
      <c r="C2794" s="46">
        <v>54</v>
      </c>
      <c r="D2794" s="46">
        <v>1434681.5716971376</v>
      </c>
      <c r="E2794" s="43">
        <v>114774.52573577101</v>
      </c>
      <c r="F2794" s="43" t="s">
        <v>70</v>
      </c>
      <c r="G2794" s="43" t="s">
        <v>71</v>
      </c>
      <c r="H2794" s="43" t="s">
        <v>72</v>
      </c>
    </row>
    <row r="2795" spans="1:8" x14ac:dyDescent="0.25">
      <c r="A2795" s="43" t="s">
        <v>3199</v>
      </c>
      <c r="B2795" s="43" t="s">
        <v>93</v>
      </c>
      <c r="C2795" s="46">
        <v>54</v>
      </c>
      <c r="D2795" s="46">
        <v>1495259.7080181856</v>
      </c>
      <c r="E2795" s="43">
        <v>104668.17956127298</v>
      </c>
      <c r="F2795" s="43" t="s">
        <v>87</v>
      </c>
      <c r="G2795" s="43" t="s">
        <v>71</v>
      </c>
      <c r="H2795" s="43" t="s">
        <v>88</v>
      </c>
    </row>
    <row r="2796" spans="1:8" x14ac:dyDescent="0.25">
      <c r="A2796" s="43" t="s">
        <v>1698</v>
      </c>
      <c r="B2796" s="43" t="s">
        <v>143</v>
      </c>
      <c r="C2796" s="46">
        <v>54</v>
      </c>
      <c r="D2796" s="46">
        <v>1666799.9728032555</v>
      </c>
      <c r="E2796" s="43">
        <v>216683.99646442322</v>
      </c>
      <c r="F2796" s="43" t="s">
        <v>70</v>
      </c>
      <c r="G2796" s="43" t="s">
        <v>71</v>
      </c>
      <c r="H2796" s="43" t="s">
        <v>72</v>
      </c>
    </row>
    <row r="2797" spans="1:8" x14ac:dyDescent="0.25">
      <c r="A2797" s="72" t="s">
        <v>1473</v>
      </c>
      <c r="B2797" s="72" t="s">
        <v>77</v>
      </c>
      <c r="C2797" s="73">
        <v>54</v>
      </c>
      <c r="D2797" s="73">
        <v>1702867.952230969</v>
      </c>
      <c r="E2797" s="72">
        <v>238401.51331233562</v>
      </c>
      <c r="F2797" s="72" t="s">
        <v>70</v>
      </c>
      <c r="G2797" s="72" t="s">
        <v>71</v>
      </c>
      <c r="H2797" s="72" t="s">
        <v>72</v>
      </c>
    </row>
    <row r="2798" spans="1:8" x14ac:dyDescent="0.25">
      <c r="A2798" s="72" t="s">
        <v>1699</v>
      </c>
      <c r="B2798" s="72" t="s">
        <v>74</v>
      </c>
      <c r="C2798" s="73">
        <v>54</v>
      </c>
      <c r="D2798" s="73">
        <v>1666799.9728032555</v>
      </c>
      <c r="E2798" s="72">
        <v>216683.99646442322</v>
      </c>
      <c r="F2798" s="72" t="s">
        <v>70</v>
      </c>
      <c r="G2798" s="72" t="s">
        <v>71</v>
      </c>
      <c r="H2798" s="72" t="s">
        <v>72</v>
      </c>
    </row>
    <row r="2799" spans="1:8" x14ac:dyDescent="0.25">
      <c r="A2799" s="43" t="s">
        <v>1700</v>
      </c>
      <c r="B2799" s="43" t="s">
        <v>74</v>
      </c>
      <c r="C2799" s="46">
        <v>54</v>
      </c>
      <c r="D2799" s="46">
        <v>1666799.9728032555</v>
      </c>
      <c r="E2799" s="43">
        <v>216683.99646442322</v>
      </c>
      <c r="F2799" s="43" t="s">
        <v>70</v>
      </c>
      <c r="G2799" s="43" t="s">
        <v>71</v>
      </c>
      <c r="H2799" s="43" t="s">
        <v>72</v>
      </c>
    </row>
    <row r="2800" spans="1:8" x14ac:dyDescent="0.25">
      <c r="A2800" s="72" t="s">
        <v>3200</v>
      </c>
      <c r="B2800" s="72" t="s">
        <v>1050</v>
      </c>
      <c r="C2800" s="73">
        <v>54</v>
      </c>
      <c r="D2800" s="73">
        <v>1495259.7080181856</v>
      </c>
      <c r="E2800" s="72">
        <v>104668.17956127298</v>
      </c>
      <c r="F2800" s="72" t="s">
        <v>87</v>
      </c>
      <c r="G2800" s="72" t="s">
        <v>71</v>
      </c>
      <c r="H2800" s="72" t="s">
        <v>88</v>
      </c>
    </row>
    <row r="2801" spans="1:8" x14ac:dyDescent="0.25">
      <c r="A2801" s="72" t="s">
        <v>2990</v>
      </c>
      <c r="B2801" s="72" t="s">
        <v>75</v>
      </c>
      <c r="C2801" s="73">
        <v>54</v>
      </c>
      <c r="D2801" s="73">
        <v>1478564.2869799172</v>
      </c>
      <c r="E2801" s="72">
        <v>118285.14295839338</v>
      </c>
      <c r="F2801" s="72" t="s">
        <v>78</v>
      </c>
      <c r="G2801" s="72" t="s">
        <v>71</v>
      </c>
      <c r="H2801" s="72" t="s">
        <v>72</v>
      </c>
    </row>
    <row r="2802" spans="1:8" x14ac:dyDescent="0.25">
      <c r="A2802" s="72" t="s">
        <v>2084</v>
      </c>
      <c r="B2802" s="72" t="s">
        <v>73</v>
      </c>
      <c r="C2802" s="73">
        <v>54</v>
      </c>
      <c r="D2802" s="73">
        <v>1647078.6904322547</v>
      </c>
      <c r="E2802" s="72">
        <v>181178.65594754805</v>
      </c>
      <c r="F2802" s="72" t="s">
        <v>87</v>
      </c>
      <c r="G2802" s="72" t="s">
        <v>71</v>
      </c>
      <c r="H2802" s="72" t="s">
        <v>88</v>
      </c>
    </row>
    <row r="2803" spans="1:8" x14ac:dyDescent="0.25">
      <c r="A2803" s="72" t="s">
        <v>3734</v>
      </c>
      <c r="B2803" s="72" t="s">
        <v>97</v>
      </c>
      <c r="C2803" s="73">
        <v>54</v>
      </c>
      <c r="D2803" s="73">
        <v>1287992.7883395758</v>
      </c>
      <c r="E2803" s="72">
        <v>77279.567300374561</v>
      </c>
      <c r="F2803" s="72" t="s">
        <v>70</v>
      </c>
      <c r="G2803" s="72" t="s">
        <v>71</v>
      </c>
      <c r="H2803" s="72" t="s">
        <v>72</v>
      </c>
    </row>
    <row r="2804" spans="1:8" x14ac:dyDescent="0.25">
      <c r="A2804" s="43" t="s">
        <v>2333</v>
      </c>
      <c r="B2804" s="43" t="s">
        <v>257</v>
      </c>
      <c r="C2804" s="46">
        <v>54</v>
      </c>
      <c r="D2804" s="46">
        <v>1347545.4038721954</v>
      </c>
      <c r="E2804" s="43">
        <v>161705.44846466344</v>
      </c>
      <c r="F2804" s="43" t="s">
        <v>106</v>
      </c>
      <c r="G2804" s="43" t="s">
        <v>71</v>
      </c>
      <c r="H2804" s="43" t="s">
        <v>72</v>
      </c>
    </row>
    <row r="2805" spans="1:8" x14ac:dyDescent="0.25">
      <c r="A2805" s="72" t="s">
        <v>1872</v>
      </c>
      <c r="B2805" s="72" t="s">
        <v>73</v>
      </c>
      <c r="C2805" s="73">
        <v>54</v>
      </c>
      <c r="D2805" s="73">
        <v>1676162.4900141074</v>
      </c>
      <c r="E2805" s="72">
        <v>201139.49880169288</v>
      </c>
      <c r="F2805" s="72" t="s">
        <v>87</v>
      </c>
      <c r="G2805" s="72" t="s">
        <v>71</v>
      </c>
      <c r="H2805" s="72" t="s">
        <v>88</v>
      </c>
    </row>
    <row r="2806" spans="1:8" x14ac:dyDescent="0.25">
      <c r="A2806" s="43" t="s">
        <v>1474</v>
      </c>
      <c r="B2806" s="43" t="s">
        <v>75</v>
      </c>
      <c r="C2806" s="46">
        <v>54</v>
      </c>
      <c r="D2806" s="46">
        <v>1702867.952230969</v>
      </c>
      <c r="E2806" s="43">
        <v>238401.51331233562</v>
      </c>
      <c r="F2806" s="43" t="s">
        <v>70</v>
      </c>
      <c r="G2806" s="43" t="s">
        <v>71</v>
      </c>
      <c r="H2806" s="43" t="s">
        <v>72</v>
      </c>
    </row>
    <row r="2807" spans="1:8" x14ac:dyDescent="0.25">
      <c r="A2807" s="43" t="s">
        <v>3779</v>
      </c>
      <c r="B2807" s="43" t="s">
        <v>107</v>
      </c>
      <c r="C2807" s="46">
        <v>53</v>
      </c>
      <c r="D2807" s="46">
        <v>1263388.9663452839</v>
      </c>
      <c r="E2807" s="43">
        <v>75803.337980717042</v>
      </c>
      <c r="F2807" s="43" t="s">
        <v>70</v>
      </c>
      <c r="G2807" s="43" t="s">
        <v>71</v>
      </c>
      <c r="H2807" s="43" t="s">
        <v>72</v>
      </c>
    </row>
    <row r="2808" spans="1:8" x14ac:dyDescent="0.25">
      <c r="A2808" s="43" t="s">
        <v>3565</v>
      </c>
      <c r="B2808" s="43" t="s">
        <v>73</v>
      </c>
      <c r="C2808" s="46">
        <v>53</v>
      </c>
      <c r="D2808" s="46">
        <v>1413616.1484324143</v>
      </c>
      <c r="E2808" s="43">
        <v>84816.968905944857</v>
      </c>
      <c r="F2808" s="43" t="s">
        <v>87</v>
      </c>
      <c r="G2808" s="43" t="s">
        <v>71</v>
      </c>
      <c r="H2808" s="43" t="s">
        <v>88</v>
      </c>
    </row>
    <row r="2809" spans="1:8" x14ac:dyDescent="0.25">
      <c r="A2809" s="43" t="s">
        <v>1738</v>
      </c>
      <c r="B2809" s="43" t="s">
        <v>176</v>
      </c>
      <c r="C2809" s="46">
        <v>53</v>
      </c>
      <c r="D2809" s="46">
        <v>1632198.2543524366</v>
      </c>
      <c r="E2809" s="43">
        <v>212185.77306581676</v>
      </c>
      <c r="F2809" s="43" t="s">
        <v>84</v>
      </c>
      <c r="G2809" s="43" t="s">
        <v>71</v>
      </c>
      <c r="H2809" s="43" t="s">
        <v>72</v>
      </c>
    </row>
    <row r="2810" spans="1:8" x14ac:dyDescent="0.25">
      <c r="A2810" s="43" t="s">
        <v>2403</v>
      </c>
      <c r="B2810" s="43" t="s">
        <v>176</v>
      </c>
      <c r="C2810" s="46">
        <v>53</v>
      </c>
      <c r="D2810" s="46">
        <v>1557720.0279118761</v>
      </c>
      <c r="E2810" s="43">
        <v>155772.00279118761</v>
      </c>
      <c r="F2810" s="43" t="s">
        <v>78</v>
      </c>
      <c r="G2810" s="43" t="s">
        <v>71</v>
      </c>
      <c r="H2810" s="43" t="s">
        <v>72</v>
      </c>
    </row>
    <row r="2811" spans="1:8" x14ac:dyDescent="0.25">
      <c r="A2811" s="43" t="s">
        <v>1962</v>
      </c>
      <c r="B2811" s="43" t="s">
        <v>176</v>
      </c>
      <c r="C2811" s="46">
        <v>53</v>
      </c>
      <c r="D2811" s="46">
        <v>1597333.911738513</v>
      </c>
      <c r="E2811" s="43">
        <v>191680.06940862161</v>
      </c>
      <c r="F2811" s="43" t="s">
        <v>70</v>
      </c>
      <c r="G2811" s="43" t="s">
        <v>71</v>
      </c>
      <c r="H2811" s="43" t="s">
        <v>72</v>
      </c>
    </row>
    <row r="2812" spans="1:8" x14ac:dyDescent="0.25">
      <c r="A2812" s="43" t="s">
        <v>3543</v>
      </c>
      <c r="B2812" s="43" t="s">
        <v>176</v>
      </c>
      <c r="C2812" s="46">
        <v>53</v>
      </c>
      <c r="D2812" s="46">
        <v>1228762.7169912749</v>
      </c>
      <c r="E2812" s="43">
        <v>86013.390189389233</v>
      </c>
      <c r="F2812" s="43" t="s">
        <v>84</v>
      </c>
      <c r="G2812" s="43" t="s">
        <v>71</v>
      </c>
      <c r="H2812" s="43" t="s">
        <v>72</v>
      </c>
    </row>
    <row r="2813" spans="1:8" x14ac:dyDescent="0.25">
      <c r="A2813" s="72" t="s">
        <v>3272</v>
      </c>
      <c r="B2813" s="72" t="s">
        <v>367</v>
      </c>
      <c r="C2813" s="73">
        <v>53</v>
      </c>
      <c r="D2813" s="73">
        <v>1256305.1622118428</v>
      </c>
      <c r="E2813" s="72">
        <v>100504.41297694742</v>
      </c>
      <c r="F2813" s="72" t="s">
        <v>106</v>
      </c>
      <c r="G2813" s="72" t="s">
        <v>71</v>
      </c>
      <c r="H2813" s="72" t="s">
        <v>72</v>
      </c>
    </row>
    <row r="2814" spans="1:8" x14ac:dyDescent="0.25">
      <c r="A2814" s="72" t="s">
        <v>2372</v>
      </c>
      <c r="B2814" s="72" t="s">
        <v>367</v>
      </c>
      <c r="C2814" s="73">
        <v>53</v>
      </c>
      <c r="D2814" s="73">
        <v>1321850.0093263849</v>
      </c>
      <c r="E2814" s="72">
        <v>158622.00111916618</v>
      </c>
      <c r="F2814" s="72" t="s">
        <v>106</v>
      </c>
      <c r="G2814" s="72" t="s">
        <v>71</v>
      </c>
      <c r="H2814" s="72" t="s">
        <v>72</v>
      </c>
    </row>
    <row r="2815" spans="1:8" x14ac:dyDescent="0.25">
      <c r="A2815" s="43" t="s">
        <v>2549</v>
      </c>
      <c r="B2815" s="43" t="s">
        <v>92</v>
      </c>
      <c r="C2815" s="46">
        <v>53</v>
      </c>
      <c r="D2815" s="46">
        <v>1463214.7731877267</v>
      </c>
      <c r="E2815" s="43">
        <v>146321.47731877267</v>
      </c>
      <c r="F2815" s="43" t="s">
        <v>84</v>
      </c>
      <c r="G2815" s="43" t="s">
        <v>71</v>
      </c>
      <c r="H2815" s="43" t="s">
        <v>72</v>
      </c>
    </row>
    <row r="2816" spans="1:8" x14ac:dyDescent="0.25">
      <c r="A2816" s="43" t="s">
        <v>3273</v>
      </c>
      <c r="B2816" s="43" t="s">
        <v>257</v>
      </c>
      <c r="C2816" s="46">
        <v>53</v>
      </c>
      <c r="D2816" s="46">
        <v>1256305.1622118428</v>
      </c>
      <c r="E2816" s="43">
        <v>100504.41297694742</v>
      </c>
      <c r="F2816" s="43" t="s">
        <v>106</v>
      </c>
      <c r="G2816" s="43" t="s">
        <v>71</v>
      </c>
      <c r="H2816" s="43" t="s">
        <v>72</v>
      </c>
    </row>
    <row r="2817" spans="1:8" x14ac:dyDescent="0.25">
      <c r="A2817" s="72" t="s">
        <v>2772</v>
      </c>
      <c r="B2817" s="72" t="s">
        <v>97</v>
      </c>
      <c r="C2817" s="73">
        <v>53</v>
      </c>
      <c r="D2817" s="73">
        <v>1462872.3979567862</v>
      </c>
      <c r="E2817" s="72">
        <v>131658.51581611077</v>
      </c>
      <c r="F2817" s="72" t="s">
        <v>70</v>
      </c>
      <c r="G2817" s="72" t="s">
        <v>71</v>
      </c>
      <c r="H2817" s="72" t="s">
        <v>72</v>
      </c>
    </row>
    <row r="2818" spans="1:8" x14ac:dyDescent="0.25">
      <c r="A2818" s="43" t="s">
        <v>2195</v>
      </c>
      <c r="B2818" s="43" t="s">
        <v>211</v>
      </c>
      <c r="C2818" s="46">
        <v>53</v>
      </c>
      <c r="D2818" s="46">
        <v>1556528.477724063</v>
      </c>
      <c r="E2818" s="43">
        <v>171218.13254964695</v>
      </c>
      <c r="F2818" s="43" t="s">
        <v>70</v>
      </c>
      <c r="G2818" s="43" t="s">
        <v>71</v>
      </c>
      <c r="H2818" s="43" t="s">
        <v>72</v>
      </c>
    </row>
    <row r="2819" spans="1:8" x14ac:dyDescent="0.25">
      <c r="A2819" s="72" t="s">
        <v>1518</v>
      </c>
      <c r="B2819" s="72" t="s">
        <v>85</v>
      </c>
      <c r="C2819" s="73">
        <v>53</v>
      </c>
      <c r="D2819" s="73">
        <v>1670581.2568312807</v>
      </c>
      <c r="E2819" s="72">
        <v>233881.37595637926</v>
      </c>
      <c r="F2819" s="72" t="s">
        <v>70</v>
      </c>
      <c r="G2819" s="72" t="s">
        <v>71</v>
      </c>
      <c r="H2819" s="72" t="s">
        <v>72</v>
      </c>
    </row>
    <row r="2820" spans="1:8" x14ac:dyDescent="0.25">
      <c r="A2820" s="72" t="s">
        <v>3722</v>
      </c>
      <c r="B2820" s="72" t="s">
        <v>77</v>
      </c>
      <c r="C2820" s="73">
        <v>53</v>
      </c>
      <c r="D2820" s="73">
        <v>1302603.040752918</v>
      </c>
      <c r="E2820" s="72">
        <v>78156.182445175102</v>
      </c>
      <c r="F2820" s="72" t="s">
        <v>78</v>
      </c>
      <c r="G2820" s="72" t="s">
        <v>71</v>
      </c>
      <c r="H2820" s="72" t="s">
        <v>72</v>
      </c>
    </row>
    <row r="2821" spans="1:8" x14ac:dyDescent="0.25">
      <c r="A2821" s="72" t="s">
        <v>1988</v>
      </c>
      <c r="B2821" s="72" t="s">
        <v>236</v>
      </c>
      <c r="C2821" s="73">
        <v>53</v>
      </c>
      <c r="D2821" s="73">
        <v>1580085.9588573654</v>
      </c>
      <c r="E2821" s="72">
        <v>189610.31506288383</v>
      </c>
      <c r="F2821" s="72" t="s">
        <v>84</v>
      </c>
      <c r="G2821" s="72" t="s">
        <v>71</v>
      </c>
      <c r="H2821" s="72" t="s">
        <v>72</v>
      </c>
    </row>
    <row r="2822" spans="1:8" x14ac:dyDescent="0.25">
      <c r="A2822" s="72" t="s">
        <v>1735</v>
      </c>
      <c r="B2822" s="72" t="s">
        <v>73</v>
      </c>
      <c r="C2822" s="73">
        <v>53</v>
      </c>
      <c r="D2822" s="73">
        <v>1635181.2029485251</v>
      </c>
      <c r="E2822" s="72">
        <v>212573.55638330826</v>
      </c>
      <c r="F2822" s="72" t="s">
        <v>70</v>
      </c>
      <c r="G2822" s="72" t="s">
        <v>71</v>
      </c>
      <c r="H2822" s="72" t="s">
        <v>72</v>
      </c>
    </row>
    <row r="2823" spans="1:8" x14ac:dyDescent="0.25">
      <c r="A2823" s="43" t="s">
        <v>2466</v>
      </c>
      <c r="B2823" s="43" t="s">
        <v>103</v>
      </c>
      <c r="C2823" s="46">
        <v>53</v>
      </c>
      <c r="D2823" s="46">
        <v>1512054.1396044975</v>
      </c>
      <c r="E2823" s="43">
        <v>151205.41396044975</v>
      </c>
      <c r="F2823" s="43" t="s">
        <v>70</v>
      </c>
      <c r="G2823" s="43" t="s">
        <v>71</v>
      </c>
      <c r="H2823" s="43" t="s">
        <v>72</v>
      </c>
    </row>
    <row r="2824" spans="1:8" x14ac:dyDescent="0.25">
      <c r="A2824" s="43" t="s">
        <v>1519</v>
      </c>
      <c r="B2824" s="43" t="s">
        <v>149</v>
      </c>
      <c r="C2824" s="46">
        <v>53</v>
      </c>
      <c r="D2824" s="46">
        <v>1670581.2568312807</v>
      </c>
      <c r="E2824" s="43">
        <v>233881.37595637926</v>
      </c>
      <c r="F2824" s="43" t="s">
        <v>70</v>
      </c>
      <c r="G2824" s="43" t="s">
        <v>71</v>
      </c>
      <c r="H2824" s="43" t="s">
        <v>72</v>
      </c>
    </row>
    <row r="2825" spans="1:8" x14ac:dyDescent="0.25">
      <c r="A2825" s="43" t="s">
        <v>2773</v>
      </c>
      <c r="B2825" s="43" t="s">
        <v>113</v>
      </c>
      <c r="C2825" s="46">
        <v>53</v>
      </c>
      <c r="D2825" s="46">
        <v>1462872.3979567862</v>
      </c>
      <c r="E2825" s="43">
        <v>131658.51581611077</v>
      </c>
      <c r="F2825" s="43" t="s">
        <v>70</v>
      </c>
      <c r="G2825" s="43" t="s">
        <v>71</v>
      </c>
      <c r="H2825" s="43" t="s">
        <v>72</v>
      </c>
    </row>
    <row r="2826" spans="1:8" x14ac:dyDescent="0.25">
      <c r="A2826" s="43" t="s">
        <v>3849</v>
      </c>
      <c r="B2826" s="43" t="s">
        <v>73</v>
      </c>
      <c r="C2826" s="46">
        <v>53</v>
      </c>
      <c r="D2826" s="46">
        <v>1208842.1279653597</v>
      </c>
      <c r="E2826" s="43">
        <v>72530.527677921593</v>
      </c>
      <c r="F2826" s="43" t="s">
        <v>106</v>
      </c>
      <c r="G2826" s="43" t="s">
        <v>71</v>
      </c>
      <c r="H2826" s="43" t="s">
        <v>72</v>
      </c>
    </row>
    <row r="2827" spans="1:8" x14ac:dyDescent="0.25">
      <c r="A2827" s="72" t="s">
        <v>1245</v>
      </c>
      <c r="B2827" s="72" t="s">
        <v>75</v>
      </c>
      <c r="C2827" s="73">
        <v>53</v>
      </c>
      <c r="D2827" s="73">
        <v>1462872.3979567862</v>
      </c>
      <c r="E2827" s="72">
        <v>131658.51581611077</v>
      </c>
      <c r="F2827" s="72" t="s">
        <v>70</v>
      </c>
      <c r="G2827" s="72" t="s">
        <v>71</v>
      </c>
      <c r="H2827" s="72" t="s">
        <v>72</v>
      </c>
    </row>
    <row r="2828" spans="1:8" x14ac:dyDescent="0.25">
      <c r="A2828" s="72" t="s">
        <v>2196</v>
      </c>
      <c r="B2828" s="72" t="s">
        <v>439</v>
      </c>
      <c r="C2828" s="73">
        <v>53</v>
      </c>
      <c r="D2828" s="73">
        <v>1556528.477724063</v>
      </c>
      <c r="E2828" s="72">
        <v>171218.13254964695</v>
      </c>
      <c r="F2828" s="72" t="s">
        <v>70</v>
      </c>
      <c r="G2828" s="72" t="s">
        <v>71</v>
      </c>
      <c r="H2828" s="72" t="s">
        <v>72</v>
      </c>
    </row>
    <row r="2829" spans="1:8" x14ac:dyDescent="0.25">
      <c r="A2829" s="72" t="s">
        <v>3274</v>
      </c>
      <c r="B2829" s="72" t="s">
        <v>252</v>
      </c>
      <c r="C2829" s="73">
        <v>53</v>
      </c>
      <c r="D2829" s="73">
        <v>1256305.1622118428</v>
      </c>
      <c r="E2829" s="72">
        <v>100504.41297694742</v>
      </c>
      <c r="F2829" s="72" t="s">
        <v>106</v>
      </c>
      <c r="G2829" s="72" t="s">
        <v>71</v>
      </c>
      <c r="H2829" s="72" t="s">
        <v>72</v>
      </c>
    </row>
    <row r="2830" spans="1:8" x14ac:dyDescent="0.25">
      <c r="A2830" s="43" t="s">
        <v>1620</v>
      </c>
      <c r="B2830" s="43" t="s">
        <v>73</v>
      </c>
      <c r="C2830" s="46">
        <v>53</v>
      </c>
      <c r="D2830" s="46">
        <v>1407361.2907517799</v>
      </c>
      <c r="E2830" s="43">
        <v>112588.9032601424</v>
      </c>
      <c r="F2830" s="43" t="s">
        <v>70</v>
      </c>
      <c r="G2830" s="43" t="s">
        <v>71</v>
      </c>
      <c r="H2830" s="43" t="s">
        <v>72</v>
      </c>
    </row>
    <row r="2831" spans="1:8" x14ac:dyDescent="0.25">
      <c r="A2831" s="72" t="s">
        <v>3780</v>
      </c>
      <c r="B2831" s="72" t="s">
        <v>77</v>
      </c>
      <c r="C2831" s="73">
        <v>53</v>
      </c>
      <c r="D2831" s="73">
        <v>1263388.9663452839</v>
      </c>
      <c r="E2831" s="72">
        <v>75803.337980717042</v>
      </c>
      <c r="F2831" s="72" t="s">
        <v>70</v>
      </c>
      <c r="G2831" s="72" t="s">
        <v>71</v>
      </c>
      <c r="H2831" s="72" t="s">
        <v>72</v>
      </c>
    </row>
    <row r="2832" spans="1:8" x14ac:dyDescent="0.25">
      <c r="A2832" s="72" t="s">
        <v>1963</v>
      </c>
      <c r="B2832" s="72" t="s">
        <v>97</v>
      </c>
      <c r="C2832" s="73">
        <v>53</v>
      </c>
      <c r="D2832" s="73">
        <v>1597333.911738513</v>
      </c>
      <c r="E2832" s="72">
        <v>191680.06940862161</v>
      </c>
      <c r="F2832" s="72" t="s">
        <v>70</v>
      </c>
      <c r="G2832" s="72" t="s">
        <v>71</v>
      </c>
      <c r="H2832" s="72" t="s">
        <v>72</v>
      </c>
    </row>
    <row r="2833" spans="1:8" x14ac:dyDescent="0.25">
      <c r="A2833" s="43" t="s">
        <v>3723</v>
      </c>
      <c r="B2833" s="43" t="s">
        <v>75</v>
      </c>
      <c r="C2833" s="46">
        <v>53</v>
      </c>
      <c r="D2833" s="46">
        <v>1302603.040752918</v>
      </c>
      <c r="E2833" s="43">
        <v>78156.182445175102</v>
      </c>
      <c r="F2833" s="43" t="s">
        <v>78</v>
      </c>
      <c r="G2833" s="43" t="s">
        <v>71</v>
      </c>
      <c r="H2833" s="43" t="s">
        <v>72</v>
      </c>
    </row>
    <row r="2834" spans="1:8" x14ac:dyDescent="0.25">
      <c r="A2834" s="72" t="s">
        <v>4228</v>
      </c>
      <c r="B2834" s="72" t="s">
        <v>112</v>
      </c>
      <c r="C2834" s="73">
        <v>53</v>
      </c>
      <c r="D2834" s="73">
        <v>1154278.347734316</v>
      </c>
      <c r="E2834" s="72">
        <v>57713.917386715802</v>
      </c>
      <c r="F2834" s="72" t="s">
        <v>70</v>
      </c>
      <c r="G2834" s="72" t="s">
        <v>71</v>
      </c>
      <c r="H2834" s="72" t="s">
        <v>72</v>
      </c>
    </row>
    <row r="2835" spans="1:8" x14ac:dyDescent="0.25">
      <c r="A2835" s="43" t="s">
        <v>3781</v>
      </c>
      <c r="B2835" s="43" t="s">
        <v>102</v>
      </c>
      <c r="C2835" s="46">
        <v>53</v>
      </c>
      <c r="D2835" s="46">
        <v>1263388.9663452839</v>
      </c>
      <c r="E2835" s="43">
        <v>75803.337980717042</v>
      </c>
      <c r="F2835" s="43" t="s">
        <v>70</v>
      </c>
      <c r="G2835" s="43" t="s">
        <v>71</v>
      </c>
      <c r="H2835" s="43" t="s">
        <v>72</v>
      </c>
    </row>
    <row r="2836" spans="1:8" x14ac:dyDescent="0.25">
      <c r="A2836" s="43" t="s">
        <v>1964</v>
      </c>
      <c r="B2836" s="43" t="s">
        <v>74</v>
      </c>
      <c r="C2836" s="46">
        <v>53</v>
      </c>
      <c r="D2836" s="46">
        <v>1597333.911738513</v>
      </c>
      <c r="E2836" s="43">
        <v>191680.06940862161</v>
      </c>
      <c r="F2836" s="43" t="s">
        <v>70</v>
      </c>
      <c r="G2836" s="43" t="s">
        <v>71</v>
      </c>
      <c r="H2836" s="43" t="s">
        <v>72</v>
      </c>
    </row>
    <row r="2837" spans="1:8" x14ac:dyDescent="0.25">
      <c r="A2837" s="43" t="s">
        <v>3235</v>
      </c>
      <c r="B2837" s="43" t="s">
        <v>77</v>
      </c>
      <c r="C2837" s="46">
        <v>53</v>
      </c>
      <c r="D2837" s="46">
        <v>1466919.2897654667</v>
      </c>
      <c r="E2837" s="43">
        <v>102684.35028358267</v>
      </c>
      <c r="F2837" s="43" t="s">
        <v>87</v>
      </c>
      <c r="G2837" s="43" t="s">
        <v>71</v>
      </c>
      <c r="H2837" s="43" t="s">
        <v>88</v>
      </c>
    </row>
    <row r="2838" spans="1:8" x14ac:dyDescent="0.25">
      <c r="A2838" s="43" t="s">
        <v>2373</v>
      </c>
      <c r="B2838" s="43" t="s">
        <v>75</v>
      </c>
      <c r="C2838" s="46">
        <v>53</v>
      </c>
      <c r="D2838" s="46">
        <v>1321850.0093263849</v>
      </c>
      <c r="E2838" s="43">
        <v>158622.00111916618</v>
      </c>
      <c r="F2838" s="43" t="s">
        <v>106</v>
      </c>
      <c r="G2838" s="43" t="s">
        <v>71</v>
      </c>
      <c r="H2838" s="43" t="s">
        <v>72</v>
      </c>
    </row>
    <row r="2839" spans="1:8" x14ac:dyDescent="0.25">
      <c r="A2839" s="72" t="s">
        <v>2164</v>
      </c>
      <c r="B2839" s="72" t="s">
        <v>1050</v>
      </c>
      <c r="C2839" s="73">
        <v>52</v>
      </c>
      <c r="D2839" s="73">
        <v>1584799.9773275845</v>
      </c>
      <c r="E2839" s="72">
        <v>174327.99750603433</v>
      </c>
      <c r="F2839" s="72" t="s">
        <v>87</v>
      </c>
      <c r="G2839" s="72" t="s">
        <v>71</v>
      </c>
      <c r="H2839" s="72" t="s">
        <v>88</v>
      </c>
    </row>
    <row r="2840" spans="1:8" x14ac:dyDescent="0.25">
      <c r="A2840" s="72" t="s">
        <v>3268</v>
      </c>
      <c r="B2840" s="72" t="s">
        <v>102</v>
      </c>
      <c r="C2840" s="73">
        <v>52</v>
      </c>
      <c r="D2840" s="73">
        <v>1438603.9201881108</v>
      </c>
      <c r="E2840" s="72">
        <v>100702.27441316775</v>
      </c>
      <c r="F2840" s="72" t="s">
        <v>87</v>
      </c>
      <c r="G2840" s="72" t="s">
        <v>71</v>
      </c>
      <c r="H2840" s="72" t="s">
        <v>88</v>
      </c>
    </row>
    <row r="2841" spans="1:8" x14ac:dyDescent="0.25">
      <c r="A2841" s="43" t="s">
        <v>2505</v>
      </c>
      <c r="B2841" s="43" t="s">
        <v>73</v>
      </c>
      <c r="C2841" s="46">
        <v>52</v>
      </c>
      <c r="D2841" s="46">
        <v>1482787.5853521144</v>
      </c>
      <c r="E2841" s="43">
        <v>148278.75853521144</v>
      </c>
      <c r="F2841" s="43" t="s">
        <v>70</v>
      </c>
      <c r="G2841" s="43" t="s">
        <v>71</v>
      </c>
      <c r="H2841" s="43" t="s">
        <v>72</v>
      </c>
    </row>
    <row r="2842" spans="1:8" x14ac:dyDescent="0.25">
      <c r="A2842" s="43" t="s">
        <v>2407</v>
      </c>
      <c r="B2842" s="43" t="s">
        <v>176</v>
      </c>
      <c r="C2842" s="46">
        <v>52</v>
      </c>
      <c r="D2842" s="46">
        <v>1296183.4027901504</v>
      </c>
      <c r="E2842" s="43">
        <v>155542.00833481803</v>
      </c>
      <c r="F2842" s="43" t="s">
        <v>106</v>
      </c>
      <c r="G2842" s="43" t="s">
        <v>71</v>
      </c>
      <c r="H2842" s="43" t="s">
        <v>72</v>
      </c>
    </row>
    <row r="2843" spans="1:8" x14ac:dyDescent="0.25">
      <c r="A2843" s="43" t="s">
        <v>4582</v>
      </c>
      <c r="B2843" s="43" t="s">
        <v>176</v>
      </c>
      <c r="C2843" s="46">
        <v>52</v>
      </c>
      <c r="D2843" s="46">
        <v>1113945.0022405249</v>
      </c>
      <c r="E2843" s="43">
        <v>44557.800089620992</v>
      </c>
      <c r="F2843" s="43" t="s">
        <v>106</v>
      </c>
      <c r="G2843" s="43" t="s">
        <v>71</v>
      </c>
      <c r="H2843" s="43" t="s">
        <v>72</v>
      </c>
    </row>
    <row r="2844" spans="1:8" x14ac:dyDescent="0.25">
      <c r="A2844" s="43" t="s">
        <v>2821</v>
      </c>
      <c r="B2844" s="43" t="s">
        <v>97</v>
      </c>
      <c r="C2844" s="46">
        <v>52</v>
      </c>
      <c r="D2844" s="46">
        <v>1434533.8010939828</v>
      </c>
      <c r="E2844" s="43">
        <v>129108.04209845845</v>
      </c>
      <c r="F2844" s="43" t="s">
        <v>70</v>
      </c>
      <c r="G2844" s="43" t="s">
        <v>71</v>
      </c>
      <c r="H2844" s="43" t="s">
        <v>72</v>
      </c>
    </row>
    <row r="2845" spans="1:8" x14ac:dyDescent="0.25">
      <c r="A2845" s="72" t="s">
        <v>2506</v>
      </c>
      <c r="B2845" s="72" t="s">
        <v>269</v>
      </c>
      <c r="C2845" s="73">
        <v>52</v>
      </c>
      <c r="D2845" s="73">
        <v>1482787.5853521144</v>
      </c>
      <c r="E2845" s="72">
        <v>148278.75853521144</v>
      </c>
      <c r="F2845" s="72" t="s">
        <v>70</v>
      </c>
      <c r="G2845" s="72" t="s">
        <v>71</v>
      </c>
      <c r="H2845" s="72" t="s">
        <v>72</v>
      </c>
    </row>
    <row r="2846" spans="1:8" x14ac:dyDescent="0.25">
      <c r="A2846" s="43" t="s">
        <v>3101</v>
      </c>
      <c r="B2846" s="43" t="s">
        <v>211</v>
      </c>
      <c r="C2846" s="46">
        <v>52</v>
      </c>
      <c r="D2846" s="46">
        <v>1380070.0732702028</v>
      </c>
      <c r="E2846" s="43">
        <v>110405.60586161623</v>
      </c>
      <c r="F2846" s="43" t="s">
        <v>70</v>
      </c>
      <c r="G2846" s="43" t="s">
        <v>71</v>
      </c>
      <c r="H2846" s="43" t="s">
        <v>72</v>
      </c>
    </row>
    <row r="2847" spans="1:8" x14ac:dyDescent="0.25">
      <c r="A2847" s="43" t="s">
        <v>2691</v>
      </c>
      <c r="B2847" s="43" t="s">
        <v>73</v>
      </c>
      <c r="C2847" s="46">
        <v>52</v>
      </c>
      <c r="D2847" s="46">
        <v>1520414.2987874348</v>
      </c>
      <c r="E2847" s="43">
        <v>136837.28689086912</v>
      </c>
      <c r="F2847" s="43" t="s">
        <v>87</v>
      </c>
      <c r="G2847" s="43" t="s">
        <v>71</v>
      </c>
      <c r="H2847" s="43" t="s">
        <v>88</v>
      </c>
    </row>
    <row r="2848" spans="1:8" x14ac:dyDescent="0.25">
      <c r="A2848" s="72" t="s">
        <v>3896</v>
      </c>
      <c r="B2848" s="72" t="s">
        <v>554</v>
      </c>
      <c r="C2848" s="73">
        <v>52</v>
      </c>
      <c r="D2848" s="73">
        <v>1185307.7456057488</v>
      </c>
      <c r="E2848" s="72">
        <v>71118.464736344948</v>
      </c>
      <c r="F2848" s="72" t="s">
        <v>106</v>
      </c>
      <c r="G2848" s="72" t="s">
        <v>71</v>
      </c>
      <c r="H2848" s="72" t="s">
        <v>72</v>
      </c>
    </row>
    <row r="2849" spans="1:8" x14ac:dyDescent="0.25">
      <c r="A2849" s="43" t="s">
        <v>3801</v>
      </c>
      <c r="B2849" s="43" t="s">
        <v>112</v>
      </c>
      <c r="C2849" s="46">
        <v>52</v>
      </c>
      <c r="D2849" s="46">
        <v>1238814.2078147728</v>
      </c>
      <c r="E2849" s="43">
        <v>74328.852468886384</v>
      </c>
      <c r="F2849" s="43" t="s">
        <v>70</v>
      </c>
      <c r="G2849" s="43" t="s">
        <v>71</v>
      </c>
      <c r="H2849" s="43" t="s">
        <v>72</v>
      </c>
    </row>
    <row r="2850" spans="1:8" x14ac:dyDescent="0.25">
      <c r="A2850" s="43" t="s">
        <v>2002</v>
      </c>
      <c r="B2850" s="43" t="s">
        <v>139</v>
      </c>
      <c r="C2850" s="46">
        <v>52</v>
      </c>
      <c r="D2850" s="46">
        <v>1566458.3051817147</v>
      </c>
      <c r="E2850" s="43">
        <v>187974.9966218058</v>
      </c>
      <c r="F2850" s="43" t="s">
        <v>70</v>
      </c>
      <c r="G2850" s="43" t="s">
        <v>71</v>
      </c>
      <c r="H2850" s="43" t="s">
        <v>72</v>
      </c>
    </row>
    <row r="2851" spans="1:8" x14ac:dyDescent="0.25">
      <c r="A2851" s="72" t="s">
        <v>4254</v>
      </c>
      <c r="B2851" s="72" t="s">
        <v>73</v>
      </c>
      <c r="C2851" s="73">
        <v>52</v>
      </c>
      <c r="D2851" s="73">
        <v>1131762.2801209933</v>
      </c>
      <c r="E2851" s="72">
        <v>56588.114006049669</v>
      </c>
      <c r="F2851" s="72" t="s">
        <v>70</v>
      </c>
      <c r="G2851" s="72" t="s">
        <v>71</v>
      </c>
      <c r="H2851" s="72" t="s">
        <v>72</v>
      </c>
    </row>
    <row r="2852" spans="1:8" x14ac:dyDescent="0.25">
      <c r="A2852" s="72" t="s">
        <v>2822</v>
      </c>
      <c r="B2852" s="72" t="s">
        <v>73</v>
      </c>
      <c r="C2852" s="73">
        <v>52</v>
      </c>
      <c r="D2852" s="73">
        <v>1434533.8010939828</v>
      </c>
      <c r="E2852" s="72">
        <v>129108.04209845845</v>
      </c>
      <c r="F2852" s="72" t="s">
        <v>70</v>
      </c>
      <c r="G2852" s="72" t="s">
        <v>71</v>
      </c>
      <c r="H2852" s="72" t="s">
        <v>72</v>
      </c>
    </row>
    <row r="2853" spans="1:8" x14ac:dyDescent="0.25">
      <c r="A2853" s="43" t="s">
        <v>2823</v>
      </c>
      <c r="B2853" s="43" t="s">
        <v>73</v>
      </c>
      <c r="C2853" s="46">
        <v>52</v>
      </c>
      <c r="D2853" s="46">
        <v>1434533.8010939828</v>
      </c>
      <c r="E2853" s="43">
        <v>129108.04209845845</v>
      </c>
      <c r="F2853" s="43" t="s">
        <v>70</v>
      </c>
      <c r="G2853" s="43" t="s">
        <v>71</v>
      </c>
      <c r="H2853" s="43" t="s">
        <v>72</v>
      </c>
    </row>
    <row r="2854" spans="1:8" x14ac:dyDescent="0.25">
      <c r="A2854" s="43" t="s">
        <v>3897</v>
      </c>
      <c r="B2854" s="43" t="s">
        <v>73</v>
      </c>
      <c r="C2854" s="46">
        <v>52</v>
      </c>
      <c r="D2854" s="46">
        <v>1185307.7456057488</v>
      </c>
      <c r="E2854" s="43">
        <v>71118.464736344948</v>
      </c>
      <c r="F2854" s="43" t="s">
        <v>106</v>
      </c>
      <c r="G2854" s="43" t="s">
        <v>71</v>
      </c>
      <c r="H2854" s="43" t="s">
        <v>72</v>
      </c>
    </row>
    <row r="2855" spans="1:8" x14ac:dyDescent="0.25">
      <c r="A2855" s="43" t="s">
        <v>2507</v>
      </c>
      <c r="B2855" s="43" t="s">
        <v>102</v>
      </c>
      <c r="C2855" s="46">
        <v>52</v>
      </c>
      <c r="D2855" s="46">
        <v>1482787.5853521144</v>
      </c>
      <c r="E2855" s="43">
        <v>148278.75853521144</v>
      </c>
      <c r="F2855" s="43" t="s">
        <v>70</v>
      </c>
      <c r="G2855" s="43" t="s">
        <v>71</v>
      </c>
      <c r="H2855" s="43" t="s">
        <v>72</v>
      </c>
    </row>
    <row r="2856" spans="1:8" x14ac:dyDescent="0.25">
      <c r="A2856" s="72" t="s">
        <v>2003</v>
      </c>
      <c r="B2856" s="72" t="s">
        <v>77</v>
      </c>
      <c r="C2856" s="73">
        <v>52</v>
      </c>
      <c r="D2856" s="73">
        <v>1566458.3051817147</v>
      </c>
      <c r="E2856" s="72">
        <v>187974.9966218058</v>
      </c>
      <c r="F2856" s="72" t="s">
        <v>70</v>
      </c>
      <c r="G2856" s="72" t="s">
        <v>71</v>
      </c>
      <c r="H2856" s="72" t="s">
        <v>72</v>
      </c>
    </row>
    <row r="2857" spans="1:8" x14ac:dyDescent="0.25">
      <c r="A2857" s="43" t="s">
        <v>2583</v>
      </c>
      <c r="B2857" s="43" t="s">
        <v>236</v>
      </c>
      <c r="C2857" s="46">
        <v>52</v>
      </c>
      <c r="D2857" s="46">
        <v>1434718.2727189884</v>
      </c>
      <c r="E2857" s="43">
        <v>143471.82727189883</v>
      </c>
      <c r="F2857" s="43" t="s">
        <v>84</v>
      </c>
      <c r="G2857" s="43" t="s">
        <v>71</v>
      </c>
      <c r="H2857" s="43" t="s">
        <v>72</v>
      </c>
    </row>
    <row r="2858" spans="1:8" x14ac:dyDescent="0.25">
      <c r="A2858" s="72" t="s">
        <v>3102</v>
      </c>
      <c r="B2858" s="72" t="s">
        <v>112</v>
      </c>
      <c r="C2858" s="73">
        <v>52</v>
      </c>
      <c r="D2858" s="73">
        <v>1380070.0732702028</v>
      </c>
      <c r="E2858" s="72">
        <v>110405.60586161623</v>
      </c>
      <c r="F2858" s="72" t="s">
        <v>70</v>
      </c>
      <c r="G2858" s="72" t="s">
        <v>71</v>
      </c>
      <c r="H2858" s="72" t="s">
        <v>72</v>
      </c>
    </row>
    <row r="2859" spans="1:8" x14ac:dyDescent="0.25">
      <c r="A2859" s="43" t="s">
        <v>1940</v>
      </c>
      <c r="B2859" s="43" t="s">
        <v>73</v>
      </c>
      <c r="C2859" s="46">
        <v>52</v>
      </c>
      <c r="D2859" s="46">
        <v>1612806.5991471466</v>
      </c>
      <c r="E2859" s="43">
        <v>193536.79189765759</v>
      </c>
      <c r="F2859" s="43" t="s">
        <v>87</v>
      </c>
      <c r="G2859" s="43" t="s">
        <v>71</v>
      </c>
      <c r="H2859" s="43" t="s">
        <v>88</v>
      </c>
    </row>
    <row r="2860" spans="1:8" x14ac:dyDescent="0.25">
      <c r="A2860" s="43" t="s">
        <v>4478</v>
      </c>
      <c r="B2860" s="43" t="s">
        <v>93</v>
      </c>
      <c r="C2860" s="46">
        <v>52</v>
      </c>
      <c r="D2860" s="46">
        <v>1223402.3954790689</v>
      </c>
      <c r="E2860" s="43">
        <v>48936.095819162758</v>
      </c>
      <c r="F2860" s="43" t="s">
        <v>87</v>
      </c>
      <c r="G2860" s="43" t="s">
        <v>71</v>
      </c>
      <c r="H2860" s="43" t="s">
        <v>88</v>
      </c>
    </row>
    <row r="2861" spans="1:8" x14ac:dyDescent="0.25">
      <c r="A2861" s="72" t="s">
        <v>1783</v>
      </c>
      <c r="B2861" s="72" t="s">
        <v>102</v>
      </c>
      <c r="C2861" s="73">
        <v>52</v>
      </c>
      <c r="D2861" s="73">
        <v>1603591.4965575757</v>
      </c>
      <c r="E2861" s="72">
        <v>208466.89455248485</v>
      </c>
      <c r="F2861" s="72" t="s">
        <v>70</v>
      </c>
      <c r="G2861" s="72" t="s">
        <v>71</v>
      </c>
      <c r="H2861" s="72" t="s">
        <v>72</v>
      </c>
    </row>
    <row r="2862" spans="1:8" x14ac:dyDescent="0.25">
      <c r="A2862" s="72" t="s">
        <v>2824</v>
      </c>
      <c r="B2862" s="72" t="s">
        <v>102</v>
      </c>
      <c r="C2862" s="73">
        <v>52</v>
      </c>
      <c r="D2862" s="73">
        <v>1434533.8010939828</v>
      </c>
      <c r="E2862" s="72">
        <v>129108.04209845845</v>
      </c>
      <c r="F2862" s="72" t="s">
        <v>70</v>
      </c>
      <c r="G2862" s="72" t="s">
        <v>71</v>
      </c>
      <c r="H2862" s="72" t="s">
        <v>72</v>
      </c>
    </row>
    <row r="2863" spans="1:8" x14ac:dyDescent="0.25">
      <c r="A2863" s="43" t="s">
        <v>3592</v>
      </c>
      <c r="B2863" s="43" t="s">
        <v>202</v>
      </c>
      <c r="C2863" s="46">
        <v>52</v>
      </c>
      <c r="D2863" s="46">
        <v>1386306.4985028519</v>
      </c>
      <c r="E2863" s="43">
        <v>83178.389910171114</v>
      </c>
      <c r="F2863" s="43" t="s">
        <v>87</v>
      </c>
      <c r="G2863" s="43" t="s">
        <v>71</v>
      </c>
      <c r="H2863" s="43" t="s">
        <v>88</v>
      </c>
    </row>
    <row r="2864" spans="1:8" x14ac:dyDescent="0.25">
      <c r="A2864" s="43" t="s">
        <v>2235</v>
      </c>
      <c r="B2864" s="43" t="s">
        <v>85</v>
      </c>
      <c r="C2864" s="46">
        <v>52</v>
      </c>
      <c r="D2864" s="46">
        <v>1526422.7850165942</v>
      </c>
      <c r="E2864" s="43">
        <v>167906.50635182537</v>
      </c>
      <c r="F2864" s="43" t="s">
        <v>70</v>
      </c>
      <c r="G2864" s="43" t="s">
        <v>71</v>
      </c>
      <c r="H2864" s="43" t="s">
        <v>72</v>
      </c>
    </row>
    <row r="2865" spans="1:8" x14ac:dyDescent="0.25">
      <c r="A2865" s="72" t="s">
        <v>2236</v>
      </c>
      <c r="B2865" s="72" t="s">
        <v>73</v>
      </c>
      <c r="C2865" s="73">
        <v>52</v>
      </c>
      <c r="D2865" s="73">
        <v>1526422.7850165942</v>
      </c>
      <c r="E2865" s="72">
        <v>167906.50635182537</v>
      </c>
      <c r="F2865" s="72" t="s">
        <v>70</v>
      </c>
      <c r="G2865" s="72" t="s">
        <v>71</v>
      </c>
      <c r="H2865" s="72" t="s">
        <v>72</v>
      </c>
    </row>
    <row r="2866" spans="1:8" x14ac:dyDescent="0.25">
      <c r="A2866" s="72" t="s">
        <v>3802</v>
      </c>
      <c r="B2866" s="72" t="s">
        <v>1247</v>
      </c>
      <c r="C2866" s="73">
        <v>52</v>
      </c>
      <c r="D2866" s="73">
        <v>1238814.2078147728</v>
      </c>
      <c r="E2866" s="72">
        <v>74328.852468886384</v>
      </c>
      <c r="F2866" s="72" t="s">
        <v>70</v>
      </c>
      <c r="G2866" s="72" t="s">
        <v>71</v>
      </c>
      <c r="H2866" s="72" t="s">
        <v>72</v>
      </c>
    </row>
    <row r="2867" spans="1:8" x14ac:dyDescent="0.25">
      <c r="A2867" s="43" t="s">
        <v>1784</v>
      </c>
      <c r="B2867" s="43" t="s">
        <v>97</v>
      </c>
      <c r="C2867" s="46">
        <v>52</v>
      </c>
      <c r="D2867" s="46">
        <v>1603591.4965575757</v>
      </c>
      <c r="E2867" s="43">
        <v>208466.89455248485</v>
      </c>
      <c r="F2867" s="43" t="s">
        <v>70</v>
      </c>
      <c r="G2867" s="43" t="s">
        <v>71</v>
      </c>
      <c r="H2867" s="43" t="s">
        <v>72</v>
      </c>
    </row>
    <row r="2868" spans="1:8" x14ac:dyDescent="0.25">
      <c r="A2868" s="43" t="s">
        <v>1500</v>
      </c>
      <c r="B2868" s="43" t="s">
        <v>337</v>
      </c>
      <c r="C2868" s="46">
        <v>52</v>
      </c>
      <c r="D2868" s="46">
        <v>1687045.3552108053</v>
      </c>
      <c r="E2868" s="43">
        <v>236186.34972951273</v>
      </c>
      <c r="F2868" s="43" t="s">
        <v>78</v>
      </c>
      <c r="G2868" s="43" t="s">
        <v>71</v>
      </c>
      <c r="H2868" s="43" t="s">
        <v>72</v>
      </c>
    </row>
    <row r="2869" spans="1:8" x14ac:dyDescent="0.25">
      <c r="A2869" s="43" t="s">
        <v>2004</v>
      </c>
      <c r="B2869" s="43" t="s">
        <v>74</v>
      </c>
      <c r="C2869" s="46">
        <v>52</v>
      </c>
      <c r="D2869" s="46">
        <v>1566458.3051817147</v>
      </c>
      <c r="E2869" s="43">
        <v>187974.9966218058</v>
      </c>
      <c r="F2869" s="43" t="s">
        <v>70</v>
      </c>
      <c r="G2869" s="43" t="s">
        <v>71</v>
      </c>
      <c r="H2869" s="43" t="s">
        <v>72</v>
      </c>
    </row>
    <row r="2870" spans="1:8" x14ac:dyDescent="0.25">
      <c r="A2870" s="43" t="s">
        <v>2237</v>
      </c>
      <c r="B2870" s="43" t="s">
        <v>74</v>
      </c>
      <c r="C2870" s="46">
        <v>52</v>
      </c>
      <c r="D2870" s="46">
        <v>1526422.7850165942</v>
      </c>
      <c r="E2870" s="43">
        <v>167906.50635182537</v>
      </c>
      <c r="F2870" s="43" t="s">
        <v>70</v>
      </c>
      <c r="G2870" s="43" t="s">
        <v>71</v>
      </c>
      <c r="H2870" s="43" t="s">
        <v>72</v>
      </c>
    </row>
    <row r="2871" spans="1:8" x14ac:dyDescent="0.25">
      <c r="A2871" s="72" t="s">
        <v>1729</v>
      </c>
      <c r="B2871" s="72" t="s">
        <v>93</v>
      </c>
      <c r="C2871" s="73">
        <v>52</v>
      </c>
      <c r="D2871" s="73">
        <v>1638711.8533776549</v>
      </c>
      <c r="E2871" s="72">
        <v>213032.54093909514</v>
      </c>
      <c r="F2871" s="72" t="s">
        <v>87</v>
      </c>
      <c r="G2871" s="72" t="s">
        <v>71</v>
      </c>
      <c r="H2871" s="72" t="s">
        <v>88</v>
      </c>
    </row>
    <row r="2872" spans="1:8" x14ac:dyDescent="0.25">
      <c r="A2872" s="72" t="s">
        <v>2584</v>
      </c>
      <c r="B2872" s="72" t="s">
        <v>83</v>
      </c>
      <c r="C2872" s="73">
        <v>52</v>
      </c>
      <c r="D2872" s="73">
        <v>1434718.2727189884</v>
      </c>
      <c r="E2872" s="72">
        <v>143471.82727189883</v>
      </c>
      <c r="F2872" s="72" t="s">
        <v>84</v>
      </c>
      <c r="G2872" s="72" t="s">
        <v>71</v>
      </c>
      <c r="H2872" s="72" t="s">
        <v>72</v>
      </c>
    </row>
    <row r="2873" spans="1:8" x14ac:dyDescent="0.25">
      <c r="A2873" s="43" t="s">
        <v>2753</v>
      </c>
      <c r="B2873" s="43" t="s">
        <v>73</v>
      </c>
      <c r="C2873" s="46">
        <v>52</v>
      </c>
      <c r="D2873" s="46">
        <v>1477968.0438187912</v>
      </c>
      <c r="E2873" s="43">
        <v>133017.1239436912</v>
      </c>
      <c r="F2873" s="43" t="s">
        <v>78</v>
      </c>
      <c r="G2873" s="43" t="s">
        <v>71</v>
      </c>
      <c r="H2873" s="43" t="s">
        <v>72</v>
      </c>
    </row>
    <row r="2874" spans="1:8" x14ac:dyDescent="0.25">
      <c r="A2874" s="43" t="s">
        <v>2619</v>
      </c>
      <c r="B2874" s="43" t="s">
        <v>257</v>
      </c>
      <c r="C2874" s="46">
        <v>52</v>
      </c>
      <c r="D2874" s="46">
        <v>1282376.395855438</v>
      </c>
      <c r="E2874" s="43">
        <v>141061.4035440982</v>
      </c>
      <c r="F2874" s="43" t="s">
        <v>106</v>
      </c>
      <c r="G2874" s="43" t="s">
        <v>71</v>
      </c>
      <c r="H2874" s="43" t="s">
        <v>72</v>
      </c>
    </row>
    <row r="2875" spans="1:8" x14ac:dyDescent="0.25">
      <c r="A2875" s="72" t="s">
        <v>2238</v>
      </c>
      <c r="B2875" s="72" t="s">
        <v>73</v>
      </c>
      <c r="C2875" s="73">
        <v>52</v>
      </c>
      <c r="D2875" s="73">
        <v>1526422.7850165942</v>
      </c>
      <c r="E2875" s="72">
        <v>167906.50635182537</v>
      </c>
      <c r="F2875" s="72" t="s">
        <v>70</v>
      </c>
      <c r="G2875" s="72" t="s">
        <v>71</v>
      </c>
      <c r="H2875" s="72" t="s">
        <v>72</v>
      </c>
    </row>
    <row r="2876" spans="1:8" x14ac:dyDescent="0.25">
      <c r="A2876" s="72" t="s">
        <v>2443</v>
      </c>
      <c r="B2876" s="72" t="s">
        <v>83</v>
      </c>
      <c r="C2876" s="73">
        <v>52</v>
      </c>
      <c r="D2876" s="73">
        <v>1527473.8105395711</v>
      </c>
      <c r="E2876" s="72">
        <v>152747.38105395713</v>
      </c>
      <c r="F2876" s="72" t="s">
        <v>78</v>
      </c>
      <c r="G2876" s="72" t="s">
        <v>71</v>
      </c>
      <c r="H2876" s="72" t="s">
        <v>72</v>
      </c>
    </row>
    <row r="2877" spans="1:8" x14ac:dyDescent="0.25">
      <c r="A2877" s="43" t="s">
        <v>1821</v>
      </c>
      <c r="B2877" s="43" t="s">
        <v>119</v>
      </c>
      <c r="C2877" s="46">
        <v>51</v>
      </c>
      <c r="D2877" s="46">
        <v>1572030.8136546025</v>
      </c>
      <c r="E2877" s="43">
        <v>204364.00577509834</v>
      </c>
      <c r="F2877" s="43" t="s">
        <v>70</v>
      </c>
      <c r="G2877" s="43" t="s">
        <v>71</v>
      </c>
      <c r="H2877" s="43" t="s">
        <v>72</v>
      </c>
    </row>
    <row r="2878" spans="1:8" x14ac:dyDescent="0.25">
      <c r="A2878" s="43" t="s">
        <v>4864</v>
      </c>
      <c r="B2878" s="43" t="s">
        <v>93</v>
      </c>
      <c r="C2878" s="46">
        <v>51</v>
      </c>
      <c r="D2878" s="46">
        <v>1030881.5521687417</v>
      </c>
      <c r="E2878" s="43">
        <v>30926.446565062259</v>
      </c>
      <c r="F2878" s="43" t="s">
        <v>106</v>
      </c>
      <c r="G2878" s="43" t="s">
        <v>71</v>
      </c>
      <c r="H2878" s="43" t="s">
        <v>72</v>
      </c>
    </row>
    <row r="2879" spans="1:8" x14ac:dyDescent="0.25">
      <c r="A2879" s="72" t="s">
        <v>3595</v>
      </c>
      <c r="B2879" s="72" t="s">
        <v>77</v>
      </c>
      <c r="C2879" s="73">
        <v>51</v>
      </c>
      <c r="D2879" s="73">
        <v>1186478.3763011596</v>
      </c>
      <c r="E2879" s="72">
        <v>83053.486341081167</v>
      </c>
      <c r="F2879" s="72" t="s">
        <v>106</v>
      </c>
      <c r="G2879" s="72" t="s">
        <v>71</v>
      </c>
      <c r="H2879" s="72" t="s">
        <v>72</v>
      </c>
    </row>
    <row r="2880" spans="1:8" x14ac:dyDescent="0.25">
      <c r="A2880" s="72" t="s">
        <v>3399</v>
      </c>
      <c r="B2880" s="72" t="s">
        <v>176</v>
      </c>
      <c r="C2880" s="73">
        <v>51</v>
      </c>
      <c r="D2880" s="73">
        <v>1330100.6360880653</v>
      </c>
      <c r="E2880" s="72">
        <v>93107.044526164565</v>
      </c>
      <c r="F2880" s="72" t="s">
        <v>78</v>
      </c>
      <c r="G2880" s="72" t="s">
        <v>71</v>
      </c>
      <c r="H2880" s="72" t="s">
        <v>72</v>
      </c>
    </row>
    <row r="2881" spans="1:8" x14ac:dyDescent="0.25">
      <c r="A2881" s="72" t="s">
        <v>2289</v>
      </c>
      <c r="B2881" s="72" t="s">
        <v>97</v>
      </c>
      <c r="C2881" s="73">
        <v>51</v>
      </c>
      <c r="D2881" s="73">
        <v>1496346.1157971015</v>
      </c>
      <c r="E2881" s="72">
        <v>164598.07273768118</v>
      </c>
      <c r="F2881" s="72" t="s">
        <v>70</v>
      </c>
      <c r="G2881" s="72" t="s">
        <v>71</v>
      </c>
      <c r="H2881" s="72" t="s">
        <v>72</v>
      </c>
    </row>
    <row r="2882" spans="1:8" x14ac:dyDescent="0.25">
      <c r="A2882" s="72" t="s">
        <v>2447</v>
      </c>
      <c r="B2882" s="72" t="s">
        <v>367</v>
      </c>
      <c r="C2882" s="73">
        <v>51</v>
      </c>
      <c r="D2882" s="73">
        <v>1270545.5353651552</v>
      </c>
      <c r="E2882" s="72">
        <v>152465.46424381863</v>
      </c>
      <c r="F2882" s="72" t="s">
        <v>106</v>
      </c>
      <c r="G2882" s="72" t="s">
        <v>71</v>
      </c>
      <c r="H2882" s="72" t="s">
        <v>72</v>
      </c>
    </row>
    <row r="2883" spans="1:8" x14ac:dyDescent="0.25">
      <c r="A2883" s="72" t="s">
        <v>1773</v>
      </c>
      <c r="B2883" s="72" t="s">
        <v>202</v>
      </c>
      <c r="C2883" s="73">
        <v>51</v>
      </c>
      <c r="D2883" s="73">
        <v>1606573.2735010434</v>
      </c>
      <c r="E2883" s="72">
        <v>208854.52555513565</v>
      </c>
      <c r="F2883" s="72" t="s">
        <v>87</v>
      </c>
      <c r="G2883" s="72" t="s">
        <v>71</v>
      </c>
      <c r="H2883" s="72" t="s">
        <v>88</v>
      </c>
    </row>
    <row r="2884" spans="1:8" x14ac:dyDescent="0.25">
      <c r="A2884" s="43" t="s">
        <v>3457</v>
      </c>
      <c r="B2884" s="43" t="s">
        <v>77</v>
      </c>
      <c r="C2884" s="46">
        <v>51</v>
      </c>
      <c r="D2884" s="46">
        <v>1290616.7648049071</v>
      </c>
      <c r="E2884" s="43">
        <v>90343.173536343485</v>
      </c>
      <c r="F2884" s="43" t="s">
        <v>70</v>
      </c>
      <c r="G2884" s="43" t="s">
        <v>71</v>
      </c>
      <c r="H2884" s="43" t="s">
        <v>72</v>
      </c>
    </row>
    <row r="2885" spans="1:8" x14ac:dyDescent="0.25">
      <c r="A2885" s="43" t="s">
        <v>4052</v>
      </c>
      <c r="B2885" s="43" t="s">
        <v>93</v>
      </c>
      <c r="C2885" s="46">
        <v>51</v>
      </c>
      <c r="D2885" s="46">
        <v>1293849.0893109541</v>
      </c>
      <c r="E2885" s="43">
        <v>64692.454465547708</v>
      </c>
      <c r="F2885" s="43" t="s">
        <v>87</v>
      </c>
      <c r="G2885" s="43" t="s">
        <v>71</v>
      </c>
      <c r="H2885" s="43" t="s">
        <v>88</v>
      </c>
    </row>
    <row r="2886" spans="1:8" x14ac:dyDescent="0.25">
      <c r="A2886" s="43" t="s">
        <v>4301</v>
      </c>
      <c r="B2886" s="43" t="s">
        <v>139</v>
      </c>
      <c r="C2886" s="46">
        <v>51</v>
      </c>
      <c r="D2886" s="46">
        <v>1109275.2359956468</v>
      </c>
      <c r="E2886" s="43">
        <v>55463.76179978234</v>
      </c>
      <c r="F2886" s="43" t="s">
        <v>70</v>
      </c>
      <c r="G2886" s="43" t="s">
        <v>71</v>
      </c>
      <c r="H2886" s="43" t="s">
        <v>72</v>
      </c>
    </row>
    <row r="2887" spans="1:8" x14ac:dyDescent="0.25">
      <c r="A2887" s="72" t="s">
        <v>3134</v>
      </c>
      <c r="B2887" s="72" t="s">
        <v>73</v>
      </c>
      <c r="C2887" s="73">
        <v>51</v>
      </c>
      <c r="D2887" s="73">
        <v>1352807.8792766023</v>
      </c>
      <c r="E2887" s="72">
        <v>108224.63034212819</v>
      </c>
      <c r="F2887" s="72" t="s">
        <v>70</v>
      </c>
      <c r="G2887" s="72" t="s">
        <v>71</v>
      </c>
      <c r="H2887" s="72" t="s">
        <v>72</v>
      </c>
    </row>
    <row r="2888" spans="1:8" x14ac:dyDescent="0.25">
      <c r="A2888" s="43" t="s">
        <v>2803</v>
      </c>
      <c r="B2888" s="43" t="s">
        <v>73</v>
      </c>
      <c r="C2888" s="46">
        <v>51</v>
      </c>
      <c r="D2888" s="46">
        <v>1448707.6257408925</v>
      </c>
      <c r="E2888" s="43">
        <v>130383.68631668032</v>
      </c>
      <c r="F2888" s="43" t="s">
        <v>78</v>
      </c>
      <c r="G2888" s="43" t="s">
        <v>71</v>
      </c>
      <c r="H2888" s="43" t="s">
        <v>72</v>
      </c>
    </row>
    <row r="2889" spans="1:8" x14ac:dyDescent="0.25">
      <c r="A2889" s="43" t="s">
        <v>3135</v>
      </c>
      <c r="B2889" s="43" t="s">
        <v>77</v>
      </c>
      <c r="C2889" s="46">
        <v>51</v>
      </c>
      <c r="D2889" s="46">
        <v>1352807.8792766023</v>
      </c>
      <c r="E2889" s="43">
        <v>108224.63034212819</v>
      </c>
      <c r="F2889" s="43" t="s">
        <v>70</v>
      </c>
      <c r="G2889" s="43" t="s">
        <v>71</v>
      </c>
      <c r="H2889" s="43" t="s">
        <v>72</v>
      </c>
    </row>
    <row r="2890" spans="1:8" x14ac:dyDescent="0.25">
      <c r="A2890" s="72" t="s">
        <v>1986</v>
      </c>
      <c r="B2890" s="72" t="s">
        <v>75</v>
      </c>
      <c r="C2890" s="73">
        <v>51</v>
      </c>
      <c r="D2890" s="73">
        <v>1581452.1806503469</v>
      </c>
      <c r="E2890" s="72">
        <v>189774.26167804166</v>
      </c>
      <c r="F2890" s="72" t="s">
        <v>78</v>
      </c>
      <c r="G2890" s="72" t="s">
        <v>71</v>
      </c>
      <c r="H2890" s="72" t="s">
        <v>72</v>
      </c>
    </row>
    <row r="2891" spans="1:8" x14ac:dyDescent="0.25">
      <c r="A2891" s="72" t="s">
        <v>2488</v>
      </c>
      <c r="B2891" s="72" t="s">
        <v>75</v>
      </c>
      <c r="C2891" s="73">
        <v>51</v>
      </c>
      <c r="D2891" s="73">
        <v>1497261.3584862729</v>
      </c>
      <c r="E2891" s="72">
        <v>149726.13584862728</v>
      </c>
      <c r="F2891" s="72" t="s">
        <v>78</v>
      </c>
      <c r="G2891" s="72" t="s">
        <v>71</v>
      </c>
      <c r="H2891" s="72" t="s">
        <v>72</v>
      </c>
    </row>
    <row r="2892" spans="1:8" x14ac:dyDescent="0.25">
      <c r="A2892" s="43" t="s">
        <v>3311</v>
      </c>
      <c r="B2892" s="43" t="s">
        <v>73</v>
      </c>
      <c r="C2892" s="46">
        <v>51</v>
      </c>
      <c r="D2892" s="46">
        <v>1410313.5697959138</v>
      </c>
      <c r="E2892" s="43">
        <v>98721.949885713955</v>
      </c>
      <c r="F2892" s="43" t="s">
        <v>87</v>
      </c>
      <c r="G2892" s="43" t="s">
        <v>71</v>
      </c>
      <c r="H2892" s="43" t="s">
        <v>88</v>
      </c>
    </row>
    <row r="2893" spans="1:8" x14ac:dyDescent="0.25">
      <c r="A2893" s="43" t="s">
        <v>2450</v>
      </c>
      <c r="B2893" s="43" t="s">
        <v>73</v>
      </c>
      <c r="C2893" s="46">
        <v>51</v>
      </c>
      <c r="D2893" s="46">
        <v>1523709.0962507215</v>
      </c>
      <c r="E2893" s="43">
        <v>152370.90962507215</v>
      </c>
      <c r="F2893" s="43" t="s">
        <v>87</v>
      </c>
      <c r="G2893" s="43" t="s">
        <v>71</v>
      </c>
      <c r="H2893" s="43" t="s">
        <v>88</v>
      </c>
    </row>
    <row r="2894" spans="1:8" x14ac:dyDescent="0.25">
      <c r="A2894" s="72" t="s">
        <v>4302</v>
      </c>
      <c r="B2894" s="72" t="s">
        <v>97</v>
      </c>
      <c r="C2894" s="73">
        <v>51</v>
      </c>
      <c r="D2894" s="73">
        <v>1109275.2359956468</v>
      </c>
      <c r="E2894" s="72">
        <v>55463.76179978234</v>
      </c>
      <c r="F2894" s="72" t="s">
        <v>70</v>
      </c>
      <c r="G2894" s="72" t="s">
        <v>71</v>
      </c>
      <c r="H2894" s="72" t="s">
        <v>72</v>
      </c>
    </row>
    <row r="2895" spans="1:8" x14ac:dyDescent="0.25">
      <c r="A2895" s="72" t="s">
        <v>3840</v>
      </c>
      <c r="B2895" s="72" t="s">
        <v>112</v>
      </c>
      <c r="C2895" s="73">
        <v>51</v>
      </c>
      <c r="D2895" s="73">
        <v>1214268.4727722381</v>
      </c>
      <c r="E2895" s="72">
        <v>72856.108366334302</v>
      </c>
      <c r="F2895" s="72" t="s">
        <v>70</v>
      </c>
      <c r="G2895" s="72" t="s">
        <v>71</v>
      </c>
      <c r="H2895" s="72" t="s">
        <v>72</v>
      </c>
    </row>
    <row r="2896" spans="1:8" x14ac:dyDescent="0.25">
      <c r="A2896" s="43" t="s">
        <v>2290</v>
      </c>
      <c r="B2896" s="43" t="s">
        <v>112</v>
      </c>
      <c r="C2896" s="46">
        <v>51</v>
      </c>
      <c r="D2896" s="46">
        <v>1496346.1157971015</v>
      </c>
      <c r="E2896" s="43">
        <v>164598.07273768118</v>
      </c>
      <c r="F2896" s="43" t="s">
        <v>70</v>
      </c>
      <c r="G2896" s="43" t="s">
        <v>71</v>
      </c>
      <c r="H2896" s="43" t="s">
        <v>72</v>
      </c>
    </row>
    <row r="2897" spans="1:8" x14ac:dyDescent="0.25">
      <c r="A2897" s="72" t="s">
        <v>2861</v>
      </c>
      <c r="B2897" s="72" t="s">
        <v>102</v>
      </c>
      <c r="C2897" s="73">
        <v>51</v>
      </c>
      <c r="D2897" s="73">
        <v>1406224.2277191554</v>
      </c>
      <c r="E2897" s="72">
        <v>126560.18049472397</v>
      </c>
      <c r="F2897" s="72" t="s">
        <v>70</v>
      </c>
      <c r="G2897" s="72" t="s">
        <v>71</v>
      </c>
      <c r="H2897" s="72" t="s">
        <v>72</v>
      </c>
    </row>
    <row r="2898" spans="1:8" x14ac:dyDescent="0.25">
      <c r="A2898" s="43" t="s">
        <v>3025</v>
      </c>
      <c r="B2898" s="43" t="s">
        <v>77</v>
      </c>
      <c r="C2898" s="46">
        <v>51</v>
      </c>
      <c r="D2898" s="46">
        <v>1453261.5039536103</v>
      </c>
      <c r="E2898" s="43">
        <v>116260.92031628883</v>
      </c>
      <c r="F2898" s="43" t="s">
        <v>87</v>
      </c>
      <c r="G2898" s="43" t="s">
        <v>71</v>
      </c>
      <c r="H2898" s="43" t="s">
        <v>88</v>
      </c>
    </row>
    <row r="2899" spans="1:8" x14ac:dyDescent="0.25">
      <c r="A2899" s="43" t="s">
        <v>1774</v>
      </c>
      <c r="B2899" s="43" t="s">
        <v>77</v>
      </c>
      <c r="C2899" s="46">
        <v>51</v>
      </c>
      <c r="D2899" s="46">
        <v>1606573.2735010434</v>
      </c>
      <c r="E2899" s="43">
        <v>208854.52555513565</v>
      </c>
      <c r="F2899" s="43" t="s">
        <v>87</v>
      </c>
      <c r="G2899" s="43" t="s">
        <v>71</v>
      </c>
      <c r="H2899" s="43" t="s">
        <v>88</v>
      </c>
    </row>
    <row r="2900" spans="1:8" x14ac:dyDescent="0.25">
      <c r="A2900" s="72" t="s">
        <v>2558</v>
      </c>
      <c r="B2900" s="72" t="s">
        <v>139</v>
      </c>
      <c r="C2900" s="73">
        <v>51</v>
      </c>
      <c r="D2900" s="73">
        <v>1453550.0545877081</v>
      </c>
      <c r="E2900" s="72">
        <v>145355.00545877081</v>
      </c>
      <c r="F2900" s="72" t="s">
        <v>70</v>
      </c>
      <c r="G2900" s="72" t="s">
        <v>71</v>
      </c>
      <c r="H2900" s="72" t="s">
        <v>72</v>
      </c>
    </row>
    <row r="2901" spans="1:8" x14ac:dyDescent="0.25">
      <c r="A2901" s="43" t="s">
        <v>4495</v>
      </c>
      <c r="B2901" s="43" t="s">
        <v>93</v>
      </c>
      <c r="C2901" s="46">
        <v>51</v>
      </c>
      <c r="D2901" s="46">
        <v>1199250.5359466614</v>
      </c>
      <c r="E2901" s="43">
        <v>47970.021437866453</v>
      </c>
      <c r="F2901" s="43" t="s">
        <v>87</v>
      </c>
      <c r="G2901" s="43" t="s">
        <v>71</v>
      </c>
      <c r="H2901" s="43" t="s">
        <v>88</v>
      </c>
    </row>
    <row r="2902" spans="1:8" x14ac:dyDescent="0.25">
      <c r="A2902" s="72" t="s">
        <v>4053</v>
      </c>
      <c r="B2902" s="72" t="s">
        <v>73</v>
      </c>
      <c r="C2902" s="73">
        <v>51</v>
      </c>
      <c r="D2902" s="73">
        <v>1293849.0893109541</v>
      </c>
      <c r="E2902" s="72">
        <v>64692.454465547708</v>
      </c>
      <c r="F2902" s="72" t="s">
        <v>87</v>
      </c>
      <c r="G2902" s="72" t="s">
        <v>71</v>
      </c>
      <c r="H2902" s="72" t="s">
        <v>88</v>
      </c>
    </row>
    <row r="2903" spans="1:8" x14ac:dyDescent="0.25">
      <c r="A2903" s="43" t="s">
        <v>4608</v>
      </c>
      <c r="B2903" s="43" t="s">
        <v>75</v>
      </c>
      <c r="C2903" s="46">
        <v>51</v>
      </c>
      <c r="D2903" s="46">
        <v>1091811.7194414837</v>
      </c>
      <c r="E2903" s="43">
        <v>43672.468777659349</v>
      </c>
      <c r="F2903" s="43" t="s">
        <v>106</v>
      </c>
      <c r="G2903" s="43" t="s">
        <v>71</v>
      </c>
      <c r="H2903" s="43" t="s">
        <v>72</v>
      </c>
    </row>
    <row r="2904" spans="1:8" x14ac:dyDescent="0.25">
      <c r="A2904" s="43" t="s">
        <v>1597</v>
      </c>
      <c r="B2904" s="43" t="s">
        <v>211</v>
      </c>
      <c r="C2904" s="46">
        <v>51</v>
      </c>
      <c r="D2904" s="46">
        <v>1606095.0164474428</v>
      </c>
      <c r="E2904" s="43">
        <v>224853.30230264197</v>
      </c>
      <c r="F2904" s="43" t="s">
        <v>70</v>
      </c>
      <c r="G2904" s="43" t="s">
        <v>71</v>
      </c>
      <c r="H2904" s="43" t="s">
        <v>72</v>
      </c>
    </row>
    <row r="2905" spans="1:8" x14ac:dyDescent="0.25">
      <c r="A2905" s="72" t="s">
        <v>1598</v>
      </c>
      <c r="B2905" s="72" t="s">
        <v>85</v>
      </c>
      <c r="C2905" s="73">
        <v>51</v>
      </c>
      <c r="D2905" s="73">
        <v>1606095.0164474428</v>
      </c>
      <c r="E2905" s="72">
        <v>224853.30230264197</v>
      </c>
      <c r="F2905" s="72" t="s">
        <v>70</v>
      </c>
      <c r="G2905" s="72" t="s">
        <v>71</v>
      </c>
      <c r="H2905" s="72" t="s">
        <v>72</v>
      </c>
    </row>
    <row r="2906" spans="1:8" x14ac:dyDescent="0.25">
      <c r="A2906" s="43" t="s">
        <v>1987</v>
      </c>
      <c r="B2906" s="43" t="s">
        <v>127</v>
      </c>
      <c r="C2906" s="46">
        <v>51</v>
      </c>
      <c r="D2906" s="46">
        <v>1581166.1972365067</v>
      </c>
      <c r="E2906" s="43">
        <v>189739.94366838079</v>
      </c>
      <c r="F2906" s="43" t="s">
        <v>87</v>
      </c>
      <c r="G2906" s="43" t="s">
        <v>71</v>
      </c>
      <c r="H2906" s="43" t="s">
        <v>88</v>
      </c>
    </row>
    <row r="2907" spans="1:8" x14ac:dyDescent="0.25">
      <c r="A2907" s="72" t="s">
        <v>3026</v>
      </c>
      <c r="B2907" s="72" t="s">
        <v>77</v>
      </c>
      <c r="C2907" s="73">
        <v>51</v>
      </c>
      <c r="D2907" s="73">
        <v>1453261.5039536103</v>
      </c>
      <c r="E2907" s="72">
        <v>116260.92031628883</v>
      </c>
      <c r="F2907" s="72" t="s">
        <v>87</v>
      </c>
      <c r="G2907" s="72" t="s">
        <v>71</v>
      </c>
      <c r="H2907" s="72" t="s">
        <v>88</v>
      </c>
    </row>
    <row r="2908" spans="1:8" x14ac:dyDescent="0.25">
      <c r="A2908" s="72" t="s">
        <v>2049</v>
      </c>
      <c r="B2908" s="72" t="s">
        <v>93</v>
      </c>
      <c r="C2908" s="73">
        <v>51</v>
      </c>
      <c r="D2908" s="73">
        <v>1535611.7221128924</v>
      </c>
      <c r="E2908" s="72">
        <v>184273.40665354714</v>
      </c>
      <c r="F2908" s="72" t="s">
        <v>70</v>
      </c>
      <c r="G2908" s="72" t="s">
        <v>71</v>
      </c>
      <c r="H2908" s="72" t="s">
        <v>72</v>
      </c>
    </row>
    <row r="2909" spans="1:8" x14ac:dyDescent="0.25">
      <c r="A2909" s="72" t="s">
        <v>1644</v>
      </c>
      <c r="B2909" s="72" t="s">
        <v>211</v>
      </c>
      <c r="C2909" s="73">
        <v>50</v>
      </c>
      <c r="D2909" s="73">
        <v>1573895.3915607587</v>
      </c>
      <c r="E2909" s="72">
        <v>220345.3548185062</v>
      </c>
      <c r="F2909" s="72" t="s">
        <v>70</v>
      </c>
      <c r="G2909" s="72" t="s">
        <v>71</v>
      </c>
      <c r="H2909" s="72" t="s">
        <v>72</v>
      </c>
    </row>
    <row r="2910" spans="1:8" x14ac:dyDescent="0.25">
      <c r="A2910" s="43" t="s">
        <v>3871</v>
      </c>
      <c r="B2910" s="43" t="s">
        <v>400</v>
      </c>
      <c r="C2910" s="46">
        <v>50</v>
      </c>
      <c r="D2910" s="46">
        <v>1189751.7212909502</v>
      </c>
      <c r="E2910" s="43">
        <v>71385.103277457019</v>
      </c>
      <c r="F2910" s="43" t="s">
        <v>70</v>
      </c>
      <c r="G2910" s="43" t="s">
        <v>71</v>
      </c>
      <c r="H2910" s="43" t="s">
        <v>72</v>
      </c>
    </row>
    <row r="2911" spans="1:8" x14ac:dyDescent="0.25">
      <c r="A2911" s="43" t="s">
        <v>4318</v>
      </c>
      <c r="B2911" s="43" t="s">
        <v>75</v>
      </c>
      <c r="C2911" s="46">
        <v>50</v>
      </c>
      <c r="D2911" s="46">
        <v>1086817.1754315468</v>
      </c>
      <c r="E2911" s="43">
        <v>54340.858771577339</v>
      </c>
      <c r="F2911" s="43" t="s">
        <v>70</v>
      </c>
      <c r="G2911" s="43" t="s">
        <v>71</v>
      </c>
      <c r="H2911" s="43" t="s">
        <v>72</v>
      </c>
    </row>
    <row r="2912" spans="1:8" x14ac:dyDescent="0.25">
      <c r="A2912" s="43" t="s">
        <v>2026</v>
      </c>
      <c r="B2912" s="43" t="s">
        <v>93</v>
      </c>
      <c r="C2912" s="46">
        <v>50</v>
      </c>
      <c r="D2912" s="46">
        <v>1549550.7850517915</v>
      </c>
      <c r="E2912" s="43">
        <v>185946.09420621497</v>
      </c>
      <c r="F2912" s="43" t="s">
        <v>87</v>
      </c>
      <c r="G2912" s="43" t="s">
        <v>71</v>
      </c>
      <c r="H2912" s="43" t="s">
        <v>88</v>
      </c>
    </row>
    <row r="2913" spans="1:8" x14ac:dyDescent="0.25">
      <c r="A2913" s="72" t="s">
        <v>4319</v>
      </c>
      <c r="B2913" s="72" t="s">
        <v>107</v>
      </c>
      <c r="C2913" s="73">
        <v>50</v>
      </c>
      <c r="D2913" s="73">
        <v>1086817.1754315468</v>
      </c>
      <c r="E2913" s="72">
        <v>54340.858771577339</v>
      </c>
      <c r="F2913" s="72" t="s">
        <v>70</v>
      </c>
      <c r="G2913" s="72" t="s">
        <v>71</v>
      </c>
      <c r="H2913" s="72" t="s">
        <v>72</v>
      </c>
    </row>
    <row r="2914" spans="1:8" x14ac:dyDescent="0.25">
      <c r="A2914" s="43" t="s">
        <v>3666</v>
      </c>
      <c r="B2914" s="43" t="s">
        <v>93</v>
      </c>
      <c r="C2914" s="46">
        <v>50</v>
      </c>
      <c r="D2914" s="46">
        <v>1331762.2267399693</v>
      </c>
      <c r="E2914" s="43">
        <v>79905.733604398163</v>
      </c>
      <c r="F2914" s="43" t="s">
        <v>87</v>
      </c>
      <c r="G2914" s="43" t="s">
        <v>71</v>
      </c>
      <c r="H2914" s="43" t="s">
        <v>88</v>
      </c>
    </row>
    <row r="2915" spans="1:8" x14ac:dyDescent="0.25">
      <c r="A2915" s="72" t="s">
        <v>3178</v>
      </c>
      <c r="B2915" s="72" t="s">
        <v>73</v>
      </c>
      <c r="C2915" s="73">
        <v>50</v>
      </c>
      <c r="D2915" s="73">
        <v>1325574.6688442482</v>
      </c>
      <c r="E2915" s="72">
        <v>106045.97350753985</v>
      </c>
      <c r="F2915" s="72" t="s">
        <v>70</v>
      </c>
      <c r="G2915" s="72" t="s">
        <v>71</v>
      </c>
      <c r="H2915" s="72" t="s">
        <v>72</v>
      </c>
    </row>
    <row r="2916" spans="1:8" x14ac:dyDescent="0.25">
      <c r="A2916" s="72" t="s">
        <v>3872</v>
      </c>
      <c r="B2916" s="72" t="s">
        <v>74</v>
      </c>
      <c r="C2916" s="73">
        <v>50</v>
      </c>
      <c r="D2916" s="73">
        <v>1189751.7212909502</v>
      </c>
      <c r="E2916" s="72">
        <v>71385.103277457019</v>
      </c>
      <c r="F2916" s="72" t="s">
        <v>70</v>
      </c>
      <c r="G2916" s="72" t="s">
        <v>71</v>
      </c>
      <c r="H2916" s="72" t="s">
        <v>72</v>
      </c>
    </row>
    <row r="2917" spans="1:8" x14ac:dyDescent="0.25">
      <c r="A2917" s="43" t="s">
        <v>2247</v>
      </c>
      <c r="B2917" s="43" t="s">
        <v>77</v>
      </c>
      <c r="C2917" s="46">
        <v>50</v>
      </c>
      <c r="D2917" s="46">
        <v>1522621.3409945199</v>
      </c>
      <c r="E2917" s="43">
        <v>167488.34750939722</v>
      </c>
      <c r="F2917" s="43" t="s">
        <v>87</v>
      </c>
      <c r="G2917" s="43" t="s">
        <v>71</v>
      </c>
      <c r="H2917" s="43" t="s">
        <v>88</v>
      </c>
    </row>
    <row r="2918" spans="1:8" x14ac:dyDescent="0.25">
      <c r="A2918" s="72" t="s">
        <v>4099</v>
      </c>
      <c r="B2918" s="72" t="s">
        <v>139</v>
      </c>
      <c r="C2918" s="73">
        <v>50</v>
      </c>
      <c r="D2918" s="73">
        <v>1267867.3459090926</v>
      </c>
      <c r="E2918" s="72">
        <v>63393.367295454635</v>
      </c>
      <c r="F2918" s="72" t="s">
        <v>87</v>
      </c>
      <c r="G2918" s="72" t="s">
        <v>71</v>
      </c>
      <c r="H2918" s="72" t="s">
        <v>88</v>
      </c>
    </row>
    <row r="2919" spans="1:8" x14ac:dyDescent="0.25">
      <c r="A2919" s="43" t="s">
        <v>1645</v>
      </c>
      <c r="B2919" s="43" t="s">
        <v>176</v>
      </c>
      <c r="C2919" s="46">
        <v>50</v>
      </c>
      <c r="D2919" s="46">
        <v>1573895.3915607587</v>
      </c>
      <c r="E2919" s="43">
        <v>220345.3548185062</v>
      </c>
      <c r="F2919" s="43" t="s">
        <v>70</v>
      </c>
      <c r="G2919" s="43" t="s">
        <v>71</v>
      </c>
      <c r="H2919" s="43" t="s">
        <v>72</v>
      </c>
    </row>
    <row r="2920" spans="1:8" x14ac:dyDescent="0.25">
      <c r="A2920" s="72" t="s">
        <v>2248</v>
      </c>
      <c r="B2920" s="72" t="s">
        <v>73</v>
      </c>
      <c r="C2920" s="73">
        <v>50</v>
      </c>
      <c r="D2920" s="73">
        <v>1522621.3409945199</v>
      </c>
      <c r="E2920" s="72">
        <v>167488.34750939722</v>
      </c>
      <c r="F2920" s="72" t="s">
        <v>87</v>
      </c>
      <c r="G2920" s="72" t="s">
        <v>71</v>
      </c>
      <c r="H2920" s="72" t="s">
        <v>88</v>
      </c>
    </row>
    <row r="2921" spans="1:8" x14ac:dyDescent="0.25">
      <c r="A2921" s="72" t="s">
        <v>2894</v>
      </c>
      <c r="B2921" s="72" t="s">
        <v>107</v>
      </c>
      <c r="C2921" s="73">
        <v>50</v>
      </c>
      <c r="D2921" s="73">
        <v>1377943.6379055751</v>
      </c>
      <c r="E2921" s="72">
        <v>124014.92741150176</v>
      </c>
      <c r="F2921" s="72" t="s">
        <v>70</v>
      </c>
      <c r="G2921" s="72" t="s">
        <v>71</v>
      </c>
      <c r="H2921" s="72" t="s">
        <v>72</v>
      </c>
    </row>
    <row r="2922" spans="1:8" x14ac:dyDescent="0.25">
      <c r="A2922" s="72" t="s">
        <v>1816</v>
      </c>
      <c r="B2922" s="72" t="s">
        <v>73</v>
      </c>
      <c r="C2922" s="73">
        <v>50</v>
      </c>
      <c r="D2922" s="73">
        <v>1574459.683350357</v>
      </c>
      <c r="E2922" s="72">
        <v>204679.75883554641</v>
      </c>
      <c r="F2922" s="72" t="s">
        <v>87</v>
      </c>
      <c r="G2922" s="72" t="s">
        <v>71</v>
      </c>
      <c r="H2922" s="72" t="s">
        <v>88</v>
      </c>
    </row>
    <row r="2923" spans="1:8" x14ac:dyDescent="0.25">
      <c r="A2923" s="43" t="s">
        <v>2249</v>
      </c>
      <c r="B2923" s="43" t="s">
        <v>93</v>
      </c>
      <c r="C2923" s="46">
        <v>50</v>
      </c>
      <c r="D2923" s="46">
        <v>1522621.3409945199</v>
      </c>
      <c r="E2923" s="43">
        <v>167488.34750939722</v>
      </c>
      <c r="F2923" s="43" t="s">
        <v>87</v>
      </c>
      <c r="G2923" s="43" t="s">
        <v>71</v>
      </c>
      <c r="H2923" s="43" t="s">
        <v>88</v>
      </c>
    </row>
    <row r="2924" spans="1:8" x14ac:dyDescent="0.25">
      <c r="A2924" s="72" t="s">
        <v>4625</v>
      </c>
      <c r="B2924" s="72" t="s">
        <v>93</v>
      </c>
      <c r="C2924" s="73">
        <v>50</v>
      </c>
      <c r="D2924" s="73">
        <v>1069707.1269295411</v>
      </c>
      <c r="E2924" s="72">
        <v>42788.285077181645</v>
      </c>
      <c r="F2924" s="72" t="s">
        <v>106</v>
      </c>
      <c r="G2924" s="72" t="s">
        <v>71</v>
      </c>
      <c r="H2924" s="72" t="s">
        <v>72</v>
      </c>
    </row>
    <row r="2925" spans="1:8" x14ac:dyDescent="0.25">
      <c r="A2925" s="43" t="s">
        <v>1805</v>
      </c>
      <c r="B2925" s="43" t="s">
        <v>383</v>
      </c>
      <c r="C2925" s="46">
        <v>50</v>
      </c>
      <c r="D2925" s="46">
        <v>1586254.0272664668</v>
      </c>
      <c r="E2925" s="43">
        <v>206213.02354464069</v>
      </c>
      <c r="F2925" s="43" t="s">
        <v>78</v>
      </c>
      <c r="G2925" s="43" t="s">
        <v>71</v>
      </c>
      <c r="H2925" s="43" t="s">
        <v>72</v>
      </c>
    </row>
    <row r="2926" spans="1:8" x14ac:dyDescent="0.25">
      <c r="A2926" s="43" t="s">
        <v>3873</v>
      </c>
      <c r="B2926" s="43" t="s">
        <v>107</v>
      </c>
      <c r="C2926" s="46">
        <v>50</v>
      </c>
      <c r="D2926" s="46">
        <v>1189751.7212909502</v>
      </c>
      <c r="E2926" s="43">
        <v>71385.103277457019</v>
      </c>
      <c r="F2926" s="43" t="s">
        <v>70</v>
      </c>
      <c r="G2926" s="43" t="s">
        <v>71</v>
      </c>
      <c r="H2926" s="43" t="s">
        <v>72</v>
      </c>
    </row>
    <row r="2927" spans="1:8" x14ac:dyDescent="0.25">
      <c r="A2927" s="72" t="s">
        <v>1646</v>
      </c>
      <c r="B2927" s="72" t="s">
        <v>97</v>
      </c>
      <c r="C2927" s="73">
        <v>50</v>
      </c>
      <c r="D2927" s="73">
        <v>1573895.3915607587</v>
      </c>
      <c r="E2927" s="72">
        <v>220345.3548185062</v>
      </c>
      <c r="F2927" s="72" t="s">
        <v>70</v>
      </c>
      <c r="G2927" s="72" t="s">
        <v>71</v>
      </c>
      <c r="H2927" s="72" t="s">
        <v>72</v>
      </c>
    </row>
    <row r="2928" spans="1:8" x14ac:dyDescent="0.25">
      <c r="A2928" s="43" t="s">
        <v>4320</v>
      </c>
      <c r="B2928" s="43" t="s">
        <v>97</v>
      </c>
      <c r="C2928" s="46">
        <v>50</v>
      </c>
      <c r="D2928" s="46">
        <v>1086817.1754315468</v>
      </c>
      <c r="E2928" s="43">
        <v>54340.858771577339</v>
      </c>
      <c r="F2928" s="43" t="s">
        <v>70</v>
      </c>
      <c r="G2928" s="43" t="s">
        <v>71</v>
      </c>
      <c r="H2928" s="43" t="s">
        <v>72</v>
      </c>
    </row>
    <row r="2929" spans="1:8" x14ac:dyDescent="0.25">
      <c r="A2929" s="72" t="s">
        <v>2027</v>
      </c>
      <c r="B2929" s="72" t="s">
        <v>73</v>
      </c>
      <c r="C2929" s="73">
        <v>50</v>
      </c>
      <c r="D2929" s="73">
        <v>1549550.7850517915</v>
      </c>
      <c r="E2929" s="72">
        <v>185946.09420621497</v>
      </c>
      <c r="F2929" s="72" t="s">
        <v>87</v>
      </c>
      <c r="G2929" s="72" t="s">
        <v>71</v>
      </c>
      <c r="H2929" s="72" t="s">
        <v>88</v>
      </c>
    </row>
    <row r="2930" spans="1:8" x14ac:dyDescent="0.25">
      <c r="A2930" s="43" t="s">
        <v>2705</v>
      </c>
      <c r="B2930" s="43" t="s">
        <v>75</v>
      </c>
      <c r="C2930" s="46">
        <v>50</v>
      </c>
      <c r="D2930" s="46">
        <v>1231660.3900208042</v>
      </c>
      <c r="E2930" s="43">
        <v>135482.6429022885</v>
      </c>
      <c r="F2930" s="43" t="s">
        <v>106</v>
      </c>
      <c r="G2930" s="43" t="s">
        <v>71</v>
      </c>
      <c r="H2930" s="43" t="s">
        <v>72</v>
      </c>
    </row>
    <row r="2931" spans="1:8" x14ac:dyDescent="0.25">
      <c r="A2931" s="72" t="s">
        <v>3136</v>
      </c>
      <c r="B2931" s="72" t="s">
        <v>75</v>
      </c>
      <c r="C2931" s="73">
        <v>50</v>
      </c>
      <c r="D2931" s="73">
        <v>1201100.398959388</v>
      </c>
      <c r="E2931" s="72">
        <v>108099.03590634491</v>
      </c>
      <c r="F2931" s="72" t="s">
        <v>106</v>
      </c>
      <c r="G2931" s="72" t="s">
        <v>71</v>
      </c>
      <c r="H2931" s="72" t="s">
        <v>72</v>
      </c>
    </row>
    <row r="2932" spans="1:8" x14ac:dyDescent="0.25">
      <c r="A2932" s="72" t="s">
        <v>2250</v>
      </c>
      <c r="B2932" s="72" t="s">
        <v>1247</v>
      </c>
      <c r="C2932" s="73">
        <v>50</v>
      </c>
      <c r="D2932" s="73">
        <v>1522621.3409945199</v>
      </c>
      <c r="E2932" s="72">
        <v>167488.34750939722</v>
      </c>
      <c r="F2932" s="72" t="s">
        <v>87</v>
      </c>
      <c r="G2932" s="72" t="s">
        <v>71</v>
      </c>
      <c r="H2932" s="72" t="s">
        <v>88</v>
      </c>
    </row>
    <row r="2933" spans="1:8" x14ac:dyDescent="0.25">
      <c r="A2933" s="72" t="s">
        <v>3874</v>
      </c>
      <c r="B2933" s="72" t="s">
        <v>97</v>
      </c>
      <c r="C2933" s="73">
        <v>50</v>
      </c>
      <c r="D2933" s="73">
        <v>1189751.7212909502</v>
      </c>
      <c r="E2933" s="72">
        <v>71385.103277457019</v>
      </c>
      <c r="F2933" s="72" t="s">
        <v>70</v>
      </c>
      <c r="G2933" s="72" t="s">
        <v>71</v>
      </c>
      <c r="H2933" s="72" t="s">
        <v>72</v>
      </c>
    </row>
    <row r="2934" spans="1:8" x14ac:dyDescent="0.25">
      <c r="A2934" s="43" t="s">
        <v>3137</v>
      </c>
      <c r="B2934" s="43" t="s">
        <v>554</v>
      </c>
      <c r="C2934" s="46">
        <v>50</v>
      </c>
      <c r="D2934" s="46">
        <v>1201100.398959388</v>
      </c>
      <c r="E2934" s="43">
        <v>108099.03590634491</v>
      </c>
      <c r="F2934" s="43" t="s">
        <v>106</v>
      </c>
      <c r="G2934" s="43" t="s">
        <v>71</v>
      </c>
      <c r="H2934" s="43" t="s">
        <v>72</v>
      </c>
    </row>
    <row r="2935" spans="1:8" x14ac:dyDescent="0.25">
      <c r="A2935" s="43" t="s">
        <v>3875</v>
      </c>
      <c r="B2935" s="43" t="s">
        <v>102</v>
      </c>
      <c r="C2935" s="46">
        <v>50</v>
      </c>
      <c r="D2935" s="46">
        <v>1189751.7212909502</v>
      </c>
      <c r="E2935" s="43">
        <v>71385.103277457019</v>
      </c>
      <c r="F2935" s="43" t="s">
        <v>70</v>
      </c>
      <c r="G2935" s="43" t="s">
        <v>71</v>
      </c>
      <c r="H2935" s="43" t="s">
        <v>72</v>
      </c>
    </row>
    <row r="2936" spans="1:8" x14ac:dyDescent="0.25">
      <c r="A2936" s="72" t="s">
        <v>1580</v>
      </c>
      <c r="B2936" s="72" t="s">
        <v>73</v>
      </c>
      <c r="C2936" s="73">
        <v>50</v>
      </c>
      <c r="D2936" s="73">
        <v>1620516.7972480261</v>
      </c>
      <c r="E2936" s="72">
        <v>226872.35161472362</v>
      </c>
      <c r="F2936" s="72" t="s">
        <v>78</v>
      </c>
      <c r="G2936" s="72" t="s">
        <v>71</v>
      </c>
      <c r="H2936" s="72" t="s">
        <v>72</v>
      </c>
    </row>
    <row r="2937" spans="1:8" x14ac:dyDescent="0.25">
      <c r="A2937" s="43" t="s">
        <v>4120</v>
      </c>
      <c r="B2937" s="43" t="s">
        <v>236</v>
      </c>
      <c r="C2937" s="46">
        <v>50</v>
      </c>
      <c r="D2937" s="46">
        <v>1045174.4071112017</v>
      </c>
      <c r="E2937" s="43">
        <v>62710.464426672101</v>
      </c>
      <c r="F2937" s="43" t="s">
        <v>84</v>
      </c>
      <c r="G2937" s="43" t="s">
        <v>71</v>
      </c>
      <c r="H2937" s="43" t="s">
        <v>72</v>
      </c>
    </row>
    <row r="2938" spans="1:8" x14ac:dyDescent="0.25">
      <c r="A2938" s="72" t="s">
        <v>4873</v>
      </c>
      <c r="B2938" s="72" t="s">
        <v>73</v>
      </c>
      <c r="C2938" s="73">
        <v>50</v>
      </c>
      <c r="D2938" s="73">
        <v>1009971.6688190098</v>
      </c>
      <c r="E2938" s="72">
        <v>30299.150064570298</v>
      </c>
      <c r="F2938" s="72" t="s">
        <v>106</v>
      </c>
      <c r="G2938" s="72" t="s">
        <v>71</v>
      </c>
      <c r="H2938" s="72" t="s">
        <v>72</v>
      </c>
    </row>
    <row r="2939" spans="1:8" x14ac:dyDescent="0.25">
      <c r="A2939" s="72" t="s">
        <v>1876</v>
      </c>
      <c r="B2939" s="72" t="s">
        <v>73</v>
      </c>
      <c r="C2939" s="73">
        <v>50</v>
      </c>
      <c r="D2939" s="73">
        <v>1540499.114312876</v>
      </c>
      <c r="E2939" s="72">
        <v>200264.88486067389</v>
      </c>
      <c r="F2939" s="72" t="s">
        <v>70</v>
      </c>
      <c r="G2939" s="72" t="s">
        <v>71</v>
      </c>
      <c r="H2939" s="72" t="s">
        <v>72</v>
      </c>
    </row>
    <row r="2940" spans="1:8" x14ac:dyDescent="0.25">
      <c r="A2940" s="43" t="s">
        <v>1647</v>
      </c>
      <c r="B2940" s="43" t="s">
        <v>73</v>
      </c>
      <c r="C2940" s="46">
        <v>50</v>
      </c>
      <c r="D2940" s="46">
        <v>1573895.3915607587</v>
      </c>
      <c r="E2940" s="43">
        <v>220345.3548185062</v>
      </c>
      <c r="F2940" s="43" t="s">
        <v>70</v>
      </c>
      <c r="G2940" s="43" t="s">
        <v>71</v>
      </c>
      <c r="H2940" s="43" t="s">
        <v>72</v>
      </c>
    </row>
    <row r="2941" spans="1:8" x14ac:dyDescent="0.25">
      <c r="A2941" s="72" t="s">
        <v>3876</v>
      </c>
      <c r="B2941" s="72" t="s">
        <v>211</v>
      </c>
      <c r="C2941" s="73">
        <v>50</v>
      </c>
      <c r="D2941" s="73">
        <v>1189751.7212909502</v>
      </c>
      <c r="E2941" s="72">
        <v>71385.103277457019</v>
      </c>
      <c r="F2941" s="72" t="s">
        <v>70</v>
      </c>
      <c r="G2941" s="72" t="s">
        <v>71</v>
      </c>
      <c r="H2941" s="72" t="s">
        <v>72</v>
      </c>
    </row>
    <row r="2942" spans="1:8" x14ac:dyDescent="0.25">
      <c r="A2942" s="72" t="s">
        <v>4321</v>
      </c>
      <c r="B2942" s="72" t="s">
        <v>73</v>
      </c>
      <c r="C2942" s="73">
        <v>50</v>
      </c>
      <c r="D2942" s="73">
        <v>1086817.1754315468</v>
      </c>
      <c r="E2942" s="72">
        <v>54340.858771577339</v>
      </c>
      <c r="F2942" s="72" t="s">
        <v>70</v>
      </c>
      <c r="G2942" s="72" t="s">
        <v>71</v>
      </c>
      <c r="H2942" s="72" t="s">
        <v>72</v>
      </c>
    </row>
    <row r="2943" spans="1:8" x14ac:dyDescent="0.25">
      <c r="A2943" s="72" t="s">
        <v>1648</v>
      </c>
      <c r="B2943" s="72" t="s">
        <v>139</v>
      </c>
      <c r="C2943" s="73">
        <v>50</v>
      </c>
      <c r="D2943" s="73">
        <v>1573895.3915607587</v>
      </c>
      <c r="E2943" s="72">
        <v>220345.3548185062</v>
      </c>
      <c r="F2943" s="72" t="s">
        <v>70</v>
      </c>
      <c r="G2943" s="72" t="s">
        <v>71</v>
      </c>
      <c r="H2943" s="72" t="s">
        <v>72</v>
      </c>
    </row>
    <row r="2944" spans="1:8" x14ac:dyDescent="0.25">
      <c r="A2944" s="43" t="s">
        <v>1581</v>
      </c>
      <c r="B2944" s="43" t="s">
        <v>75</v>
      </c>
      <c r="C2944" s="46">
        <v>50</v>
      </c>
      <c r="D2944" s="46">
        <v>1620516.7972480261</v>
      </c>
      <c r="E2944" s="43">
        <v>226872.35161472362</v>
      </c>
      <c r="F2944" s="43" t="s">
        <v>78</v>
      </c>
      <c r="G2944" s="43" t="s">
        <v>71</v>
      </c>
      <c r="H2944" s="43" t="s">
        <v>72</v>
      </c>
    </row>
    <row r="2945" spans="1:8" x14ac:dyDescent="0.25">
      <c r="A2945" s="43" t="s">
        <v>4322</v>
      </c>
      <c r="B2945" s="43" t="s">
        <v>102</v>
      </c>
      <c r="C2945" s="46">
        <v>50</v>
      </c>
      <c r="D2945" s="46">
        <v>1086817.1754315468</v>
      </c>
      <c r="E2945" s="43">
        <v>54340.858771577339</v>
      </c>
      <c r="F2945" s="43" t="s">
        <v>70</v>
      </c>
      <c r="G2945" s="43" t="s">
        <v>71</v>
      </c>
      <c r="H2945" s="43" t="s">
        <v>72</v>
      </c>
    </row>
    <row r="2946" spans="1:8" x14ac:dyDescent="0.25">
      <c r="A2946" s="43" t="s">
        <v>2335</v>
      </c>
      <c r="B2946" s="43" t="s">
        <v>77</v>
      </c>
      <c r="C2946" s="46">
        <v>50</v>
      </c>
      <c r="D2946" s="46">
        <v>1466298.430138855</v>
      </c>
      <c r="E2946" s="43">
        <v>161292.82731527407</v>
      </c>
      <c r="F2946" s="43" t="s">
        <v>70</v>
      </c>
      <c r="G2946" s="43" t="s">
        <v>71</v>
      </c>
      <c r="H2946" s="43" t="s">
        <v>72</v>
      </c>
    </row>
    <row r="2947" spans="1:8" x14ac:dyDescent="0.25">
      <c r="A2947" s="43" t="s">
        <v>1649</v>
      </c>
      <c r="B2947" s="43" t="s">
        <v>211</v>
      </c>
      <c r="C2947" s="46">
        <v>50</v>
      </c>
      <c r="D2947" s="46">
        <v>1573895.3915607587</v>
      </c>
      <c r="E2947" s="43">
        <v>220345.3548185062</v>
      </c>
      <c r="F2947" s="43" t="s">
        <v>70</v>
      </c>
      <c r="G2947" s="43" t="s">
        <v>71</v>
      </c>
      <c r="H2947" s="43" t="s">
        <v>72</v>
      </c>
    </row>
    <row r="2948" spans="1:8" x14ac:dyDescent="0.25">
      <c r="A2948" s="72" t="s">
        <v>3118</v>
      </c>
      <c r="B2948" s="72" t="s">
        <v>383</v>
      </c>
      <c r="C2948" s="73">
        <v>50</v>
      </c>
      <c r="D2948" s="73">
        <v>1365753.1976725725</v>
      </c>
      <c r="E2948" s="72">
        <v>109260.25581380579</v>
      </c>
      <c r="F2948" s="72" t="s">
        <v>78</v>
      </c>
      <c r="G2948" s="72" t="s">
        <v>71</v>
      </c>
      <c r="H2948" s="72" t="s">
        <v>72</v>
      </c>
    </row>
    <row r="2949" spans="1:8" x14ac:dyDescent="0.25">
      <c r="A2949" s="43" t="s">
        <v>3497</v>
      </c>
      <c r="B2949" s="43" t="s">
        <v>97</v>
      </c>
      <c r="C2949" s="46">
        <v>50</v>
      </c>
      <c r="D2949" s="46">
        <v>1264602.987989645</v>
      </c>
      <c r="E2949" s="43">
        <v>88522.209159275139</v>
      </c>
      <c r="F2949" s="43" t="s">
        <v>70</v>
      </c>
      <c r="G2949" s="43" t="s">
        <v>71</v>
      </c>
      <c r="H2949" s="43" t="s">
        <v>72</v>
      </c>
    </row>
    <row r="2950" spans="1:8" x14ac:dyDescent="0.25">
      <c r="A2950" s="72" t="s">
        <v>4323</v>
      </c>
      <c r="B2950" s="72" t="s">
        <v>97</v>
      </c>
      <c r="C2950" s="73">
        <v>50</v>
      </c>
      <c r="D2950" s="73">
        <v>1086817.1754315468</v>
      </c>
      <c r="E2950" s="72">
        <v>54340.858771577339</v>
      </c>
      <c r="F2950" s="72" t="s">
        <v>70</v>
      </c>
      <c r="G2950" s="72" t="s">
        <v>71</v>
      </c>
      <c r="H2950" s="72" t="s">
        <v>72</v>
      </c>
    </row>
    <row r="2951" spans="1:8" x14ac:dyDescent="0.25">
      <c r="A2951" s="72" t="s">
        <v>2092</v>
      </c>
      <c r="B2951" s="72" t="s">
        <v>73</v>
      </c>
      <c r="C2951" s="73">
        <v>50</v>
      </c>
      <c r="D2951" s="73">
        <v>1504794.122605317</v>
      </c>
      <c r="E2951" s="72">
        <v>180575.29471263807</v>
      </c>
      <c r="F2951" s="72" t="s">
        <v>70</v>
      </c>
      <c r="G2951" s="72" t="s">
        <v>71</v>
      </c>
      <c r="H2951" s="72" t="s">
        <v>72</v>
      </c>
    </row>
    <row r="2952" spans="1:8" x14ac:dyDescent="0.25">
      <c r="A2952" s="43" t="s">
        <v>1877</v>
      </c>
      <c r="B2952" s="43" t="s">
        <v>108</v>
      </c>
      <c r="C2952" s="46">
        <v>50</v>
      </c>
      <c r="D2952" s="46">
        <v>1540499.114312876</v>
      </c>
      <c r="E2952" s="43">
        <v>200264.88486067389</v>
      </c>
      <c r="F2952" s="43" t="s">
        <v>70</v>
      </c>
      <c r="G2952" s="43" t="s">
        <v>71</v>
      </c>
      <c r="H2952" s="43" t="s">
        <v>72</v>
      </c>
    </row>
    <row r="2953" spans="1:8" x14ac:dyDescent="0.25">
      <c r="A2953" s="72" t="s">
        <v>2025</v>
      </c>
      <c r="B2953" s="72" t="s">
        <v>75</v>
      </c>
      <c r="C2953" s="73">
        <v>50</v>
      </c>
      <c r="D2953" s="73">
        <v>1549622.6414090162</v>
      </c>
      <c r="E2953" s="72">
        <v>185954.71696908199</v>
      </c>
      <c r="F2953" s="72" t="s">
        <v>78</v>
      </c>
      <c r="G2953" s="72" t="s">
        <v>71</v>
      </c>
      <c r="H2953" s="72" t="s">
        <v>72</v>
      </c>
    </row>
    <row r="2954" spans="1:8" x14ac:dyDescent="0.25">
      <c r="A2954" s="43" t="s">
        <v>2895</v>
      </c>
      <c r="B2954" s="43" t="s">
        <v>73</v>
      </c>
      <c r="C2954" s="46">
        <v>50</v>
      </c>
      <c r="D2954" s="46">
        <v>1377943.6379055751</v>
      </c>
      <c r="E2954" s="43">
        <v>124014.92741150176</v>
      </c>
      <c r="F2954" s="43" t="s">
        <v>70</v>
      </c>
      <c r="G2954" s="43" t="s">
        <v>71</v>
      </c>
      <c r="H2954" s="43" t="s">
        <v>72</v>
      </c>
    </row>
    <row r="2955" spans="1:8" x14ac:dyDescent="0.25">
      <c r="A2955" s="72" t="s">
        <v>1650</v>
      </c>
      <c r="B2955" s="72" t="s">
        <v>105</v>
      </c>
      <c r="C2955" s="73">
        <v>50</v>
      </c>
      <c r="D2955" s="73">
        <v>1573895.3915607587</v>
      </c>
      <c r="E2955" s="72">
        <v>220345.3548185062</v>
      </c>
      <c r="F2955" s="72" t="s">
        <v>70</v>
      </c>
      <c r="G2955" s="72" t="s">
        <v>71</v>
      </c>
      <c r="H2955" s="72" t="s">
        <v>72</v>
      </c>
    </row>
    <row r="2956" spans="1:8" x14ac:dyDescent="0.25">
      <c r="A2956" s="43" t="s">
        <v>4100</v>
      </c>
      <c r="B2956" s="43" t="s">
        <v>73</v>
      </c>
      <c r="C2956" s="46">
        <v>50</v>
      </c>
      <c r="D2956" s="46">
        <v>1267867.3459090926</v>
      </c>
      <c r="E2956" s="43">
        <v>63393.367295454635</v>
      </c>
      <c r="F2956" s="43" t="s">
        <v>87</v>
      </c>
      <c r="G2956" s="43" t="s">
        <v>71</v>
      </c>
      <c r="H2956" s="43" t="s">
        <v>88</v>
      </c>
    </row>
    <row r="2957" spans="1:8" x14ac:dyDescent="0.25">
      <c r="A2957" s="43" t="s">
        <v>3179</v>
      </c>
      <c r="B2957" s="43" t="s">
        <v>112</v>
      </c>
      <c r="C2957" s="46">
        <v>50</v>
      </c>
      <c r="D2957" s="46">
        <v>1325574.6688442482</v>
      </c>
      <c r="E2957" s="43">
        <v>106045.97350753985</v>
      </c>
      <c r="F2957" s="43" t="s">
        <v>70</v>
      </c>
      <c r="G2957" s="43" t="s">
        <v>71</v>
      </c>
      <c r="H2957" s="43" t="s">
        <v>72</v>
      </c>
    </row>
    <row r="2958" spans="1:8" x14ac:dyDescent="0.25">
      <c r="A2958" s="43" t="s">
        <v>2597</v>
      </c>
      <c r="B2958" s="43" t="s">
        <v>97</v>
      </c>
      <c r="C2958" s="46">
        <v>50</v>
      </c>
      <c r="D2958" s="46">
        <v>1424341.5073845477</v>
      </c>
      <c r="E2958" s="43">
        <v>142434.15073845477</v>
      </c>
      <c r="F2958" s="43" t="s">
        <v>70</v>
      </c>
      <c r="G2958" s="43" t="s">
        <v>71</v>
      </c>
      <c r="H2958" s="43" t="s">
        <v>72</v>
      </c>
    </row>
    <row r="2959" spans="1:8" x14ac:dyDescent="0.25">
      <c r="A2959" s="72" t="s">
        <v>3340</v>
      </c>
      <c r="B2959" s="72" t="s">
        <v>93</v>
      </c>
      <c r="C2959" s="73">
        <v>50</v>
      </c>
      <c r="D2959" s="73">
        <v>1382048.2091296413</v>
      </c>
      <c r="E2959" s="72">
        <v>96743.374639074886</v>
      </c>
      <c r="F2959" s="72" t="s">
        <v>87</v>
      </c>
      <c r="G2959" s="72" t="s">
        <v>71</v>
      </c>
      <c r="H2959" s="72" t="s">
        <v>88</v>
      </c>
    </row>
    <row r="2960" spans="1:8" x14ac:dyDescent="0.25">
      <c r="A2960" s="43" t="s">
        <v>4324</v>
      </c>
      <c r="B2960" s="43" t="s">
        <v>102</v>
      </c>
      <c r="C2960" s="46">
        <v>50</v>
      </c>
      <c r="D2960" s="46">
        <v>1086817.1754315468</v>
      </c>
      <c r="E2960" s="43">
        <v>54340.858771577339</v>
      </c>
      <c r="F2960" s="43" t="s">
        <v>70</v>
      </c>
      <c r="G2960" s="43" t="s">
        <v>71</v>
      </c>
      <c r="H2960" s="43" t="s">
        <v>72</v>
      </c>
    </row>
    <row r="2961" spans="1:8" x14ac:dyDescent="0.25">
      <c r="A2961" s="72" t="s">
        <v>3180</v>
      </c>
      <c r="B2961" s="72" t="s">
        <v>102</v>
      </c>
      <c r="C2961" s="73">
        <v>50</v>
      </c>
      <c r="D2961" s="73">
        <v>1325574.6688442482</v>
      </c>
      <c r="E2961" s="72">
        <v>106045.97350753985</v>
      </c>
      <c r="F2961" s="72" t="s">
        <v>70</v>
      </c>
      <c r="G2961" s="72" t="s">
        <v>71</v>
      </c>
      <c r="H2961" s="72" t="s">
        <v>72</v>
      </c>
    </row>
    <row r="2962" spans="1:8" x14ac:dyDescent="0.25">
      <c r="A2962" s="72" t="s">
        <v>3498</v>
      </c>
      <c r="B2962" s="72" t="s">
        <v>102</v>
      </c>
      <c r="C2962" s="73">
        <v>50</v>
      </c>
      <c r="D2962" s="73">
        <v>1264602.987989645</v>
      </c>
      <c r="E2962" s="72">
        <v>88522.209159275139</v>
      </c>
      <c r="F2962" s="72" t="s">
        <v>70</v>
      </c>
      <c r="G2962" s="72" t="s">
        <v>71</v>
      </c>
      <c r="H2962" s="72" t="s">
        <v>72</v>
      </c>
    </row>
    <row r="2963" spans="1:8" x14ac:dyDescent="0.25">
      <c r="A2963" s="72" t="s">
        <v>2777</v>
      </c>
      <c r="B2963" s="72" t="s">
        <v>93</v>
      </c>
      <c r="C2963" s="73">
        <v>50</v>
      </c>
      <c r="D2963" s="73">
        <v>1460712.0347059146</v>
      </c>
      <c r="E2963" s="72">
        <v>131464.0831235323</v>
      </c>
      <c r="F2963" s="72" t="s">
        <v>87</v>
      </c>
      <c r="G2963" s="72" t="s">
        <v>71</v>
      </c>
      <c r="H2963" s="72" t="s">
        <v>88</v>
      </c>
    </row>
    <row r="2964" spans="1:8" x14ac:dyDescent="0.25">
      <c r="A2964" s="72" t="s">
        <v>2598</v>
      </c>
      <c r="B2964" s="72" t="s">
        <v>85</v>
      </c>
      <c r="C2964" s="73">
        <v>50</v>
      </c>
      <c r="D2964" s="73">
        <v>1424341.5073845477</v>
      </c>
      <c r="E2964" s="72">
        <v>142434.15073845477</v>
      </c>
      <c r="F2964" s="72" t="s">
        <v>70</v>
      </c>
      <c r="G2964" s="72" t="s">
        <v>71</v>
      </c>
      <c r="H2964" s="72" t="s">
        <v>72</v>
      </c>
    </row>
    <row r="2965" spans="1:8" x14ac:dyDescent="0.25">
      <c r="A2965" s="72" t="s">
        <v>4101</v>
      </c>
      <c r="B2965" s="72" t="s">
        <v>93</v>
      </c>
      <c r="C2965" s="73">
        <v>50</v>
      </c>
      <c r="D2965" s="73">
        <v>1267867.3459090926</v>
      </c>
      <c r="E2965" s="72">
        <v>63393.367295454635</v>
      </c>
      <c r="F2965" s="72" t="s">
        <v>87</v>
      </c>
      <c r="G2965" s="72" t="s">
        <v>71</v>
      </c>
      <c r="H2965" s="72" t="s">
        <v>88</v>
      </c>
    </row>
    <row r="2966" spans="1:8" x14ac:dyDescent="0.25">
      <c r="A2966" s="72" t="s">
        <v>4325</v>
      </c>
      <c r="B2966" s="72" t="s">
        <v>97</v>
      </c>
      <c r="C2966" s="73">
        <v>50</v>
      </c>
      <c r="D2966" s="73">
        <v>1086817.1754315468</v>
      </c>
      <c r="E2966" s="72">
        <v>54340.858771577339</v>
      </c>
      <c r="F2966" s="72" t="s">
        <v>70</v>
      </c>
      <c r="G2966" s="72" t="s">
        <v>71</v>
      </c>
      <c r="H2966" s="72" t="s">
        <v>72</v>
      </c>
    </row>
    <row r="2967" spans="1:8" x14ac:dyDescent="0.25">
      <c r="A2967" s="43" t="s">
        <v>3181</v>
      </c>
      <c r="B2967" s="43" t="s">
        <v>97</v>
      </c>
      <c r="C2967" s="46">
        <v>50</v>
      </c>
      <c r="D2967" s="46">
        <v>1325574.6688442482</v>
      </c>
      <c r="E2967" s="43">
        <v>106045.97350753985</v>
      </c>
      <c r="F2967" s="43" t="s">
        <v>70</v>
      </c>
      <c r="G2967" s="43" t="s">
        <v>71</v>
      </c>
      <c r="H2967" s="43" t="s">
        <v>72</v>
      </c>
    </row>
    <row r="2968" spans="1:8" x14ac:dyDescent="0.25">
      <c r="A2968" s="43" t="s">
        <v>3877</v>
      </c>
      <c r="B2968" s="43" t="s">
        <v>77</v>
      </c>
      <c r="C2968" s="46">
        <v>50</v>
      </c>
      <c r="D2968" s="46">
        <v>1189751.7212909502</v>
      </c>
      <c r="E2968" s="43">
        <v>71385.103277457019</v>
      </c>
      <c r="F2968" s="43" t="s">
        <v>70</v>
      </c>
      <c r="G2968" s="43" t="s">
        <v>71</v>
      </c>
      <c r="H2968" s="43" t="s">
        <v>72</v>
      </c>
    </row>
    <row r="2969" spans="1:8" x14ac:dyDescent="0.25">
      <c r="A2969" s="43" t="s">
        <v>1817</v>
      </c>
      <c r="B2969" s="43" t="s">
        <v>93</v>
      </c>
      <c r="C2969" s="46">
        <v>50</v>
      </c>
      <c r="D2969" s="46">
        <v>1574459.683350357</v>
      </c>
      <c r="E2969" s="43">
        <v>204679.75883554641</v>
      </c>
      <c r="F2969" s="43" t="s">
        <v>87</v>
      </c>
      <c r="G2969" s="43" t="s">
        <v>71</v>
      </c>
      <c r="H2969" s="43" t="s">
        <v>88</v>
      </c>
    </row>
    <row r="2970" spans="1:8" x14ac:dyDescent="0.25">
      <c r="A2970" s="43" t="s">
        <v>4874</v>
      </c>
      <c r="B2970" s="43" t="s">
        <v>77</v>
      </c>
      <c r="C2970" s="46">
        <v>50</v>
      </c>
      <c r="D2970" s="46">
        <v>1009971.6688190098</v>
      </c>
      <c r="E2970" s="43">
        <v>30299.150064570298</v>
      </c>
      <c r="F2970" s="43" t="s">
        <v>106</v>
      </c>
      <c r="G2970" s="43" t="s">
        <v>71</v>
      </c>
      <c r="H2970" s="43" t="s">
        <v>72</v>
      </c>
    </row>
    <row r="2971" spans="1:8" x14ac:dyDescent="0.25">
      <c r="A2971" s="43" t="s">
        <v>2778</v>
      </c>
      <c r="B2971" s="43" t="s">
        <v>77</v>
      </c>
      <c r="C2971" s="46">
        <v>50</v>
      </c>
      <c r="D2971" s="46">
        <v>1460712.0347059146</v>
      </c>
      <c r="E2971" s="43">
        <v>131464.0831235323</v>
      </c>
      <c r="F2971" s="43" t="s">
        <v>87</v>
      </c>
      <c r="G2971" s="43" t="s">
        <v>71</v>
      </c>
      <c r="H2971" s="43" t="s">
        <v>88</v>
      </c>
    </row>
    <row r="2972" spans="1:8" x14ac:dyDescent="0.25">
      <c r="A2972" s="43" t="s">
        <v>3341</v>
      </c>
      <c r="B2972" s="43" t="s">
        <v>93</v>
      </c>
      <c r="C2972" s="46">
        <v>50</v>
      </c>
      <c r="D2972" s="46">
        <v>1382048.2091296413</v>
      </c>
      <c r="E2972" s="43">
        <v>96743.374639074886</v>
      </c>
      <c r="F2972" s="43" t="s">
        <v>87</v>
      </c>
      <c r="G2972" s="43" t="s">
        <v>71</v>
      </c>
      <c r="H2972" s="43" t="s">
        <v>88</v>
      </c>
    </row>
    <row r="2973" spans="1:8" x14ac:dyDescent="0.25">
      <c r="A2973" s="43" t="s">
        <v>4102</v>
      </c>
      <c r="B2973" s="43" t="s">
        <v>93</v>
      </c>
      <c r="C2973" s="46">
        <v>50</v>
      </c>
      <c r="D2973" s="46">
        <v>1267867.3459090926</v>
      </c>
      <c r="E2973" s="43">
        <v>63393.367295454635</v>
      </c>
      <c r="F2973" s="43" t="s">
        <v>87</v>
      </c>
      <c r="G2973" s="43" t="s">
        <v>71</v>
      </c>
      <c r="H2973" s="43" t="s">
        <v>88</v>
      </c>
    </row>
    <row r="2974" spans="1:8" x14ac:dyDescent="0.25">
      <c r="A2974" s="72" t="s">
        <v>3878</v>
      </c>
      <c r="B2974" s="72" t="s">
        <v>107</v>
      </c>
      <c r="C2974" s="73">
        <v>50</v>
      </c>
      <c r="D2974" s="73">
        <v>1189751.7212909502</v>
      </c>
      <c r="E2974" s="72">
        <v>71385.103277457019</v>
      </c>
      <c r="F2974" s="72" t="s">
        <v>70</v>
      </c>
      <c r="G2974" s="72" t="s">
        <v>71</v>
      </c>
      <c r="H2974" s="72" t="s">
        <v>72</v>
      </c>
    </row>
    <row r="2975" spans="1:8" x14ac:dyDescent="0.25">
      <c r="A2975" s="43" t="s">
        <v>2093</v>
      </c>
      <c r="B2975" s="43" t="s">
        <v>1225</v>
      </c>
      <c r="C2975" s="46">
        <v>50</v>
      </c>
      <c r="D2975" s="46">
        <v>1504794.122605317</v>
      </c>
      <c r="E2975" s="43">
        <v>180575.29471263807</v>
      </c>
      <c r="F2975" s="43" t="s">
        <v>70</v>
      </c>
      <c r="G2975" s="43" t="s">
        <v>71</v>
      </c>
      <c r="H2975" s="43" t="s">
        <v>72</v>
      </c>
    </row>
    <row r="2976" spans="1:8" x14ac:dyDescent="0.25">
      <c r="A2976" s="72" t="s">
        <v>2896</v>
      </c>
      <c r="B2976" s="72" t="s">
        <v>73</v>
      </c>
      <c r="C2976" s="73">
        <v>50</v>
      </c>
      <c r="D2976" s="73">
        <v>1377943.6379055751</v>
      </c>
      <c r="E2976" s="72">
        <v>124014.92741150176</v>
      </c>
      <c r="F2976" s="72" t="s">
        <v>70</v>
      </c>
      <c r="G2976" s="72" t="s">
        <v>71</v>
      </c>
      <c r="H2976" s="72" t="s">
        <v>72</v>
      </c>
    </row>
    <row r="2977" spans="1:8" x14ac:dyDescent="0.25">
      <c r="A2977" s="43" t="s">
        <v>4352</v>
      </c>
      <c r="B2977" s="43" t="s">
        <v>229</v>
      </c>
      <c r="C2977" s="46">
        <v>49</v>
      </c>
      <c r="D2977" s="46">
        <v>1064388.0585509809</v>
      </c>
      <c r="E2977" s="43">
        <v>53219.402927549047</v>
      </c>
      <c r="F2977" s="43" t="s">
        <v>70</v>
      </c>
      <c r="G2977" s="43" t="s">
        <v>71</v>
      </c>
      <c r="H2977" s="43" t="s">
        <v>72</v>
      </c>
    </row>
    <row r="2978" spans="1:8" x14ac:dyDescent="0.25">
      <c r="A2978" s="43" t="s">
        <v>3217</v>
      </c>
      <c r="B2978" s="43" t="s">
        <v>119</v>
      </c>
      <c r="C2978" s="46">
        <v>49</v>
      </c>
      <c r="D2978" s="46">
        <v>1298370.4020954287</v>
      </c>
      <c r="E2978" s="43">
        <v>103869.63216763429</v>
      </c>
      <c r="F2978" s="43" t="s">
        <v>70</v>
      </c>
      <c r="G2978" s="43" t="s">
        <v>71</v>
      </c>
      <c r="H2978" s="43" t="s">
        <v>72</v>
      </c>
    </row>
    <row r="2979" spans="1:8" x14ac:dyDescent="0.25">
      <c r="A2979" s="72" t="s">
        <v>2946</v>
      </c>
      <c r="B2979" s="72" t="s">
        <v>400</v>
      </c>
      <c r="C2979" s="73">
        <v>49</v>
      </c>
      <c r="D2979" s="73">
        <v>1349691.9917755288</v>
      </c>
      <c r="E2979" s="72">
        <v>121472.27925979758</v>
      </c>
      <c r="F2979" s="72" t="s">
        <v>70</v>
      </c>
      <c r="G2979" s="72" t="s">
        <v>71</v>
      </c>
      <c r="H2979" s="72" t="s">
        <v>72</v>
      </c>
    </row>
    <row r="2980" spans="1:8" x14ac:dyDescent="0.25">
      <c r="A2980" s="43" t="s">
        <v>2129</v>
      </c>
      <c r="B2980" s="43" t="s">
        <v>75</v>
      </c>
      <c r="C2980" s="46">
        <v>49</v>
      </c>
      <c r="D2980" s="46">
        <v>1474005.4667812758</v>
      </c>
      <c r="E2980" s="43">
        <v>176880.65601375312</v>
      </c>
      <c r="F2980" s="43" t="s">
        <v>70</v>
      </c>
      <c r="G2980" s="43" t="s">
        <v>71</v>
      </c>
      <c r="H2980" s="43" t="s">
        <v>72</v>
      </c>
    </row>
    <row r="2981" spans="1:8" x14ac:dyDescent="0.25">
      <c r="A2981" s="72" t="s">
        <v>3218</v>
      </c>
      <c r="B2981" s="72" t="s">
        <v>79</v>
      </c>
      <c r="C2981" s="73">
        <v>49</v>
      </c>
      <c r="D2981" s="73">
        <v>1298370.4020954287</v>
      </c>
      <c r="E2981" s="72">
        <v>103869.63216763429</v>
      </c>
      <c r="F2981" s="72" t="s">
        <v>70</v>
      </c>
      <c r="G2981" s="72" t="s">
        <v>71</v>
      </c>
      <c r="H2981" s="72" t="s">
        <v>72</v>
      </c>
    </row>
    <row r="2982" spans="1:8" x14ac:dyDescent="0.25">
      <c r="A2982" s="72" t="s">
        <v>4333</v>
      </c>
      <c r="B2982" s="72" t="s">
        <v>367</v>
      </c>
      <c r="C2982" s="73">
        <v>49</v>
      </c>
      <c r="D2982" s="73">
        <v>1085831.7342329873</v>
      </c>
      <c r="E2982" s="72">
        <v>54291.586711649368</v>
      </c>
      <c r="F2982" s="72" t="s">
        <v>106</v>
      </c>
      <c r="G2982" s="72" t="s">
        <v>71</v>
      </c>
      <c r="H2982" s="72" t="s">
        <v>72</v>
      </c>
    </row>
    <row r="2983" spans="1:8" x14ac:dyDescent="0.25">
      <c r="A2983" s="72" t="s">
        <v>2130</v>
      </c>
      <c r="B2983" s="72" t="s">
        <v>85</v>
      </c>
      <c r="C2983" s="73">
        <v>49</v>
      </c>
      <c r="D2983" s="73">
        <v>1474005.4667812758</v>
      </c>
      <c r="E2983" s="72">
        <v>176880.65601375312</v>
      </c>
      <c r="F2983" s="72" t="s">
        <v>70</v>
      </c>
      <c r="G2983" s="72" t="s">
        <v>71</v>
      </c>
      <c r="H2983" s="72" t="s">
        <v>72</v>
      </c>
    </row>
    <row r="2984" spans="1:8" x14ac:dyDescent="0.25">
      <c r="A2984" s="43" t="s">
        <v>4548</v>
      </c>
      <c r="B2984" s="43" t="s">
        <v>93</v>
      </c>
      <c r="C2984" s="46">
        <v>49</v>
      </c>
      <c r="D2984" s="46">
        <v>1151021.7566313227</v>
      </c>
      <c r="E2984" s="43">
        <v>46040.87026525291</v>
      </c>
      <c r="F2984" s="43" t="s">
        <v>87</v>
      </c>
      <c r="G2984" s="43" t="s">
        <v>71</v>
      </c>
      <c r="H2984" s="43" t="s">
        <v>88</v>
      </c>
    </row>
    <row r="2985" spans="1:8" x14ac:dyDescent="0.25">
      <c r="A2985" s="72" t="s">
        <v>4353</v>
      </c>
      <c r="B2985" s="72" t="s">
        <v>97</v>
      </c>
      <c r="C2985" s="73">
        <v>49</v>
      </c>
      <c r="D2985" s="73">
        <v>1064388.0585509809</v>
      </c>
      <c r="E2985" s="72">
        <v>53219.402927549047</v>
      </c>
      <c r="F2985" s="72" t="s">
        <v>70</v>
      </c>
      <c r="G2985" s="72" t="s">
        <v>71</v>
      </c>
      <c r="H2985" s="72" t="s">
        <v>72</v>
      </c>
    </row>
    <row r="2986" spans="1:8" x14ac:dyDescent="0.25">
      <c r="A2986" s="43" t="s">
        <v>2647</v>
      </c>
      <c r="B2986" s="43" t="s">
        <v>269</v>
      </c>
      <c r="C2986" s="46">
        <v>49</v>
      </c>
      <c r="D2986" s="46">
        <v>1395161.9038649222</v>
      </c>
      <c r="E2986" s="43">
        <v>139516.19038649224</v>
      </c>
      <c r="F2986" s="43" t="s">
        <v>70</v>
      </c>
      <c r="G2986" s="43" t="s">
        <v>71</v>
      </c>
      <c r="H2986" s="43" t="s">
        <v>72</v>
      </c>
    </row>
    <row r="2987" spans="1:8" x14ac:dyDescent="0.25">
      <c r="A2987" s="43" t="s">
        <v>2969</v>
      </c>
      <c r="B2987" s="43" t="s">
        <v>75</v>
      </c>
      <c r="C2987" s="46">
        <v>49</v>
      </c>
      <c r="D2987" s="46">
        <v>1192121.8193117587</v>
      </c>
      <c r="E2987" s="43">
        <v>119212.18193117587</v>
      </c>
      <c r="F2987" s="43" t="s">
        <v>106</v>
      </c>
      <c r="G2987" s="43" t="s">
        <v>71</v>
      </c>
      <c r="H2987" s="43" t="s">
        <v>72</v>
      </c>
    </row>
    <row r="2988" spans="1:8" x14ac:dyDescent="0.25">
      <c r="A2988" s="43" t="s">
        <v>3412</v>
      </c>
      <c r="B2988" s="43" t="s">
        <v>75</v>
      </c>
      <c r="C2988" s="46">
        <v>49</v>
      </c>
      <c r="D2988" s="46">
        <v>1158757.7564261749</v>
      </c>
      <c r="E2988" s="43">
        <v>92700.620514094</v>
      </c>
      <c r="F2988" s="43" t="s">
        <v>106</v>
      </c>
      <c r="G2988" s="43" t="s">
        <v>71</v>
      </c>
      <c r="H2988" s="43" t="s">
        <v>72</v>
      </c>
    </row>
    <row r="2989" spans="1:8" x14ac:dyDescent="0.25">
      <c r="A2989" s="43" t="s">
        <v>3999</v>
      </c>
      <c r="B2989" s="43" t="s">
        <v>75</v>
      </c>
      <c r="C2989" s="46">
        <v>49</v>
      </c>
      <c r="D2989" s="46">
        <v>1114876.8379718794</v>
      </c>
      <c r="E2989" s="43">
        <v>66892.610278312772</v>
      </c>
      <c r="F2989" s="43" t="s">
        <v>106</v>
      </c>
      <c r="G2989" s="43" t="s">
        <v>71</v>
      </c>
      <c r="H2989" s="43" t="s">
        <v>72</v>
      </c>
    </row>
    <row r="2990" spans="1:8" x14ac:dyDescent="0.25">
      <c r="A2990" s="72" t="s">
        <v>4549</v>
      </c>
      <c r="B2990" s="72" t="s">
        <v>73</v>
      </c>
      <c r="C2990" s="73">
        <v>49</v>
      </c>
      <c r="D2990" s="73">
        <v>1151021.7566313227</v>
      </c>
      <c r="E2990" s="72">
        <v>46040.87026525291</v>
      </c>
      <c r="F2990" s="72" t="s">
        <v>87</v>
      </c>
      <c r="G2990" s="72" t="s">
        <v>71</v>
      </c>
      <c r="H2990" s="72" t="s">
        <v>88</v>
      </c>
    </row>
    <row r="2991" spans="1:8" x14ac:dyDescent="0.25">
      <c r="A2991" s="72" t="s">
        <v>1705</v>
      </c>
      <c r="B2991" s="72" t="s">
        <v>1054</v>
      </c>
      <c r="C2991" s="73">
        <v>49</v>
      </c>
      <c r="D2991" s="73">
        <v>1541724.7103576087</v>
      </c>
      <c r="E2991" s="72">
        <v>215841.45945006519</v>
      </c>
      <c r="F2991" s="72" t="s">
        <v>70</v>
      </c>
      <c r="G2991" s="72" t="s">
        <v>71</v>
      </c>
      <c r="H2991" s="72" t="s">
        <v>72</v>
      </c>
    </row>
    <row r="2992" spans="1:8" x14ac:dyDescent="0.25">
      <c r="A2992" s="43" t="s">
        <v>4550</v>
      </c>
      <c r="B2992" s="43" t="s">
        <v>73</v>
      </c>
      <c r="C2992" s="46">
        <v>49</v>
      </c>
      <c r="D2992" s="46">
        <v>1151021.7566313227</v>
      </c>
      <c r="E2992" s="43">
        <v>46040.87026525291</v>
      </c>
      <c r="F2992" s="43" t="s">
        <v>87</v>
      </c>
      <c r="G2992" s="43" t="s">
        <v>71</v>
      </c>
      <c r="H2992" s="43" t="s">
        <v>88</v>
      </c>
    </row>
    <row r="2993" spans="1:8" x14ac:dyDescent="0.25">
      <c r="A2993" s="43" t="s">
        <v>2759</v>
      </c>
      <c r="B2993" s="43" t="s">
        <v>108</v>
      </c>
      <c r="C2993" s="46">
        <v>49</v>
      </c>
      <c r="D2993" s="46">
        <v>1206345.3737840867</v>
      </c>
      <c r="E2993" s="43">
        <v>132697.99111624956</v>
      </c>
      <c r="F2993" s="43" t="s">
        <v>106</v>
      </c>
      <c r="G2993" s="43" t="s">
        <v>71</v>
      </c>
      <c r="H2993" s="43" t="s">
        <v>72</v>
      </c>
    </row>
    <row r="2994" spans="1:8" x14ac:dyDescent="0.25">
      <c r="A2994" s="43" t="s">
        <v>2073</v>
      </c>
      <c r="B2994" s="43" t="s">
        <v>93</v>
      </c>
      <c r="C2994" s="46">
        <v>49</v>
      </c>
      <c r="D2994" s="46">
        <v>1517960.3331647036</v>
      </c>
      <c r="E2994" s="43">
        <v>182155.23997976442</v>
      </c>
      <c r="F2994" s="43" t="s">
        <v>87</v>
      </c>
      <c r="G2994" s="43" t="s">
        <v>71</v>
      </c>
      <c r="H2994" s="43" t="s">
        <v>88</v>
      </c>
    </row>
    <row r="2995" spans="1:8" x14ac:dyDescent="0.25">
      <c r="A2995" s="72" t="s">
        <v>2384</v>
      </c>
      <c r="B2995" s="72" t="s">
        <v>73</v>
      </c>
      <c r="C2995" s="73">
        <v>49</v>
      </c>
      <c r="D2995" s="73">
        <v>1436279.6881641431</v>
      </c>
      <c r="E2995" s="72">
        <v>157990.76569805577</v>
      </c>
      <c r="F2995" s="72" t="s">
        <v>70</v>
      </c>
      <c r="G2995" s="72" t="s">
        <v>71</v>
      </c>
      <c r="H2995" s="72" t="s">
        <v>72</v>
      </c>
    </row>
    <row r="2996" spans="1:8" x14ac:dyDescent="0.25">
      <c r="A2996" s="72" t="s">
        <v>3864</v>
      </c>
      <c r="B2996" s="72" t="s">
        <v>75</v>
      </c>
      <c r="C2996" s="73">
        <v>49</v>
      </c>
      <c r="D2996" s="73">
        <v>1201074.6671980517</v>
      </c>
      <c r="E2996" s="72">
        <v>72064.480031883111</v>
      </c>
      <c r="F2996" s="72" t="s">
        <v>78</v>
      </c>
      <c r="G2996" s="72" t="s">
        <v>71</v>
      </c>
      <c r="H2996" s="72" t="s">
        <v>72</v>
      </c>
    </row>
    <row r="2997" spans="1:8" x14ac:dyDescent="0.25">
      <c r="A2997" s="43" t="s">
        <v>4354</v>
      </c>
      <c r="B2997" s="43" t="s">
        <v>73</v>
      </c>
      <c r="C2997" s="46">
        <v>49</v>
      </c>
      <c r="D2997" s="46">
        <v>1064388.0585509809</v>
      </c>
      <c r="E2997" s="43">
        <v>53219.402927549047</v>
      </c>
      <c r="F2997" s="43" t="s">
        <v>70</v>
      </c>
      <c r="G2997" s="43" t="s">
        <v>71</v>
      </c>
      <c r="H2997" s="43" t="s">
        <v>72</v>
      </c>
    </row>
    <row r="2998" spans="1:8" x14ac:dyDescent="0.25">
      <c r="A2998" s="72" t="s">
        <v>1915</v>
      </c>
      <c r="B2998" s="72" t="s">
        <v>83</v>
      </c>
      <c r="C2998" s="73">
        <v>49</v>
      </c>
      <c r="D2998" s="73">
        <v>1505669.3710276873</v>
      </c>
      <c r="E2998" s="72">
        <v>195737.01823359937</v>
      </c>
      <c r="F2998" s="72" t="s">
        <v>84</v>
      </c>
      <c r="G2998" s="72" t="s">
        <v>71</v>
      </c>
      <c r="H2998" s="72" t="s">
        <v>72</v>
      </c>
    </row>
    <row r="2999" spans="1:8" x14ac:dyDescent="0.25">
      <c r="A2999" s="43" t="s">
        <v>1706</v>
      </c>
      <c r="B2999" s="43" t="s">
        <v>73</v>
      </c>
      <c r="C2999" s="46">
        <v>49</v>
      </c>
      <c r="D2999" s="46">
        <v>1541724.7103576087</v>
      </c>
      <c r="E2999" s="43">
        <v>215841.45945006519</v>
      </c>
      <c r="F2999" s="43" t="s">
        <v>70</v>
      </c>
      <c r="G2999" s="43" t="s">
        <v>71</v>
      </c>
      <c r="H2999" s="43" t="s">
        <v>72</v>
      </c>
    </row>
    <row r="3000" spans="1:8" x14ac:dyDescent="0.25">
      <c r="A3000" s="43" t="s">
        <v>2385</v>
      </c>
      <c r="B3000" s="43" t="s">
        <v>73</v>
      </c>
      <c r="C3000" s="46">
        <v>49</v>
      </c>
      <c r="D3000" s="46">
        <v>1436279.6881641431</v>
      </c>
      <c r="E3000" s="43">
        <v>157990.76569805577</v>
      </c>
      <c r="F3000" s="43" t="s">
        <v>70</v>
      </c>
      <c r="G3000" s="43" t="s">
        <v>71</v>
      </c>
      <c r="H3000" s="43" t="s">
        <v>72</v>
      </c>
    </row>
    <row r="3001" spans="1:8" x14ac:dyDescent="0.25">
      <c r="A3001" s="72" t="s">
        <v>3671</v>
      </c>
      <c r="B3001" s="72" t="s">
        <v>89</v>
      </c>
      <c r="C3001" s="73">
        <v>49</v>
      </c>
      <c r="D3001" s="73">
        <v>1138585.4148982591</v>
      </c>
      <c r="E3001" s="72">
        <v>79700.979042878127</v>
      </c>
      <c r="F3001" s="72" t="s">
        <v>106</v>
      </c>
      <c r="G3001" s="72" t="s">
        <v>71</v>
      </c>
      <c r="H3001" s="72" t="s">
        <v>72</v>
      </c>
    </row>
    <row r="3002" spans="1:8" x14ac:dyDescent="0.25">
      <c r="A3002" s="43" t="s">
        <v>2947</v>
      </c>
      <c r="B3002" s="43" t="s">
        <v>110</v>
      </c>
      <c r="C3002" s="46">
        <v>49</v>
      </c>
      <c r="D3002" s="46">
        <v>1349691.9917755288</v>
      </c>
      <c r="E3002" s="43">
        <v>121472.27925979758</v>
      </c>
      <c r="F3002" s="43" t="s">
        <v>70</v>
      </c>
      <c r="G3002" s="43" t="s">
        <v>71</v>
      </c>
      <c r="H3002" s="43" t="s">
        <v>72</v>
      </c>
    </row>
    <row r="3003" spans="1:8" x14ac:dyDescent="0.25">
      <c r="A3003" s="72" t="s">
        <v>2948</v>
      </c>
      <c r="B3003" s="72" t="s">
        <v>86</v>
      </c>
      <c r="C3003" s="73">
        <v>49</v>
      </c>
      <c r="D3003" s="73">
        <v>1349691.9917755288</v>
      </c>
      <c r="E3003" s="72">
        <v>121472.27925979758</v>
      </c>
      <c r="F3003" s="72" t="s">
        <v>70</v>
      </c>
      <c r="G3003" s="72" t="s">
        <v>71</v>
      </c>
      <c r="H3003" s="72" t="s">
        <v>72</v>
      </c>
    </row>
    <row r="3004" spans="1:8" x14ac:dyDescent="0.25">
      <c r="A3004" s="72" t="s">
        <v>1707</v>
      </c>
      <c r="B3004" s="72" t="s">
        <v>112</v>
      </c>
      <c r="C3004" s="73">
        <v>49</v>
      </c>
      <c r="D3004" s="73">
        <v>1541724.7103576087</v>
      </c>
      <c r="E3004" s="72">
        <v>215841.45945006519</v>
      </c>
      <c r="F3004" s="72" t="s">
        <v>70</v>
      </c>
      <c r="G3004" s="72" t="s">
        <v>71</v>
      </c>
      <c r="H3004" s="72" t="s">
        <v>72</v>
      </c>
    </row>
    <row r="3005" spans="1:8" x14ac:dyDescent="0.25">
      <c r="A3005" s="43" t="s">
        <v>3378</v>
      </c>
      <c r="B3005" s="43" t="s">
        <v>127</v>
      </c>
      <c r="C3005" s="46">
        <v>49</v>
      </c>
      <c r="D3005" s="46">
        <v>1353807.8087609967</v>
      </c>
      <c r="E3005" s="43">
        <v>94766.546613269762</v>
      </c>
      <c r="F3005" s="43" t="s">
        <v>87</v>
      </c>
      <c r="G3005" s="43" t="s">
        <v>71</v>
      </c>
      <c r="H3005" s="43" t="s">
        <v>88</v>
      </c>
    </row>
    <row r="3006" spans="1:8" x14ac:dyDescent="0.25">
      <c r="A3006" s="43" t="s">
        <v>2131</v>
      </c>
      <c r="B3006" s="43" t="s">
        <v>102</v>
      </c>
      <c r="C3006" s="46">
        <v>49</v>
      </c>
      <c r="D3006" s="46">
        <v>1474005.4667812758</v>
      </c>
      <c r="E3006" s="43">
        <v>176880.65601375312</v>
      </c>
      <c r="F3006" s="43" t="s">
        <v>70</v>
      </c>
      <c r="G3006" s="43" t="s">
        <v>71</v>
      </c>
      <c r="H3006" s="43" t="s">
        <v>72</v>
      </c>
    </row>
    <row r="3007" spans="1:8" x14ac:dyDescent="0.25">
      <c r="A3007" s="43" t="s">
        <v>3529</v>
      </c>
      <c r="B3007" s="43" t="s">
        <v>103</v>
      </c>
      <c r="C3007" s="46">
        <v>49</v>
      </c>
      <c r="D3007" s="46">
        <v>1238618.1548579172</v>
      </c>
      <c r="E3007" s="43">
        <v>86703.270840054203</v>
      </c>
      <c r="F3007" s="43" t="s">
        <v>70</v>
      </c>
      <c r="G3007" s="43" t="s">
        <v>71</v>
      </c>
      <c r="H3007" s="43" t="s">
        <v>72</v>
      </c>
    </row>
    <row r="3008" spans="1:8" x14ac:dyDescent="0.25">
      <c r="A3008" s="72" t="s">
        <v>4355</v>
      </c>
      <c r="B3008" s="72" t="s">
        <v>74</v>
      </c>
      <c r="C3008" s="73">
        <v>49</v>
      </c>
      <c r="D3008" s="73">
        <v>1064388.0585509809</v>
      </c>
      <c r="E3008" s="72">
        <v>53219.402927549047</v>
      </c>
      <c r="F3008" s="72" t="s">
        <v>70</v>
      </c>
      <c r="G3008" s="72" t="s">
        <v>71</v>
      </c>
      <c r="H3008" s="72" t="s">
        <v>72</v>
      </c>
    </row>
    <row r="3009" spans="1:8" x14ac:dyDescent="0.25">
      <c r="A3009" s="72" t="s">
        <v>3713</v>
      </c>
      <c r="B3009" s="72" t="s">
        <v>77</v>
      </c>
      <c r="C3009" s="73">
        <v>49</v>
      </c>
      <c r="D3009" s="73">
        <v>1304527.546019118</v>
      </c>
      <c r="E3009" s="72">
        <v>78271.652761147081</v>
      </c>
      <c r="F3009" s="72" t="s">
        <v>87</v>
      </c>
      <c r="G3009" s="72" t="s">
        <v>71</v>
      </c>
      <c r="H3009" s="72" t="s">
        <v>88</v>
      </c>
    </row>
    <row r="3010" spans="1:8" x14ac:dyDescent="0.25">
      <c r="A3010" s="43" t="s">
        <v>3865</v>
      </c>
      <c r="B3010" s="43" t="s">
        <v>337</v>
      </c>
      <c r="C3010" s="46">
        <v>49</v>
      </c>
      <c r="D3010" s="46">
        <v>1201074.6671980517</v>
      </c>
      <c r="E3010" s="43">
        <v>72064.480031883111</v>
      </c>
      <c r="F3010" s="43" t="s">
        <v>78</v>
      </c>
      <c r="G3010" s="43" t="s">
        <v>71</v>
      </c>
      <c r="H3010" s="43" t="s">
        <v>72</v>
      </c>
    </row>
    <row r="3011" spans="1:8" x14ac:dyDescent="0.25">
      <c r="A3011" s="72" t="s">
        <v>2170</v>
      </c>
      <c r="B3011" s="72" t="s">
        <v>97</v>
      </c>
      <c r="C3011" s="73">
        <v>48</v>
      </c>
      <c r="D3011" s="73">
        <v>1443245.7148120184</v>
      </c>
      <c r="E3011" s="72">
        <v>173189.48577744226</v>
      </c>
      <c r="F3011" s="72" t="s">
        <v>70</v>
      </c>
      <c r="G3011" s="72" t="s">
        <v>71</v>
      </c>
      <c r="H3011" s="72" t="s">
        <v>72</v>
      </c>
    </row>
    <row r="3012" spans="1:8" x14ac:dyDescent="0.25">
      <c r="A3012" s="43" t="s">
        <v>2171</v>
      </c>
      <c r="B3012" s="43" t="s">
        <v>97</v>
      </c>
      <c r="C3012" s="46">
        <v>48</v>
      </c>
      <c r="D3012" s="46">
        <v>1443245.7148120184</v>
      </c>
      <c r="E3012" s="43">
        <v>173189.48577744226</v>
      </c>
      <c r="F3012" s="43" t="s">
        <v>70</v>
      </c>
      <c r="G3012" s="43" t="s">
        <v>71</v>
      </c>
      <c r="H3012" s="43" t="s">
        <v>72</v>
      </c>
    </row>
    <row r="3013" spans="1:8" x14ac:dyDescent="0.25">
      <c r="A3013" s="43" t="s">
        <v>3961</v>
      </c>
      <c r="B3013" s="43" t="s">
        <v>97</v>
      </c>
      <c r="C3013" s="46">
        <v>48</v>
      </c>
      <c r="D3013" s="46">
        <v>1140805.0095502262</v>
      </c>
      <c r="E3013" s="43">
        <v>68448.300573013577</v>
      </c>
      <c r="F3013" s="43" t="s">
        <v>70</v>
      </c>
      <c r="G3013" s="43" t="s">
        <v>71</v>
      </c>
      <c r="H3013" s="43" t="s">
        <v>72</v>
      </c>
    </row>
    <row r="3014" spans="1:8" x14ac:dyDescent="0.25">
      <c r="A3014" s="72" t="s">
        <v>3246</v>
      </c>
      <c r="B3014" s="72" t="s">
        <v>323</v>
      </c>
      <c r="C3014" s="73">
        <v>48</v>
      </c>
      <c r="D3014" s="73">
        <v>1271195.0392013923</v>
      </c>
      <c r="E3014" s="72">
        <v>101695.60313611139</v>
      </c>
      <c r="F3014" s="72" t="s">
        <v>70</v>
      </c>
      <c r="G3014" s="72" t="s">
        <v>71</v>
      </c>
      <c r="H3014" s="72" t="s">
        <v>72</v>
      </c>
    </row>
    <row r="3015" spans="1:8" x14ac:dyDescent="0.25">
      <c r="A3015" s="72" t="s">
        <v>3116</v>
      </c>
      <c r="B3015" s="72" t="s">
        <v>127</v>
      </c>
      <c r="C3015" s="73">
        <v>48</v>
      </c>
      <c r="D3015" s="73">
        <v>1366013.9243821884</v>
      </c>
      <c r="E3015" s="72">
        <v>109281.11395057508</v>
      </c>
      <c r="F3015" s="72" t="s">
        <v>87</v>
      </c>
      <c r="G3015" s="72" t="s">
        <v>71</v>
      </c>
      <c r="H3015" s="72" t="s">
        <v>88</v>
      </c>
    </row>
    <row r="3016" spans="1:8" x14ac:dyDescent="0.25">
      <c r="A3016" s="72" t="s">
        <v>3962</v>
      </c>
      <c r="B3016" s="72" t="s">
        <v>176</v>
      </c>
      <c r="C3016" s="73">
        <v>48</v>
      </c>
      <c r="D3016" s="73">
        <v>1140805.0095502262</v>
      </c>
      <c r="E3016" s="72">
        <v>68448.300573013577</v>
      </c>
      <c r="F3016" s="72" t="s">
        <v>70</v>
      </c>
      <c r="G3016" s="72" t="s">
        <v>71</v>
      </c>
      <c r="H3016" s="72" t="s">
        <v>72</v>
      </c>
    </row>
    <row r="3017" spans="1:8" x14ac:dyDescent="0.25">
      <c r="A3017" s="72" t="s">
        <v>2172</v>
      </c>
      <c r="B3017" s="72" t="s">
        <v>176</v>
      </c>
      <c r="C3017" s="73">
        <v>48</v>
      </c>
      <c r="D3017" s="73">
        <v>1443245.7148120184</v>
      </c>
      <c r="E3017" s="72">
        <v>173189.48577744226</v>
      </c>
      <c r="F3017" s="72" t="s">
        <v>70</v>
      </c>
      <c r="G3017" s="72" t="s">
        <v>71</v>
      </c>
      <c r="H3017" s="72" t="s">
        <v>72</v>
      </c>
    </row>
    <row r="3018" spans="1:8" x14ac:dyDescent="0.25">
      <c r="A3018" s="72" t="s">
        <v>3560</v>
      </c>
      <c r="B3018" s="72" t="s">
        <v>108</v>
      </c>
      <c r="C3018" s="73">
        <v>48</v>
      </c>
      <c r="D3018" s="73">
        <v>1212662.2255809731</v>
      </c>
      <c r="E3018" s="72">
        <v>84886.355790668109</v>
      </c>
      <c r="F3018" s="72" t="s">
        <v>70</v>
      </c>
      <c r="G3018" s="72" t="s">
        <v>71</v>
      </c>
      <c r="H3018" s="72" t="s">
        <v>72</v>
      </c>
    </row>
    <row r="3019" spans="1:8" x14ac:dyDescent="0.25">
      <c r="A3019" s="43" t="s">
        <v>1750</v>
      </c>
      <c r="B3019" s="43" t="s">
        <v>97</v>
      </c>
      <c r="C3019" s="46">
        <v>48</v>
      </c>
      <c r="D3019" s="46">
        <v>1509582.9330092419</v>
      </c>
      <c r="E3019" s="43">
        <v>211341.61062129386</v>
      </c>
      <c r="F3019" s="43" t="s">
        <v>70</v>
      </c>
      <c r="G3019" s="43" t="s">
        <v>71</v>
      </c>
      <c r="H3019" s="43" t="s">
        <v>72</v>
      </c>
    </row>
    <row r="3020" spans="1:8" x14ac:dyDescent="0.25">
      <c r="A3020" s="72" t="s">
        <v>4166</v>
      </c>
      <c r="B3020" s="72" t="s">
        <v>77</v>
      </c>
      <c r="C3020" s="73">
        <v>48</v>
      </c>
      <c r="D3020" s="73">
        <v>1215978.7106008651</v>
      </c>
      <c r="E3020" s="72">
        <v>60798.935530043258</v>
      </c>
      <c r="F3020" s="72" t="s">
        <v>87</v>
      </c>
      <c r="G3020" s="72" t="s">
        <v>71</v>
      </c>
      <c r="H3020" s="72" t="s">
        <v>88</v>
      </c>
    </row>
    <row r="3021" spans="1:8" x14ac:dyDescent="0.25">
      <c r="A3021" s="43" t="s">
        <v>3963</v>
      </c>
      <c r="B3021" s="43" t="s">
        <v>97</v>
      </c>
      <c r="C3021" s="46">
        <v>48</v>
      </c>
      <c r="D3021" s="46">
        <v>1140805.0095502262</v>
      </c>
      <c r="E3021" s="43">
        <v>68448.300573013577</v>
      </c>
      <c r="F3021" s="43" t="s">
        <v>70</v>
      </c>
      <c r="G3021" s="43" t="s">
        <v>71</v>
      </c>
      <c r="H3021" s="43" t="s">
        <v>72</v>
      </c>
    </row>
    <row r="3022" spans="1:8" x14ac:dyDescent="0.25">
      <c r="A3022" s="72" t="s">
        <v>2112</v>
      </c>
      <c r="B3022" s="72" t="s">
        <v>93</v>
      </c>
      <c r="C3022" s="73">
        <v>48</v>
      </c>
      <c r="D3022" s="73">
        <v>1486394.812177856</v>
      </c>
      <c r="E3022" s="72">
        <v>178367.37746134272</v>
      </c>
      <c r="F3022" s="72" t="s">
        <v>87</v>
      </c>
      <c r="G3022" s="72" t="s">
        <v>71</v>
      </c>
      <c r="H3022" s="72" t="s">
        <v>88</v>
      </c>
    </row>
    <row r="3023" spans="1:8" x14ac:dyDescent="0.25">
      <c r="A3023" s="43" t="s">
        <v>2173</v>
      </c>
      <c r="B3023" s="43" t="s">
        <v>97</v>
      </c>
      <c r="C3023" s="46">
        <v>48</v>
      </c>
      <c r="D3023" s="46">
        <v>1443245.7148120184</v>
      </c>
      <c r="E3023" s="43">
        <v>173189.48577744226</v>
      </c>
      <c r="F3023" s="43" t="s">
        <v>70</v>
      </c>
      <c r="G3023" s="43" t="s">
        <v>71</v>
      </c>
      <c r="H3023" s="43" t="s">
        <v>72</v>
      </c>
    </row>
    <row r="3024" spans="1:8" x14ac:dyDescent="0.25">
      <c r="A3024" s="72" t="s">
        <v>4891</v>
      </c>
      <c r="B3024" s="72" t="s">
        <v>149</v>
      </c>
      <c r="C3024" s="73">
        <v>48</v>
      </c>
      <c r="D3024" s="73">
        <v>968237.77805463411</v>
      </c>
      <c r="E3024" s="72">
        <v>29047.13334163903</v>
      </c>
      <c r="F3024" s="72" t="s">
        <v>106</v>
      </c>
      <c r="G3024" s="72" t="s">
        <v>71</v>
      </c>
      <c r="H3024" s="72" t="s">
        <v>72</v>
      </c>
    </row>
    <row r="3025" spans="1:8" x14ac:dyDescent="0.25">
      <c r="A3025" s="72" t="s">
        <v>2863</v>
      </c>
      <c r="B3025" s="72" t="s">
        <v>75</v>
      </c>
      <c r="C3025" s="73">
        <v>48</v>
      </c>
      <c r="D3025" s="73">
        <v>1401109.6118458142</v>
      </c>
      <c r="E3025" s="72">
        <v>126099.86506612327</v>
      </c>
      <c r="F3025" s="72" t="s">
        <v>87</v>
      </c>
      <c r="G3025" s="72" t="s">
        <v>71</v>
      </c>
      <c r="H3025" s="72" t="s">
        <v>88</v>
      </c>
    </row>
    <row r="3026" spans="1:8" x14ac:dyDescent="0.25">
      <c r="A3026" s="72" t="s">
        <v>1751</v>
      </c>
      <c r="B3026" s="72" t="s">
        <v>97</v>
      </c>
      <c r="C3026" s="73">
        <v>48</v>
      </c>
      <c r="D3026" s="73">
        <v>1509582.9330092419</v>
      </c>
      <c r="E3026" s="72">
        <v>211341.61062129386</v>
      </c>
      <c r="F3026" s="72" t="s">
        <v>70</v>
      </c>
      <c r="G3026" s="72" t="s">
        <v>71</v>
      </c>
      <c r="H3026" s="72" t="s">
        <v>72</v>
      </c>
    </row>
    <row r="3027" spans="1:8" x14ac:dyDescent="0.25">
      <c r="A3027" s="43" t="s">
        <v>3247</v>
      </c>
      <c r="B3027" s="43" t="s">
        <v>323</v>
      </c>
      <c r="C3027" s="46">
        <v>48</v>
      </c>
      <c r="D3027" s="46">
        <v>1271195.0392013923</v>
      </c>
      <c r="E3027" s="43">
        <v>101695.60313611139</v>
      </c>
      <c r="F3027" s="43" t="s">
        <v>70</v>
      </c>
      <c r="G3027" s="43" t="s">
        <v>71</v>
      </c>
      <c r="H3027" s="43" t="s">
        <v>72</v>
      </c>
    </row>
    <row r="3028" spans="1:8" x14ac:dyDescent="0.25">
      <c r="A3028" s="43" t="s">
        <v>4356</v>
      </c>
      <c r="B3028" s="43" t="s">
        <v>75</v>
      </c>
      <c r="C3028" s="46">
        <v>48</v>
      </c>
      <c r="D3028" s="46">
        <v>1063004.7728889124</v>
      </c>
      <c r="E3028" s="43">
        <v>53150.238644445621</v>
      </c>
      <c r="F3028" s="43" t="s">
        <v>106</v>
      </c>
      <c r="G3028" s="43" t="s">
        <v>71</v>
      </c>
      <c r="H3028" s="43" t="s">
        <v>72</v>
      </c>
    </row>
    <row r="3029" spans="1:8" x14ac:dyDescent="0.25">
      <c r="A3029" s="43" t="s">
        <v>2193</v>
      </c>
      <c r="B3029" s="43" t="s">
        <v>83</v>
      </c>
      <c r="C3029" s="46">
        <v>48</v>
      </c>
      <c r="D3029" s="46">
        <v>1426928.6636304122</v>
      </c>
      <c r="E3029" s="43">
        <v>171231.43963564947</v>
      </c>
      <c r="F3029" s="43" t="s">
        <v>84</v>
      </c>
      <c r="G3029" s="43" t="s">
        <v>71</v>
      </c>
      <c r="H3029" s="43" t="s">
        <v>72</v>
      </c>
    </row>
    <row r="3030" spans="1:8" x14ac:dyDescent="0.25">
      <c r="A3030" s="72" t="s">
        <v>2347</v>
      </c>
      <c r="B3030" s="72" t="s">
        <v>93</v>
      </c>
      <c r="C3030" s="73">
        <v>48</v>
      </c>
      <c r="D3030" s="73">
        <v>1460542.5458828753</v>
      </c>
      <c r="E3030" s="72">
        <v>160659.6800471163</v>
      </c>
      <c r="F3030" s="72" t="s">
        <v>87</v>
      </c>
      <c r="G3030" s="72" t="s">
        <v>71</v>
      </c>
      <c r="H3030" s="72" t="s">
        <v>88</v>
      </c>
    </row>
    <row r="3031" spans="1:8" x14ac:dyDescent="0.25">
      <c r="A3031" s="43" t="s">
        <v>2591</v>
      </c>
      <c r="B3031" s="43" t="s">
        <v>554</v>
      </c>
      <c r="C3031" s="46">
        <v>48</v>
      </c>
      <c r="D3031" s="46">
        <v>1193803.8798865529</v>
      </c>
      <c r="E3031" s="43">
        <v>143256.46558638636</v>
      </c>
      <c r="F3031" s="43" t="s">
        <v>106</v>
      </c>
      <c r="G3031" s="43" t="s">
        <v>71</v>
      </c>
      <c r="H3031" s="43" t="s">
        <v>72</v>
      </c>
    </row>
    <row r="3032" spans="1:8" x14ac:dyDescent="0.25">
      <c r="A3032" s="43" t="s">
        <v>3561</v>
      </c>
      <c r="B3032" s="43" t="s">
        <v>112</v>
      </c>
      <c r="C3032" s="46">
        <v>48</v>
      </c>
      <c r="D3032" s="46">
        <v>1212662.2255809731</v>
      </c>
      <c r="E3032" s="43">
        <v>84886.355790668109</v>
      </c>
      <c r="F3032" s="43" t="s">
        <v>70</v>
      </c>
      <c r="G3032" s="43" t="s">
        <v>71</v>
      </c>
      <c r="H3032" s="43" t="s">
        <v>72</v>
      </c>
    </row>
    <row r="3033" spans="1:8" x14ac:dyDescent="0.25">
      <c r="A3033" s="43" t="s">
        <v>2864</v>
      </c>
      <c r="B3033" s="43" t="s">
        <v>77</v>
      </c>
      <c r="C3033" s="46">
        <v>48</v>
      </c>
      <c r="D3033" s="46">
        <v>1401109.6118458142</v>
      </c>
      <c r="E3033" s="43">
        <v>126099.86506612327</v>
      </c>
      <c r="F3033" s="43" t="s">
        <v>87</v>
      </c>
      <c r="G3033" s="43" t="s">
        <v>71</v>
      </c>
      <c r="H3033" s="43" t="s">
        <v>88</v>
      </c>
    </row>
    <row r="3034" spans="1:8" x14ac:dyDescent="0.25">
      <c r="A3034" s="43" t="s">
        <v>1956</v>
      </c>
      <c r="B3034" s="43" t="s">
        <v>73</v>
      </c>
      <c r="C3034" s="46">
        <v>48</v>
      </c>
      <c r="D3034" s="46">
        <v>1477522.5068512748</v>
      </c>
      <c r="E3034" s="43">
        <v>192077.92589066573</v>
      </c>
      <c r="F3034" s="43" t="s">
        <v>70</v>
      </c>
      <c r="G3034" s="43" t="s">
        <v>71</v>
      </c>
      <c r="H3034" s="43" t="s">
        <v>72</v>
      </c>
    </row>
    <row r="3035" spans="1:8" x14ac:dyDescent="0.25">
      <c r="A3035" s="72" t="s">
        <v>3008</v>
      </c>
      <c r="B3035" s="72" t="s">
        <v>73</v>
      </c>
      <c r="C3035" s="73">
        <v>48</v>
      </c>
      <c r="D3035" s="73">
        <v>1167125.672557913</v>
      </c>
      <c r="E3035" s="72">
        <v>116712.56725579131</v>
      </c>
      <c r="F3035" s="72" t="s">
        <v>106</v>
      </c>
      <c r="G3035" s="72" t="s">
        <v>71</v>
      </c>
      <c r="H3035" s="72" t="s">
        <v>72</v>
      </c>
    </row>
    <row r="3036" spans="1:8" x14ac:dyDescent="0.25">
      <c r="A3036" s="72" t="s">
        <v>3248</v>
      </c>
      <c r="B3036" s="72" t="s">
        <v>97</v>
      </c>
      <c r="C3036" s="73">
        <v>48</v>
      </c>
      <c r="D3036" s="73">
        <v>1271195.0392013923</v>
      </c>
      <c r="E3036" s="72">
        <v>101695.60313611139</v>
      </c>
      <c r="F3036" s="72" t="s">
        <v>70</v>
      </c>
      <c r="G3036" s="72" t="s">
        <v>71</v>
      </c>
      <c r="H3036" s="72" t="s">
        <v>72</v>
      </c>
    </row>
    <row r="3037" spans="1:8" x14ac:dyDescent="0.25">
      <c r="A3037" s="43" t="s">
        <v>2367</v>
      </c>
      <c r="B3037" s="43" t="s">
        <v>93</v>
      </c>
      <c r="C3037" s="46">
        <v>48</v>
      </c>
      <c r="D3037" s="46">
        <v>1448149.7809295475</v>
      </c>
      <c r="E3037" s="43">
        <v>159296.47590225024</v>
      </c>
      <c r="F3037" s="43" t="s">
        <v>78</v>
      </c>
      <c r="G3037" s="43" t="s">
        <v>71</v>
      </c>
      <c r="H3037" s="43" t="s">
        <v>72</v>
      </c>
    </row>
    <row r="3038" spans="1:8" x14ac:dyDescent="0.25">
      <c r="A3038" s="72" t="s">
        <v>279</v>
      </c>
      <c r="B3038" s="72" t="s">
        <v>97</v>
      </c>
      <c r="C3038" s="73">
        <v>48</v>
      </c>
      <c r="D3038" s="73">
        <v>1041987.8455251987</v>
      </c>
      <c r="E3038" s="72">
        <v>52099.39227625994</v>
      </c>
      <c r="F3038" s="72" t="s">
        <v>70</v>
      </c>
      <c r="G3038" s="72" t="s">
        <v>71</v>
      </c>
      <c r="H3038" s="72" t="s">
        <v>72</v>
      </c>
    </row>
    <row r="3039" spans="1:8" x14ac:dyDescent="0.25">
      <c r="A3039" s="72" t="s">
        <v>2420</v>
      </c>
      <c r="B3039" s="72" t="s">
        <v>97</v>
      </c>
      <c r="C3039" s="73">
        <v>48</v>
      </c>
      <c r="D3039" s="73">
        <v>1406289.8500442149</v>
      </c>
      <c r="E3039" s="72">
        <v>154691.88350486365</v>
      </c>
      <c r="F3039" s="72" t="s">
        <v>70</v>
      </c>
      <c r="G3039" s="72" t="s">
        <v>71</v>
      </c>
      <c r="H3039" s="72" t="s">
        <v>72</v>
      </c>
    </row>
    <row r="3040" spans="1:8" x14ac:dyDescent="0.25">
      <c r="A3040" s="72" t="s">
        <v>2194</v>
      </c>
      <c r="B3040" s="72" t="s">
        <v>265</v>
      </c>
      <c r="C3040" s="73">
        <v>48</v>
      </c>
      <c r="D3040" s="73">
        <v>1426928.6636304122</v>
      </c>
      <c r="E3040" s="72">
        <v>171231.43963564947</v>
      </c>
      <c r="F3040" s="72" t="s">
        <v>84</v>
      </c>
      <c r="G3040" s="72" t="s">
        <v>71</v>
      </c>
      <c r="H3040" s="72" t="s">
        <v>72</v>
      </c>
    </row>
    <row r="3041" spans="1:8" x14ac:dyDescent="0.25">
      <c r="A3041" s="72" t="s">
        <v>4357</v>
      </c>
      <c r="B3041" s="72" t="s">
        <v>4358</v>
      </c>
      <c r="C3041" s="73">
        <v>48</v>
      </c>
      <c r="D3041" s="73">
        <v>1063004.7728889124</v>
      </c>
      <c r="E3041" s="72">
        <v>53150.238644445621</v>
      </c>
      <c r="F3041" s="72" t="s">
        <v>106</v>
      </c>
      <c r="G3041" s="72" t="s">
        <v>71</v>
      </c>
      <c r="H3041" s="72" t="s">
        <v>72</v>
      </c>
    </row>
    <row r="3042" spans="1:8" x14ac:dyDescent="0.25">
      <c r="A3042" s="43" t="s">
        <v>3249</v>
      </c>
      <c r="B3042" s="43" t="s">
        <v>243</v>
      </c>
      <c r="C3042" s="46">
        <v>48</v>
      </c>
      <c r="D3042" s="46">
        <v>1271195.0392013923</v>
      </c>
      <c r="E3042" s="43">
        <v>101695.60313611139</v>
      </c>
      <c r="F3042" s="43" t="s">
        <v>70</v>
      </c>
      <c r="G3042" s="43" t="s">
        <v>71</v>
      </c>
      <c r="H3042" s="43" t="s">
        <v>72</v>
      </c>
    </row>
    <row r="3043" spans="1:8" x14ac:dyDescent="0.25">
      <c r="A3043" s="43" t="s">
        <v>2113</v>
      </c>
      <c r="B3043" s="43" t="s">
        <v>73</v>
      </c>
      <c r="C3043" s="46">
        <v>48</v>
      </c>
      <c r="D3043" s="46">
        <v>1486394.812177856</v>
      </c>
      <c r="E3043" s="43">
        <v>178367.37746134272</v>
      </c>
      <c r="F3043" s="43" t="s">
        <v>87</v>
      </c>
      <c r="G3043" s="43" t="s">
        <v>71</v>
      </c>
      <c r="H3043" s="43" t="s">
        <v>88</v>
      </c>
    </row>
    <row r="3044" spans="1:8" x14ac:dyDescent="0.25">
      <c r="A3044" s="72" t="s">
        <v>2592</v>
      </c>
      <c r="B3044" s="72" t="s">
        <v>75</v>
      </c>
      <c r="C3044" s="73">
        <v>48</v>
      </c>
      <c r="D3044" s="73">
        <v>1193803.8798865529</v>
      </c>
      <c r="E3044" s="72">
        <v>143256.46558638636</v>
      </c>
      <c r="F3044" s="72" t="s">
        <v>106</v>
      </c>
      <c r="G3044" s="72" t="s">
        <v>71</v>
      </c>
      <c r="H3044" s="72" t="s">
        <v>72</v>
      </c>
    </row>
    <row r="3045" spans="1:8" x14ac:dyDescent="0.25">
      <c r="A3045" s="72" t="s">
        <v>1957</v>
      </c>
      <c r="B3045" s="72" t="s">
        <v>89</v>
      </c>
      <c r="C3045" s="73">
        <v>48</v>
      </c>
      <c r="D3045" s="73">
        <v>1477522.5068512748</v>
      </c>
      <c r="E3045" s="72">
        <v>192077.92589066573</v>
      </c>
      <c r="F3045" s="72" t="s">
        <v>70</v>
      </c>
      <c r="G3045" s="72" t="s">
        <v>71</v>
      </c>
      <c r="H3045" s="72" t="s">
        <v>72</v>
      </c>
    </row>
    <row r="3046" spans="1:8" x14ac:dyDescent="0.25">
      <c r="A3046" s="72" t="s">
        <v>2980</v>
      </c>
      <c r="B3046" s="72" t="s">
        <v>105</v>
      </c>
      <c r="C3046" s="73">
        <v>48</v>
      </c>
      <c r="D3046" s="73">
        <v>1321469.2495002658</v>
      </c>
      <c r="E3046" s="72">
        <v>118932.23245502391</v>
      </c>
      <c r="F3046" s="72" t="s">
        <v>70</v>
      </c>
      <c r="G3046" s="72" t="s">
        <v>71</v>
      </c>
      <c r="H3046" s="72" t="s">
        <v>72</v>
      </c>
    </row>
    <row r="3047" spans="1:8" x14ac:dyDescent="0.25">
      <c r="A3047" s="72" t="s">
        <v>2174</v>
      </c>
      <c r="B3047" s="72" t="s">
        <v>252</v>
      </c>
      <c r="C3047" s="73">
        <v>48</v>
      </c>
      <c r="D3047" s="73">
        <v>1443245.7148120184</v>
      </c>
      <c r="E3047" s="72">
        <v>173189.48577744226</v>
      </c>
      <c r="F3047" s="72" t="s">
        <v>70</v>
      </c>
      <c r="G3047" s="72" t="s">
        <v>71</v>
      </c>
      <c r="H3047" s="72" t="s">
        <v>72</v>
      </c>
    </row>
    <row r="3048" spans="1:8" x14ac:dyDescent="0.25">
      <c r="A3048" s="72" t="s">
        <v>3760</v>
      </c>
      <c r="B3048" s="72" t="s">
        <v>73</v>
      </c>
      <c r="C3048" s="73">
        <v>48</v>
      </c>
      <c r="D3048" s="73">
        <v>1277317.7961985066</v>
      </c>
      <c r="E3048" s="72">
        <v>76639.067771910399</v>
      </c>
      <c r="F3048" s="72" t="s">
        <v>87</v>
      </c>
      <c r="G3048" s="72" t="s">
        <v>71</v>
      </c>
      <c r="H3048" s="72" t="s">
        <v>88</v>
      </c>
    </row>
    <row r="3049" spans="1:8" x14ac:dyDescent="0.25">
      <c r="A3049" s="72" t="s">
        <v>2463</v>
      </c>
      <c r="B3049" s="72" t="s">
        <v>236</v>
      </c>
      <c r="C3049" s="73">
        <v>48</v>
      </c>
      <c r="D3049" s="73">
        <v>1376222.6129687955</v>
      </c>
      <c r="E3049" s="72">
        <v>151384.48742656753</v>
      </c>
      <c r="F3049" s="72" t="s">
        <v>84</v>
      </c>
      <c r="G3049" s="72" t="s">
        <v>71</v>
      </c>
      <c r="H3049" s="72" t="s">
        <v>72</v>
      </c>
    </row>
    <row r="3050" spans="1:8" x14ac:dyDescent="0.25">
      <c r="A3050" s="43" t="s">
        <v>3117</v>
      </c>
      <c r="B3050" s="43" t="s">
        <v>73</v>
      </c>
      <c r="C3050" s="46">
        <v>48</v>
      </c>
      <c r="D3050" s="46">
        <v>1366013.9243821884</v>
      </c>
      <c r="E3050" s="43">
        <v>109281.11395057508</v>
      </c>
      <c r="F3050" s="43" t="s">
        <v>87</v>
      </c>
      <c r="G3050" s="43" t="s">
        <v>71</v>
      </c>
      <c r="H3050" s="43" t="s">
        <v>88</v>
      </c>
    </row>
    <row r="3051" spans="1:8" x14ac:dyDescent="0.25">
      <c r="A3051" s="43" t="s">
        <v>4167</v>
      </c>
      <c r="B3051" s="43" t="s">
        <v>73</v>
      </c>
      <c r="C3051" s="46">
        <v>48</v>
      </c>
      <c r="D3051" s="46">
        <v>1215978.7106008651</v>
      </c>
      <c r="E3051" s="43">
        <v>60798.935530043258</v>
      </c>
      <c r="F3051" s="43" t="s">
        <v>87</v>
      </c>
      <c r="G3051" s="43" t="s">
        <v>71</v>
      </c>
      <c r="H3051" s="43" t="s">
        <v>88</v>
      </c>
    </row>
    <row r="3052" spans="1:8" x14ac:dyDescent="0.25">
      <c r="A3052" s="43" t="s">
        <v>3410</v>
      </c>
      <c r="B3052" s="43" t="s">
        <v>93</v>
      </c>
      <c r="C3052" s="46">
        <v>48</v>
      </c>
      <c r="D3052" s="46">
        <v>1325592.3392925917</v>
      </c>
      <c r="E3052" s="43">
        <v>92791.463750481402</v>
      </c>
      <c r="F3052" s="43" t="s">
        <v>87</v>
      </c>
      <c r="G3052" s="43" t="s">
        <v>71</v>
      </c>
      <c r="H3052" s="43" t="s">
        <v>88</v>
      </c>
    </row>
    <row r="3053" spans="1:8" x14ac:dyDescent="0.25">
      <c r="A3053" s="72" t="s">
        <v>3411</v>
      </c>
      <c r="B3053" s="72" t="s">
        <v>73</v>
      </c>
      <c r="C3053" s="73">
        <v>48</v>
      </c>
      <c r="D3053" s="73">
        <v>1325592.3392925917</v>
      </c>
      <c r="E3053" s="72">
        <v>92791.463750481402</v>
      </c>
      <c r="F3053" s="72" t="s">
        <v>87</v>
      </c>
      <c r="G3053" s="72" t="s">
        <v>71</v>
      </c>
      <c r="H3053" s="72" t="s">
        <v>88</v>
      </c>
    </row>
    <row r="3054" spans="1:8" x14ac:dyDescent="0.25">
      <c r="A3054" s="72" t="s">
        <v>3964</v>
      </c>
      <c r="B3054" s="72" t="s">
        <v>97</v>
      </c>
      <c r="C3054" s="73">
        <v>48</v>
      </c>
      <c r="D3054" s="73">
        <v>1140805.0095502262</v>
      </c>
      <c r="E3054" s="72">
        <v>68448.300573013577</v>
      </c>
      <c r="F3054" s="72" t="s">
        <v>70</v>
      </c>
      <c r="G3054" s="72" t="s">
        <v>71</v>
      </c>
      <c r="H3054" s="72" t="s">
        <v>72</v>
      </c>
    </row>
    <row r="3055" spans="1:8" x14ac:dyDescent="0.25">
      <c r="A3055" s="43" t="s">
        <v>2175</v>
      </c>
      <c r="B3055" s="43" t="s">
        <v>112</v>
      </c>
      <c r="C3055" s="46">
        <v>48</v>
      </c>
      <c r="D3055" s="46">
        <v>1443245.7148120184</v>
      </c>
      <c r="E3055" s="43">
        <v>173189.48577744226</v>
      </c>
      <c r="F3055" s="43" t="s">
        <v>70</v>
      </c>
      <c r="G3055" s="43" t="s">
        <v>71</v>
      </c>
      <c r="H3055" s="43" t="s">
        <v>72</v>
      </c>
    </row>
    <row r="3056" spans="1:8" x14ac:dyDescent="0.25">
      <c r="A3056" s="72" t="s">
        <v>2114</v>
      </c>
      <c r="B3056" s="72" t="s">
        <v>267</v>
      </c>
      <c r="C3056" s="73">
        <v>48</v>
      </c>
      <c r="D3056" s="73">
        <v>1486394.812177856</v>
      </c>
      <c r="E3056" s="72">
        <v>178367.37746134272</v>
      </c>
      <c r="F3056" s="72" t="s">
        <v>87</v>
      </c>
      <c r="G3056" s="72" t="s">
        <v>71</v>
      </c>
      <c r="H3056" s="72" t="s">
        <v>88</v>
      </c>
    </row>
    <row r="3057" spans="1:8" x14ac:dyDescent="0.25">
      <c r="A3057" s="43" t="s">
        <v>4390</v>
      </c>
      <c r="B3057" s="43" t="s">
        <v>102</v>
      </c>
      <c r="C3057" s="46">
        <v>48</v>
      </c>
      <c r="D3057" s="46">
        <v>1041987.8455251987</v>
      </c>
      <c r="E3057" s="43">
        <v>52099.39227625994</v>
      </c>
      <c r="F3057" s="43" t="s">
        <v>70</v>
      </c>
      <c r="G3057" s="43" t="s">
        <v>71</v>
      </c>
      <c r="H3057" s="43" t="s">
        <v>72</v>
      </c>
    </row>
    <row r="3058" spans="1:8" x14ac:dyDescent="0.25">
      <c r="A3058" s="72" t="s">
        <v>4391</v>
      </c>
      <c r="B3058" s="72" t="s">
        <v>102</v>
      </c>
      <c r="C3058" s="73">
        <v>48</v>
      </c>
      <c r="D3058" s="73">
        <v>1041987.8455251987</v>
      </c>
      <c r="E3058" s="72">
        <v>52099.39227625994</v>
      </c>
      <c r="F3058" s="72" t="s">
        <v>70</v>
      </c>
      <c r="G3058" s="72" t="s">
        <v>71</v>
      </c>
      <c r="H3058" s="72" t="s">
        <v>72</v>
      </c>
    </row>
    <row r="3059" spans="1:8" x14ac:dyDescent="0.25">
      <c r="A3059" s="43" t="s">
        <v>3965</v>
      </c>
      <c r="B3059" s="43" t="s">
        <v>102</v>
      </c>
      <c r="C3059" s="46">
        <v>48</v>
      </c>
      <c r="D3059" s="46">
        <v>1140805.0095502262</v>
      </c>
      <c r="E3059" s="43">
        <v>68448.300573013577</v>
      </c>
      <c r="F3059" s="43" t="s">
        <v>70</v>
      </c>
      <c r="G3059" s="43" t="s">
        <v>71</v>
      </c>
      <c r="H3059" s="43" t="s">
        <v>72</v>
      </c>
    </row>
    <row r="3060" spans="1:8" x14ac:dyDescent="0.25">
      <c r="A3060" s="72" t="s">
        <v>3562</v>
      </c>
      <c r="B3060" s="72" t="s">
        <v>211</v>
      </c>
      <c r="C3060" s="73">
        <v>48</v>
      </c>
      <c r="D3060" s="73">
        <v>1212662.2255809731</v>
      </c>
      <c r="E3060" s="72">
        <v>84886.355790668109</v>
      </c>
      <c r="F3060" s="72" t="s">
        <v>70</v>
      </c>
      <c r="G3060" s="72" t="s">
        <v>71</v>
      </c>
      <c r="H3060" s="72" t="s">
        <v>72</v>
      </c>
    </row>
    <row r="3061" spans="1:8" x14ac:dyDescent="0.25">
      <c r="A3061" s="43" t="s">
        <v>3563</v>
      </c>
      <c r="B3061" s="43" t="s">
        <v>107</v>
      </c>
      <c r="C3061" s="46">
        <v>48</v>
      </c>
      <c r="D3061" s="46">
        <v>1212662.2255809731</v>
      </c>
      <c r="E3061" s="43">
        <v>84886.355790668109</v>
      </c>
      <c r="F3061" s="43" t="s">
        <v>70</v>
      </c>
      <c r="G3061" s="43" t="s">
        <v>71</v>
      </c>
      <c r="H3061" s="43" t="s">
        <v>72</v>
      </c>
    </row>
    <row r="3062" spans="1:8" x14ac:dyDescent="0.25">
      <c r="A3062" s="72" t="s">
        <v>2696</v>
      </c>
      <c r="B3062" s="72" t="s">
        <v>145</v>
      </c>
      <c r="C3062" s="73">
        <v>48</v>
      </c>
      <c r="D3062" s="73">
        <v>1366011.2042000799</v>
      </c>
      <c r="E3062" s="72">
        <v>136601.120420008</v>
      </c>
      <c r="F3062" s="72" t="s">
        <v>70</v>
      </c>
      <c r="G3062" s="72" t="s">
        <v>71</v>
      </c>
      <c r="H3062" s="72" t="s">
        <v>72</v>
      </c>
    </row>
    <row r="3063" spans="1:8" x14ac:dyDescent="0.25">
      <c r="A3063" s="72" t="s">
        <v>4571</v>
      </c>
      <c r="B3063" s="72" t="s">
        <v>93</v>
      </c>
      <c r="C3063" s="73">
        <v>48</v>
      </c>
      <c r="D3063" s="73">
        <v>1126944.7780227072</v>
      </c>
      <c r="E3063" s="72">
        <v>45077.791120908289</v>
      </c>
      <c r="F3063" s="72" t="s">
        <v>87</v>
      </c>
      <c r="G3063" s="72" t="s">
        <v>71</v>
      </c>
      <c r="H3063" s="72" t="s">
        <v>88</v>
      </c>
    </row>
    <row r="3064" spans="1:8" x14ac:dyDescent="0.25">
      <c r="A3064" s="72" t="s">
        <v>2368</v>
      </c>
      <c r="B3064" s="72" t="s">
        <v>73</v>
      </c>
      <c r="C3064" s="73">
        <v>48</v>
      </c>
      <c r="D3064" s="73">
        <v>1448149.7809295475</v>
      </c>
      <c r="E3064" s="72">
        <v>159296.47590225024</v>
      </c>
      <c r="F3064" s="72" t="s">
        <v>78</v>
      </c>
      <c r="G3064" s="72" t="s">
        <v>71</v>
      </c>
      <c r="H3064" s="72" t="s">
        <v>72</v>
      </c>
    </row>
    <row r="3065" spans="1:8" x14ac:dyDescent="0.25">
      <c r="A3065" s="72" t="s">
        <v>1689</v>
      </c>
      <c r="B3065" s="72" t="s">
        <v>73</v>
      </c>
      <c r="C3065" s="73">
        <v>48</v>
      </c>
      <c r="D3065" s="73">
        <v>1554122.8843400856</v>
      </c>
      <c r="E3065" s="72">
        <v>217577.20380761195</v>
      </c>
      <c r="F3065" s="72" t="s">
        <v>78</v>
      </c>
      <c r="G3065" s="72" t="s">
        <v>71</v>
      </c>
      <c r="H3065" s="72" t="s">
        <v>72</v>
      </c>
    </row>
    <row r="3066" spans="1:8" x14ac:dyDescent="0.25">
      <c r="A3066" s="43" t="s">
        <v>3761</v>
      </c>
      <c r="B3066" s="43" t="s">
        <v>1247</v>
      </c>
      <c r="C3066" s="46">
        <v>48</v>
      </c>
      <c r="D3066" s="46">
        <v>1277317.7961985066</v>
      </c>
      <c r="E3066" s="43">
        <v>76639.067771910399</v>
      </c>
      <c r="F3066" s="43" t="s">
        <v>87</v>
      </c>
      <c r="G3066" s="43" t="s">
        <v>71</v>
      </c>
      <c r="H3066" s="43" t="s">
        <v>88</v>
      </c>
    </row>
    <row r="3067" spans="1:8" x14ac:dyDescent="0.25">
      <c r="A3067" s="43" t="s">
        <v>4572</v>
      </c>
      <c r="B3067" s="43" t="s">
        <v>83</v>
      </c>
      <c r="C3067" s="46">
        <v>48</v>
      </c>
      <c r="D3067" s="46">
        <v>1126944.7780227072</v>
      </c>
      <c r="E3067" s="43">
        <v>45077.791120908289</v>
      </c>
      <c r="F3067" s="43" t="s">
        <v>87</v>
      </c>
      <c r="G3067" s="43" t="s">
        <v>71</v>
      </c>
      <c r="H3067" s="43" t="s">
        <v>88</v>
      </c>
    </row>
    <row r="3068" spans="1:8" x14ac:dyDescent="0.25">
      <c r="A3068" s="43" t="s">
        <v>4027</v>
      </c>
      <c r="B3068" s="43" t="s">
        <v>127</v>
      </c>
      <c r="C3068" s="46">
        <v>48</v>
      </c>
      <c r="D3068" s="46">
        <v>1091457.1194086436</v>
      </c>
      <c r="E3068" s="43">
        <v>65487.427164518624</v>
      </c>
      <c r="F3068" s="43" t="s">
        <v>106</v>
      </c>
      <c r="G3068" s="43" t="s">
        <v>71</v>
      </c>
      <c r="H3068" s="43" t="s">
        <v>72</v>
      </c>
    </row>
    <row r="3069" spans="1:8" x14ac:dyDescent="0.25">
      <c r="A3069" s="72" t="s">
        <v>2176</v>
      </c>
      <c r="B3069" s="72" t="s">
        <v>77</v>
      </c>
      <c r="C3069" s="73">
        <v>48</v>
      </c>
      <c r="D3069" s="73">
        <v>1443245.7148120184</v>
      </c>
      <c r="E3069" s="72">
        <v>173189.48577744226</v>
      </c>
      <c r="F3069" s="72" t="s">
        <v>70</v>
      </c>
      <c r="G3069" s="72" t="s">
        <v>71</v>
      </c>
      <c r="H3069" s="72" t="s">
        <v>72</v>
      </c>
    </row>
    <row r="3070" spans="1:8" x14ac:dyDescent="0.25">
      <c r="A3070" s="72" t="s">
        <v>3762</v>
      </c>
      <c r="B3070" s="72" t="s">
        <v>93</v>
      </c>
      <c r="C3070" s="73">
        <v>48</v>
      </c>
      <c r="D3070" s="73">
        <v>1277317.7961985066</v>
      </c>
      <c r="E3070" s="72">
        <v>76639.067771910399</v>
      </c>
      <c r="F3070" s="72" t="s">
        <v>87</v>
      </c>
      <c r="G3070" s="72" t="s">
        <v>71</v>
      </c>
      <c r="H3070" s="72" t="s">
        <v>88</v>
      </c>
    </row>
    <row r="3071" spans="1:8" x14ac:dyDescent="0.25">
      <c r="A3071" s="72" t="s">
        <v>1797</v>
      </c>
      <c r="B3071" s="72" t="s">
        <v>73</v>
      </c>
      <c r="C3071" s="73">
        <v>47</v>
      </c>
      <c r="D3071" s="73">
        <v>1477470.0197358136</v>
      </c>
      <c r="E3071" s="72">
        <v>206845.8027630139</v>
      </c>
      <c r="F3071" s="72" t="s">
        <v>70</v>
      </c>
      <c r="G3071" s="72" t="s">
        <v>71</v>
      </c>
      <c r="H3071" s="72" t="s">
        <v>72</v>
      </c>
    </row>
    <row r="3072" spans="1:8" x14ac:dyDescent="0.25">
      <c r="A3072" s="43" t="s">
        <v>1124</v>
      </c>
      <c r="B3072" s="43" t="s">
        <v>211</v>
      </c>
      <c r="C3072" s="46">
        <v>47</v>
      </c>
      <c r="D3072" s="46">
        <v>1477470.0197358136</v>
      </c>
      <c r="E3072" s="43">
        <v>206845.8027630139</v>
      </c>
      <c r="F3072" s="43" t="s">
        <v>70</v>
      </c>
      <c r="G3072" s="43" t="s">
        <v>71</v>
      </c>
      <c r="H3072" s="43" t="s">
        <v>72</v>
      </c>
    </row>
    <row r="3073" spans="1:8" x14ac:dyDescent="0.25">
      <c r="A3073" s="72" t="s">
        <v>2001</v>
      </c>
      <c r="B3073" s="72" t="s">
        <v>211</v>
      </c>
      <c r="C3073" s="73">
        <v>47</v>
      </c>
      <c r="D3073" s="73">
        <v>1446077.5191228038</v>
      </c>
      <c r="E3073" s="72">
        <v>187990.07748596452</v>
      </c>
      <c r="F3073" s="72" t="s">
        <v>70</v>
      </c>
      <c r="G3073" s="72" t="s">
        <v>71</v>
      </c>
      <c r="H3073" s="72" t="s">
        <v>72</v>
      </c>
    </row>
    <row r="3074" spans="1:8" x14ac:dyDescent="0.25">
      <c r="A3074" s="72" t="s">
        <v>2851</v>
      </c>
      <c r="B3074" s="72" t="s">
        <v>176</v>
      </c>
      <c r="C3074" s="73">
        <v>47</v>
      </c>
      <c r="D3074" s="73">
        <v>1155801.0712914332</v>
      </c>
      <c r="E3074" s="72">
        <v>127138.11784205766</v>
      </c>
      <c r="F3074" s="72" t="s">
        <v>106</v>
      </c>
      <c r="G3074" s="72" t="s">
        <v>71</v>
      </c>
      <c r="H3074" s="72" t="s">
        <v>72</v>
      </c>
    </row>
    <row r="3075" spans="1:8" x14ac:dyDescent="0.25">
      <c r="A3075" s="72" t="s">
        <v>4071</v>
      </c>
      <c r="B3075" s="72" t="s">
        <v>176</v>
      </c>
      <c r="C3075" s="73">
        <v>47</v>
      </c>
      <c r="D3075" s="73">
        <v>1068065.9451042141</v>
      </c>
      <c r="E3075" s="72">
        <v>64083.956706252859</v>
      </c>
      <c r="F3075" s="72" t="s">
        <v>106</v>
      </c>
      <c r="G3075" s="72" t="s">
        <v>71</v>
      </c>
      <c r="H3075" s="72" t="s">
        <v>72</v>
      </c>
    </row>
    <row r="3076" spans="1:8" x14ac:dyDescent="0.25">
      <c r="A3076" s="43" t="s">
        <v>2635</v>
      </c>
      <c r="B3076" s="43" t="s">
        <v>367</v>
      </c>
      <c r="C3076" s="46">
        <v>47</v>
      </c>
      <c r="D3076" s="46">
        <v>1168280.4814055003</v>
      </c>
      <c r="E3076" s="43">
        <v>140193.65776866002</v>
      </c>
      <c r="F3076" s="43" t="s">
        <v>106</v>
      </c>
      <c r="G3076" s="43" t="s">
        <v>71</v>
      </c>
      <c r="H3076" s="43" t="s">
        <v>72</v>
      </c>
    </row>
    <row r="3077" spans="1:8" x14ac:dyDescent="0.25">
      <c r="A3077" s="43" t="s">
        <v>4072</v>
      </c>
      <c r="B3077" s="43" t="s">
        <v>367</v>
      </c>
      <c r="C3077" s="46">
        <v>47</v>
      </c>
      <c r="D3077" s="46">
        <v>1068065.9451042141</v>
      </c>
      <c r="E3077" s="43">
        <v>64083.956706252859</v>
      </c>
      <c r="F3077" s="43" t="s">
        <v>106</v>
      </c>
      <c r="G3077" s="43" t="s">
        <v>71</v>
      </c>
      <c r="H3077" s="43" t="s">
        <v>72</v>
      </c>
    </row>
    <row r="3078" spans="1:8" x14ac:dyDescent="0.25">
      <c r="A3078" s="43" t="s">
        <v>3594</v>
      </c>
      <c r="B3078" s="43" t="s">
        <v>211</v>
      </c>
      <c r="C3078" s="46">
        <v>47</v>
      </c>
      <c r="D3078" s="46">
        <v>1186735.1603789667</v>
      </c>
      <c r="E3078" s="43">
        <v>83071.461226527666</v>
      </c>
      <c r="F3078" s="43" t="s">
        <v>70</v>
      </c>
      <c r="G3078" s="43" t="s">
        <v>71</v>
      </c>
      <c r="H3078" s="43" t="s">
        <v>72</v>
      </c>
    </row>
    <row r="3079" spans="1:8" x14ac:dyDescent="0.25">
      <c r="A3079" s="43" t="s">
        <v>3255</v>
      </c>
      <c r="B3079" s="43" t="s">
        <v>1247</v>
      </c>
      <c r="C3079" s="46">
        <v>47</v>
      </c>
      <c r="D3079" s="46">
        <v>1127074.6796937021</v>
      </c>
      <c r="E3079" s="43">
        <v>101436.72117243319</v>
      </c>
      <c r="F3079" s="43" t="s">
        <v>106</v>
      </c>
      <c r="G3079" s="43" t="s">
        <v>71</v>
      </c>
      <c r="H3079" s="43" t="s">
        <v>72</v>
      </c>
    </row>
    <row r="3080" spans="1:8" x14ac:dyDescent="0.25">
      <c r="A3080" s="72" t="s">
        <v>4591</v>
      </c>
      <c r="B3080" s="72" t="s">
        <v>73</v>
      </c>
      <c r="C3080" s="73">
        <v>47</v>
      </c>
      <c r="D3080" s="73">
        <v>1102892.7009478207</v>
      </c>
      <c r="E3080" s="72">
        <v>44115.708037912831</v>
      </c>
      <c r="F3080" s="72" t="s">
        <v>87</v>
      </c>
      <c r="G3080" s="72" t="s">
        <v>71</v>
      </c>
      <c r="H3080" s="72" t="s">
        <v>88</v>
      </c>
    </row>
    <row r="3081" spans="1:8" x14ac:dyDescent="0.25">
      <c r="A3081" s="72" t="s">
        <v>3486</v>
      </c>
      <c r="B3081" s="72" t="s">
        <v>93</v>
      </c>
      <c r="C3081" s="73">
        <v>47</v>
      </c>
      <c r="D3081" s="73">
        <v>1110155.8056624159</v>
      </c>
      <c r="E3081" s="72">
        <v>88812.46445299327</v>
      </c>
      <c r="F3081" s="72" t="s">
        <v>106</v>
      </c>
      <c r="G3081" s="72" t="s">
        <v>71</v>
      </c>
      <c r="H3081" s="72" t="s">
        <v>72</v>
      </c>
    </row>
    <row r="3082" spans="1:8" x14ac:dyDescent="0.25">
      <c r="A3082" s="72" t="s">
        <v>4073</v>
      </c>
      <c r="B3082" s="72" t="s">
        <v>75</v>
      </c>
      <c r="C3082" s="73">
        <v>47</v>
      </c>
      <c r="D3082" s="73">
        <v>1068065.9451042141</v>
      </c>
      <c r="E3082" s="72">
        <v>64083.956706252859</v>
      </c>
      <c r="F3082" s="72" t="s">
        <v>106</v>
      </c>
      <c r="G3082" s="72" t="s">
        <v>71</v>
      </c>
      <c r="H3082" s="72" t="s">
        <v>72</v>
      </c>
    </row>
    <row r="3083" spans="1:8" x14ac:dyDescent="0.25">
      <c r="A3083" s="72" t="s">
        <v>3256</v>
      </c>
      <c r="B3083" s="72" t="s">
        <v>257</v>
      </c>
      <c r="C3083" s="73">
        <v>47</v>
      </c>
      <c r="D3083" s="73">
        <v>1127074.6796937021</v>
      </c>
      <c r="E3083" s="72">
        <v>101436.72117243319</v>
      </c>
      <c r="F3083" s="72" t="s">
        <v>106</v>
      </c>
      <c r="G3083" s="72" t="s">
        <v>71</v>
      </c>
      <c r="H3083" s="72" t="s">
        <v>72</v>
      </c>
    </row>
    <row r="3084" spans="1:8" x14ac:dyDescent="0.25">
      <c r="A3084" s="72" t="s">
        <v>3158</v>
      </c>
      <c r="B3084" s="72" t="s">
        <v>93</v>
      </c>
      <c r="C3084" s="73">
        <v>47</v>
      </c>
      <c r="D3084" s="73">
        <v>1336981.2400914796</v>
      </c>
      <c r="E3084" s="72">
        <v>106958.49920731837</v>
      </c>
      <c r="F3084" s="72" t="s">
        <v>87</v>
      </c>
      <c r="G3084" s="72" t="s">
        <v>71</v>
      </c>
      <c r="H3084" s="72" t="s">
        <v>88</v>
      </c>
    </row>
    <row r="3085" spans="1:8" x14ac:dyDescent="0.25">
      <c r="A3085" s="72" t="s">
        <v>2636</v>
      </c>
      <c r="B3085" s="72" t="s">
        <v>291</v>
      </c>
      <c r="C3085" s="73">
        <v>47</v>
      </c>
      <c r="D3085" s="73">
        <v>1168280.4814055003</v>
      </c>
      <c r="E3085" s="72">
        <v>140193.65776866002</v>
      </c>
      <c r="F3085" s="72" t="s">
        <v>106</v>
      </c>
      <c r="G3085" s="72" t="s">
        <v>71</v>
      </c>
      <c r="H3085" s="72" t="s">
        <v>72</v>
      </c>
    </row>
    <row r="3086" spans="1:8" x14ac:dyDescent="0.25">
      <c r="A3086" s="72" t="s">
        <v>3018</v>
      </c>
      <c r="B3086" s="72" t="s">
        <v>73</v>
      </c>
      <c r="C3086" s="73">
        <v>47</v>
      </c>
      <c r="D3086" s="73">
        <v>1293275.3712999411</v>
      </c>
      <c r="E3086" s="72">
        <v>116394.78341699469</v>
      </c>
      <c r="F3086" s="72" t="s">
        <v>70</v>
      </c>
      <c r="G3086" s="72" t="s">
        <v>71</v>
      </c>
      <c r="H3086" s="72" t="s">
        <v>72</v>
      </c>
    </row>
    <row r="3087" spans="1:8" x14ac:dyDescent="0.25">
      <c r="A3087" s="43" t="s">
        <v>2683</v>
      </c>
      <c r="B3087" s="43" t="s">
        <v>73</v>
      </c>
      <c r="C3087" s="46">
        <v>47</v>
      </c>
      <c r="D3087" s="46">
        <v>1376748.1630891066</v>
      </c>
      <c r="E3087" s="43">
        <v>137674.81630891067</v>
      </c>
      <c r="F3087" s="43" t="s">
        <v>78</v>
      </c>
      <c r="G3087" s="43" t="s">
        <v>71</v>
      </c>
      <c r="H3087" s="43" t="s">
        <v>72</v>
      </c>
    </row>
    <row r="3088" spans="1:8" x14ac:dyDescent="0.25">
      <c r="A3088" s="72" t="s">
        <v>4418</v>
      </c>
      <c r="B3088" s="72" t="s">
        <v>211</v>
      </c>
      <c r="C3088" s="73">
        <v>47</v>
      </c>
      <c r="D3088" s="73">
        <v>1019616.4965743544</v>
      </c>
      <c r="E3088" s="72">
        <v>50980.824828717719</v>
      </c>
      <c r="F3088" s="72" t="s">
        <v>70</v>
      </c>
      <c r="G3088" s="72" t="s">
        <v>71</v>
      </c>
      <c r="H3088" s="72" t="s">
        <v>72</v>
      </c>
    </row>
    <row r="3089" spans="1:8" x14ac:dyDescent="0.25">
      <c r="A3089" s="72" t="s">
        <v>2223</v>
      </c>
      <c r="B3089" s="72" t="s">
        <v>73</v>
      </c>
      <c r="C3089" s="73">
        <v>47</v>
      </c>
      <c r="D3089" s="73">
        <v>1412514.8269176986</v>
      </c>
      <c r="E3089" s="72">
        <v>169501.77923012385</v>
      </c>
      <c r="F3089" s="72" t="s">
        <v>70</v>
      </c>
      <c r="G3089" s="72" t="s">
        <v>71</v>
      </c>
      <c r="H3089" s="72" t="s">
        <v>72</v>
      </c>
    </row>
    <row r="3090" spans="1:8" x14ac:dyDescent="0.25">
      <c r="A3090" s="43" t="s">
        <v>4186</v>
      </c>
      <c r="B3090" s="43" t="s">
        <v>73</v>
      </c>
      <c r="C3090" s="46">
        <v>47</v>
      </c>
      <c r="D3090" s="46">
        <v>1190071.7599306002</v>
      </c>
      <c r="E3090" s="43">
        <v>59503.587996530012</v>
      </c>
      <c r="F3090" s="43" t="s">
        <v>87</v>
      </c>
      <c r="G3090" s="43" t="s">
        <v>71</v>
      </c>
      <c r="H3090" s="43" t="s">
        <v>88</v>
      </c>
    </row>
    <row r="3091" spans="1:8" x14ac:dyDescent="0.25">
      <c r="A3091" s="43" t="s">
        <v>4392</v>
      </c>
      <c r="B3091" s="43" t="s">
        <v>73</v>
      </c>
      <c r="C3091" s="46">
        <v>47</v>
      </c>
      <c r="D3091" s="46">
        <v>1040206.3558036442</v>
      </c>
      <c r="E3091" s="43">
        <v>52010.317790182213</v>
      </c>
      <c r="F3091" s="43" t="s">
        <v>106</v>
      </c>
      <c r="G3091" s="43" t="s">
        <v>71</v>
      </c>
      <c r="H3091" s="43" t="s">
        <v>72</v>
      </c>
    </row>
    <row r="3092" spans="1:8" x14ac:dyDescent="0.25">
      <c r="A3092" s="72" t="s">
        <v>3296</v>
      </c>
      <c r="B3092" s="72" t="s">
        <v>107</v>
      </c>
      <c r="C3092" s="73">
        <v>47</v>
      </c>
      <c r="D3092" s="73">
        <v>1244048.5403822938</v>
      </c>
      <c r="E3092" s="72">
        <v>99523.883230583509</v>
      </c>
      <c r="F3092" s="72" t="s">
        <v>70</v>
      </c>
      <c r="G3092" s="72" t="s">
        <v>71</v>
      </c>
      <c r="H3092" s="72" t="s">
        <v>72</v>
      </c>
    </row>
    <row r="3093" spans="1:8" x14ac:dyDescent="0.25">
      <c r="A3093" s="43" t="s">
        <v>3997</v>
      </c>
      <c r="B3093" s="43" t="s">
        <v>211</v>
      </c>
      <c r="C3093" s="46">
        <v>47</v>
      </c>
      <c r="D3093" s="46">
        <v>1116374.9696821936</v>
      </c>
      <c r="E3093" s="43">
        <v>66982.498180931623</v>
      </c>
      <c r="F3093" s="43" t="s">
        <v>70</v>
      </c>
      <c r="G3093" s="43" t="s">
        <v>71</v>
      </c>
      <c r="H3093" s="43" t="s">
        <v>72</v>
      </c>
    </row>
    <row r="3094" spans="1:8" x14ac:dyDescent="0.25">
      <c r="A3094" s="72" t="s">
        <v>4706</v>
      </c>
      <c r="B3094" s="72" t="s">
        <v>93</v>
      </c>
      <c r="C3094" s="73">
        <v>47</v>
      </c>
      <c r="D3094" s="73">
        <v>1003565.0039856461</v>
      </c>
      <c r="E3094" s="72">
        <v>40142.600159425841</v>
      </c>
      <c r="F3094" s="72" t="s">
        <v>106</v>
      </c>
      <c r="G3094" s="72" t="s">
        <v>71</v>
      </c>
      <c r="H3094" s="72" t="s">
        <v>72</v>
      </c>
    </row>
    <row r="3095" spans="1:8" x14ac:dyDescent="0.25">
      <c r="A3095" s="43" t="s">
        <v>3045</v>
      </c>
      <c r="B3095" s="43" t="s">
        <v>93</v>
      </c>
      <c r="C3095" s="46">
        <v>47</v>
      </c>
      <c r="D3095" s="46">
        <v>1142158.0700628739</v>
      </c>
      <c r="E3095" s="43">
        <v>114215.80700628739</v>
      </c>
      <c r="F3095" s="43" t="s">
        <v>106</v>
      </c>
      <c r="G3095" s="43" t="s">
        <v>71</v>
      </c>
      <c r="H3095" s="43" t="s">
        <v>72</v>
      </c>
    </row>
    <row r="3096" spans="1:8" x14ac:dyDescent="0.25">
      <c r="A3096" s="72" t="s">
        <v>4393</v>
      </c>
      <c r="B3096" s="72" t="s">
        <v>73</v>
      </c>
      <c r="C3096" s="73">
        <v>47</v>
      </c>
      <c r="D3096" s="73">
        <v>1040206.3558036442</v>
      </c>
      <c r="E3096" s="72">
        <v>52010.317790182213</v>
      </c>
      <c r="F3096" s="72" t="s">
        <v>106</v>
      </c>
      <c r="G3096" s="72" t="s">
        <v>71</v>
      </c>
      <c r="H3096" s="72" t="s">
        <v>72</v>
      </c>
    </row>
    <row r="3097" spans="1:8" x14ac:dyDescent="0.25">
      <c r="A3097" s="43" t="s">
        <v>2462</v>
      </c>
      <c r="B3097" s="43" t="s">
        <v>102</v>
      </c>
      <c r="C3097" s="46">
        <v>47</v>
      </c>
      <c r="D3097" s="46">
        <v>1376328.8759992241</v>
      </c>
      <c r="E3097" s="43">
        <v>151396.17635991468</v>
      </c>
      <c r="F3097" s="43" t="s">
        <v>70</v>
      </c>
      <c r="G3097" s="43" t="s">
        <v>71</v>
      </c>
      <c r="H3097" s="43" t="s">
        <v>72</v>
      </c>
    </row>
    <row r="3098" spans="1:8" x14ac:dyDescent="0.25">
      <c r="A3098" s="43" t="s">
        <v>4419</v>
      </c>
      <c r="B3098" s="43" t="s">
        <v>102</v>
      </c>
      <c r="C3098" s="46">
        <v>47</v>
      </c>
      <c r="D3098" s="46">
        <v>1019616.4965743544</v>
      </c>
      <c r="E3098" s="43">
        <v>50980.824828717719</v>
      </c>
      <c r="F3098" s="43" t="s">
        <v>70</v>
      </c>
      <c r="G3098" s="43" t="s">
        <v>71</v>
      </c>
      <c r="H3098" s="43" t="s">
        <v>72</v>
      </c>
    </row>
    <row r="3099" spans="1:8" x14ac:dyDescent="0.25">
      <c r="A3099" s="72" t="s">
        <v>4420</v>
      </c>
      <c r="B3099" s="72" t="s">
        <v>243</v>
      </c>
      <c r="C3099" s="73">
        <v>47</v>
      </c>
      <c r="D3099" s="73">
        <v>1019616.4965743544</v>
      </c>
      <c r="E3099" s="72">
        <v>50980.824828717719</v>
      </c>
      <c r="F3099" s="72" t="s">
        <v>70</v>
      </c>
      <c r="G3099" s="72" t="s">
        <v>71</v>
      </c>
      <c r="H3099" s="72" t="s">
        <v>72</v>
      </c>
    </row>
    <row r="3100" spans="1:8" x14ac:dyDescent="0.25">
      <c r="A3100" s="72" t="s">
        <v>2392</v>
      </c>
      <c r="B3100" s="72" t="s">
        <v>73</v>
      </c>
      <c r="C3100" s="73">
        <v>47</v>
      </c>
      <c r="D3100" s="73">
        <v>1429540.5153109019</v>
      </c>
      <c r="E3100" s="72">
        <v>157249.45668419922</v>
      </c>
      <c r="F3100" s="72" t="s">
        <v>87</v>
      </c>
      <c r="G3100" s="72" t="s">
        <v>71</v>
      </c>
      <c r="H3100" s="72" t="s">
        <v>88</v>
      </c>
    </row>
    <row r="3101" spans="1:8" x14ac:dyDescent="0.25">
      <c r="A3101" s="43" t="s">
        <v>2745</v>
      </c>
      <c r="B3101" s="43" t="s">
        <v>77</v>
      </c>
      <c r="C3101" s="46">
        <v>47</v>
      </c>
      <c r="D3101" s="46">
        <v>1336889.3686101756</v>
      </c>
      <c r="E3101" s="43">
        <v>133688.93686101757</v>
      </c>
      <c r="F3101" s="43" t="s">
        <v>70</v>
      </c>
      <c r="G3101" s="43" t="s">
        <v>71</v>
      </c>
      <c r="H3101" s="43" t="s">
        <v>72</v>
      </c>
    </row>
    <row r="3102" spans="1:8" x14ac:dyDescent="0.25">
      <c r="A3102" s="43" t="s">
        <v>4421</v>
      </c>
      <c r="B3102" s="43" t="s">
        <v>74</v>
      </c>
      <c r="C3102" s="46">
        <v>47</v>
      </c>
      <c r="D3102" s="46">
        <v>1019616.4965743544</v>
      </c>
      <c r="E3102" s="43">
        <v>50980.824828717719</v>
      </c>
      <c r="F3102" s="43" t="s">
        <v>70</v>
      </c>
      <c r="G3102" s="43" t="s">
        <v>71</v>
      </c>
      <c r="H3102" s="43" t="s">
        <v>72</v>
      </c>
    </row>
    <row r="3103" spans="1:8" x14ac:dyDescent="0.25">
      <c r="A3103" s="72" t="s">
        <v>1955</v>
      </c>
      <c r="B3103" s="72" t="s">
        <v>93</v>
      </c>
      <c r="C3103" s="73">
        <v>47</v>
      </c>
      <c r="D3103" s="73">
        <v>1478268.5571253886</v>
      </c>
      <c r="E3103" s="72">
        <v>192174.91242630052</v>
      </c>
      <c r="F3103" s="72" t="s">
        <v>87</v>
      </c>
      <c r="G3103" s="72" t="s">
        <v>71</v>
      </c>
      <c r="H3103" s="72" t="s">
        <v>88</v>
      </c>
    </row>
    <row r="3104" spans="1:8" x14ac:dyDescent="0.25">
      <c r="A3104" s="43" t="s">
        <v>2511</v>
      </c>
      <c r="B3104" s="43" t="s">
        <v>102</v>
      </c>
      <c r="C3104" s="46">
        <v>46</v>
      </c>
      <c r="D3104" s="46">
        <v>1346396.7262981737</v>
      </c>
      <c r="E3104" s="43">
        <v>148103.63989279911</v>
      </c>
      <c r="F3104" s="43" t="s">
        <v>70</v>
      </c>
      <c r="G3104" s="43" t="s">
        <v>71</v>
      </c>
      <c r="H3104" s="43" t="s">
        <v>72</v>
      </c>
    </row>
    <row r="3105" spans="1:8" x14ac:dyDescent="0.25">
      <c r="A3105" s="43" t="s">
        <v>2204</v>
      </c>
      <c r="B3105" s="43" t="s">
        <v>93</v>
      </c>
      <c r="C3105" s="46">
        <v>46</v>
      </c>
      <c r="D3105" s="46">
        <v>1423338.4454696842</v>
      </c>
      <c r="E3105" s="43">
        <v>170800.6134563621</v>
      </c>
      <c r="F3105" s="43" t="s">
        <v>87</v>
      </c>
      <c r="G3105" s="43" t="s">
        <v>71</v>
      </c>
      <c r="H3105" s="43" t="s">
        <v>88</v>
      </c>
    </row>
    <row r="3106" spans="1:8" x14ac:dyDescent="0.25">
      <c r="A3106" s="43" t="s">
        <v>2444</v>
      </c>
      <c r="B3106" s="43" t="s">
        <v>103</v>
      </c>
      <c r="C3106" s="46">
        <v>46</v>
      </c>
      <c r="D3106" s="46">
        <v>1386305.6439046385</v>
      </c>
      <c r="E3106" s="43">
        <v>152493.62082951024</v>
      </c>
      <c r="F3106" s="43" t="s">
        <v>78</v>
      </c>
      <c r="G3106" s="43" t="s">
        <v>71</v>
      </c>
      <c r="H3106" s="43" t="s">
        <v>72</v>
      </c>
    </row>
    <row r="3107" spans="1:8" x14ac:dyDescent="0.25">
      <c r="A3107" s="43" t="s">
        <v>1607</v>
      </c>
      <c r="B3107" s="43" t="s">
        <v>176</v>
      </c>
      <c r="C3107" s="46">
        <v>46</v>
      </c>
      <c r="D3107" s="46">
        <v>1493799.6180660143</v>
      </c>
      <c r="E3107" s="43">
        <v>224069.94270990213</v>
      </c>
      <c r="F3107" s="43" t="s">
        <v>84</v>
      </c>
      <c r="G3107" s="43" t="s">
        <v>71</v>
      </c>
      <c r="H3107" s="43" t="s">
        <v>72</v>
      </c>
    </row>
    <row r="3108" spans="1:8" x14ac:dyDescent="0.25">
      <c r="A3108" s="43" t="s">
        <v>2054</v>
      </c>
      <c r="B3108" s="43" t="s">
        <v>176</v>
      </c>
      <c r="C3108" s="46">
        <v>46</v>
      </c>
      <c r="D3108" s="46">
        <v>1414661.3557382729</v>
      </c>
      <c r="E3108" s="43">
        <v>183905.97624597547</v>
      </c>
      <c r="F3108" s="43" t="s">
        <v>70</v>
      </c>
      <c r="G3108" s="43" t="s">
        <v>71</v>
      </c>
      <c r="H3108" s="43" t="s">
        <v>72</v>
      </c>
    </row>
    <row r="3109" spans="1:8" x14ac:dyDescent="0.25">
      <c r="A3109" s="72" t="s">
        <v>2956</v>
      </c>
      <c r="B3109" s="72" t="s">
        <v>73</v>
      </c>
      <c r="C3109" s="73">
        <v>46</v>
      </c>
      <c r="D3109" s="73">
        <v>1341606.7951514777</v>
      </c>
      <c r="E3109" s="72">
        <v>120744.61156363299</v>
      </c>
      <c r="F3109" s="72" t="s">
        <v>87</v>
      </c>
      <c r="G3109" s="72" t="s">
        <v>71</v>
      </c>
      <c r="H3109" s="72" t="s">
        <v>88</v>
      </c>
    </row>
    <row r="3110" spans="1:8" x14ac:dyDescent="0.25">
      <c r="A3110" s="72" t="s">
        <v>3633</v>
      </c>
      <c r="B3110" s="72" t="s">
        <v>155</v>
      </c>
      <c r="C3110" s="73">
        <v>46</v>
      </c>
      <c r="D3110" s="73">
        <v>1160836.9195209004</v>
      </c>
      <c r="E3110" s="72">
        <v>81258.584366463023</v>
      </c>
      <c r="F3110" s="72" t="s">
        <v>70</v>
      </c>
      <c r="G3110" s="72" t="s">
        <v>71</v>
      </c>
      <c r="H3110" s="72" t="s">
        <v>72</v>
      </c>
    </row>
    <row r="3111" spans="1:8" x14ac:dyDescent="0.25">
      <c r="A3111" s="72" t="s">
        <v>1842</v>
      </c>
      <c r="B3111" s="72" t="s">
        <v>211</v>
      </c>
      <c r="C3111" s="73">
        <v>46</v>
      </c>
      <c r="D3111" s="73">
        <v>1445385.9308063248</v>
      </c>
      <c r="E3111" s="72">
        <v>202354.03031288544</v>
      </c>
      <c r="F3111" s="72" t="s">
        <v>70</v>
      </c>
      <c r="G3111" s="72" t="s">
        <v>71</v>
      </c>
      <c r="H3111" s="72" t="s">
        <v>72</v>
      </c>
    </row>
    <row r="3112" spans="1:8" x14ac:dyDescent="0.25">
      <c r="A3112" s="72" t="s">
        <v>2055</v>
      </c>
      <c r="B3112" s="72" t="s">
        <v>97</v>
      </c>
      <c r="C3112" s="73">
        <v>46</v>
      </c>
      <c r="D3112" s="73">
        <v>1414661.3557382729</v>
      </c>
      <c r="E3112" s="72">
        <v>183905.97624597547</v>
      </c>
      <c r="F3112" s="72" t="s">
        <v>70</v>
      </c>
      <c r="G3112" s="72" t="s">
        <v>71</v>
      </c>
      <c r="H3112" s="72" t="s">
        <v>72</v>
      </c>
    </row>
    <row r="3113" spans="1:8" x14ac:dyDescent="0.25">
      <c r="A3113" s="43" t="s">
        <v>4458</v>
      </c>
      <c r="B3113" s="43" t="s">
        <v>97</v>
      </c>
      <c r="C3113" s="46">
        <v>46</v>
      </c>
      <c r="D3113" s="46">
        <v>997273.97196744988</v>
      </c>
      <c r="E3113" s="43">
        <v>49863.698598372495</v>
      </c>
      <c r="F3113" s="43" t="s">
        <v>70</v>
      </c>
      <c r="G3113" s="43" t="s">
        <v>71</v>
      </c>
      <c r="H3113" s="43" t="s">
        <v>72</v>
      </c>
    </row>
    <row r="3114" spans="1:8" x14ac:dyDescent="0.25">
      <c r="A3114" s="72" t="s">
        <v>3526</v>
      </c>
      <c r="B3114" s="72" t="s">
        <v>75</v>
      </c>
      <c r="C3114" s="73">
        <v>46</v>
      </c>
      <c r="D3114" s="73">
        <v>1085897.5981403391</v>
      </c>
      <c r="E3114" s="72">
        <v>86871.807851227131</v>
      </c>
      <c r="F3114" s="72" t="s">
        <v>106</v>
      </c>
      <c r="G3114" s="72" t="s">
        <v>71</v>
      </c>
      <c r="H3114" s="72" t="s">
        <v>72</v>
      </c>
    </row>
    <row r="3115" spans="1:8" x14ac:dyDescent="0.25">
      <c r="A3115" s="72" t="s">
        <v>2512</v>
      </c>
      <c r="B3115" s="72" t="s">
        <v>211</v>
      </c>
      <c r="C3115" s="73">
        <v>46</v>
      </c>
      <c r="D3115" s="73">
        <v>1346396.7262981737</v>
      </c>
      <c r="E3115" s="72">
        <v>148103.63989279911</v>
      </c>
      <c r="F3115" s="72" t="s">
        <v>70</v>
      </c>
      <c r="G3115" s="72" t="s">
        <v>71</v>
      </c>
      <c r="H3115" s="72" t="s">
        <v>72</v>
      </c>
    </row>
    <row r="3116" spans="1:8" x14ac:dyDescent="0.25">
      <c r="A3116" s="43" t="s">
        <v>3485</v>
      </c>
      <c r="B3116" s="43" t="s">
        <v>73</v>
      </c>
      <c r="C3116" s="46">
        <v>46</v>
      </c>
      <c r="D3116" s="46">
        <v>1269236.0756213064</v>
      </c>
      <c r="E3116" s="43">
        <v>88846.525293491446</v>
      </c>
      <c r="F3116" s="43" t="s">
        <v>87</v>
      </c>
      <c r="G3116" s="43" t="s">
        <v>71</v>
      </c>
      <c r="H3116" s="43" t="s">
        <v>88</v>
      </c>
    </row>
    <row r="3117" spans="1:8" x14ac:dyDescent="0.25">
      <c r="A3117" s="43" t="s">
        <v>3527</v>
      </c>
      <c r="B3117" s="43" t="s">
        <v>75</v>
      </c>
      <c r="C3117" s="46">
        <v>46</v>
      </c>
      <c r="D3117" s="46">
        <v>1085897.5981403391</v>
      </c>
      <c r="E3117" s="43">
        <v>86871.807851227131</v>
      </c>
      <c r="F3117" s="43" t="s">
        <v>106</v>
      </c>
      <c r="G3117" s="43" t="s">
        <v>71</v>
      </c>
      <c r="H3117" s="43" t="s">
        <v>72</v>
      </c>
    </row>
    <row r="3118" spans="1:8" x14ac:dyDescent="0.25">
      <c r="A3118" s="43" t="s">
        <v>3634</v>
      </c>
      <c r="B3118" s="43" t="s">
        <v>85</v>
      </c>
      <c r="C3118" s="46">
        <v>46</v>
      </c>
      <c r="D3118" s="46">
        <v>1160836.9195209004</v>
      </c>
      <c r="E3118" s="43">
        <v>81258.584366463023</v>
      </c>
      <c r="F3118" s="43" t="s">
        <v>70</v>
      </c>
      <c r="G3118" s="43" t="s">
        <v>71</v>
      </c>
      <c r="H3118" s="43" t="s">
        <v>72</v>
      </c>
    </row>
    <row r="3119" spans="1:8" x14ac:dyDescent="0.25">
      <c r="A3119" s="72" t="s">
        <v>4121</v>
      </c>
      <c r="B3119" s="72" t="s">
        <v>554</v>
      </c>
      <c r="C3119" s="73">
        <v>46</v>
      </c>
      <c r="D3119" s="73">
        <v>1044703.2665301841</v>
      </c>
      <c r="E3119" s="72">
        <v>62682.195991811059</v>
      </c>
      <c r="F3119" s="72" t="s">
        <v>106</v>
      </c>
      <c r="G3119" s="72" t="s">
        <v>71</v>
      </c>
      <c r="H3119" s="72" t="s">
        <v>72</v>
      </c>
    </row>
    <row r="3120" spans="1:8" x14ac:dyDescent="0.25">
      <c r="A3120" s="72" t="s">
        <v>2205</v>
      </c>
      <c r="B3120" s="72" t="s">
        <v>93</v>
      </c>
      <c r="C3120" s="73">
        <v>46</v>
      </c>
      <c r="D3120" s="73">
        <v>1423338.4454696842</v>
      </c>
      <c r="E3120" s="72">
        <v>170800.6134563621</v>
      </c>
      <c r="F3120" s="72" t="s">
        <v>87</v>
      </c>
      <c r="G3120" s="72" t="s">
        <v>71</v>
      </c>
      <c r="H3120" s="72" t="s">
        <v>88</v>
      </c>
    </row>
    <row r="3121" spans="1:8" x14ac:dyDescent="0.25">
      <c r="A3121" s="43" t="s">
        <v>3201</v>
      </c>
      <c r="B3121" s="43" t="s">
        <v>73</v>
      </c>
      <c r="C3121" s="46">
        <v>46</v>
      </c>
      <c r="D3121" s="46">
        <v>1307973.4279988364</v>
      </c>
      <c r="E3121" s="43">
        <v>104637.87423990692</v>
      </c>
      <c r="F3121" s="43" t="s">
        <v>87</v>
      </c>
      <c r="G3121" s="43" t="s">
        <v>71</v>
      </c>
      <c r="H3121" s="43" t="s">
        <v>88</v>
      </c>
    </row>
    <row r="3122" spans="1:8" x14ac:dyDescent="0.25">
      <c r="A3122" s="72" t="s">
        <v>3332</v>
      </c>
      <c r="B3122" s="72" t="s">
        <v>73</v>
      </c>
      <c r="C3122" s="73">
        <v>46</v>
      </c>
      <c r="D3122" s="73">
        <v>1216930.8659071354</v>
      </c>
      <c r="E3122" s="72">
        <v>97354.46927257083</v>
      </c>
      <c r="F3122" s="72" t="s">
        <v>70</v>
      </c>
      <c r="G3122" s="72" t="s">
        <v>71</v>
      </c>
      <c r="H3122" s="72" t="s">
        <v>72</v>
      </c>
    </row>
    <row r="3123" spans="1:8" x14ac:dyDescent="0.25">
      <c r="A3123" s="43" t="s">
        <v>2206</v>
      </c>
      <c r="B3123" s="43" t="s">
        <v>73</v>
      </c>
      <c r="C3123" s="46">
        <v>46</v>
      </c>
      <c r="D3123" s="46">
        <v>1423338.4454696842</v>
      </c>
      <c r="E3123" s="43">
        <v>170800.6134563621</v>
      </c>
      <c r="F3123" s="43" t="s">
        <v>87</v>
      </c>
      <c r="G3123" s="43" t="s">
        <v>71</v>
      </c>
      <c r="H3123" s="43" t="s">
        <v>88</v>
      </c>
    </row>
    <row r="3124" spans="1:8" x14ac:dyDescent="0.25">
      <c r="A3124" s="43" t="s">
        <v>2513</v>
      </c>
      <c r="B3124" s="43" t="s">
        <v>73</v>
      </c>
      <c r="C3124" s="46">
        <v>46</v>
      </c>
      <c r="D3124" s="46">
        <v>1346396.7262981737</v>
      </c>
      <c r="E3124" s="43">
        <v>148103.63989279911</v>
      </c>
      <c r="F3124" s="43" t="s">
        <v>70</v>
      </c>
      <c r="G3124" s="43" t="s">
        <v>71</v>
      </c>
      <c r="H3124" s="43" t="s">
        <v>72</v>
      </c>
    </row>
    <row r="3125" spans="1:8" x14ac:dyDescent="0.25">
      <c r="A3125" s="72" t="s">
        <v>3202</v>
      </c>
      <c r="B3125" s="72" t="s">
        <v>73</v>
      </c>
      <c r="C3125" s="73">
        <v>46</v>
      </c>
      <c r="D3125" s="73">
        <v>1307973.4279988364</v>
      </c>
      <c r="E3125" s="72">
        <v>104637.87423990692</v>
      </c>
      <c r="F3125" s="72" t="s">
        <v>87</v>
      </c>
      <c r="G3125" s="72" t="s">
        <v>71</v>
      </c>
      <c r="H3125" s="72" t="s">
        <v>88</v>
      </c>
    </row>
    <row r="3126" spans="1:8" x14ac:dyDescent="0.25">
      <c r="A3126" s="72" t="s">
        <v>3635</v>
      </c>
      <c r="B3126" s="72" t="s">
        <v>73</v>
      </c>
      <c r="C3126" s="73">
        <v>46</v>
      </c>
      <c r="D3126" s="73">
        <v>1160836.9195209004</v>
      </c>
      <c r="E3126" s="72">
        <v>81258.584366463023</v>
      </c>
      <c r="F3126" s="72" t="s">
        <v>70</v>
      </c>
      <c r="G3126" s="72" t="s">
        <v>71</v>
      </c>
      <c r="H3126" s="72" t="s">
        <v>72</v>
      </c>
    </row>
    <row r="3127" spans="1:8" x14ac:dyDescent="0.25">
      <c r="A3127" s="72" t="s">
        <v>4426</v>
      </c>
      <c r="B3127" s="72" t="s">
        <v>73</v>
      </c>
      <c r="C3127" s="73">
        <v>46</v>
      </c>
      <c r="D3127" s="73">
        <v>1017436.4344487753</v>
      </c>
      <c r="E3127" s="72">
        <v>50871.821722438763</v>
      </c>
      <c r="F3127" s="72" t="s">
        <v>106</v>
      </c>
      <c r="G3127" s="72" t="s">
        <v>71</v>
      </c>
      <c r="H3127" s="72" t="s">
        <v>72</v>
      </c>
    </row>
    <row r="3128" spans="1:8" x14ac:dyDescent="0.25">
      <c r="A3128" s="43" t="s">
        <v>2798</v>
      </c>
      <c r="B3128" s="43" t="s">
        <v>105</v>
      </c>
      <c r="C3128" s="46">
        <v>46</v>
      </c>
      <c r="D3128" s="46">
        <v>1307796.357364211</v>
      </c>
      <c r="E3128" s="43">
        <v>130779.6357364211</v>
      </c>
      <c r="F3128" s="43" t="s">
        <v>70</v>
      </c>
      <c r="G3128" s="43" t="s">
        <v>71</v>
      </c>
      <c r="H3128" s="43" t="s">
        <v>72</v>
      </c>
    </row>
    <row r="3129" spans="1:8" x14ac:dyDescent="0.25">
      <c r="A3129" s="72" t="s">
        <v>2799</v>
      </c>
      <c r="B3129" s="72" t="s">
        <v>102</v>
      </c>
      <c r="C3129" s="73">
        <v>46</v>
      </c>
      <c r="D3129" s="73">
        <v>1307796.357364211</v>
      </c>
      <c r="E3129" s="72">
        <v>130779.6357364211</v>
      </c>
      <c r="F3129" s="72" t="s">
        <v>70</v>
      </c>
      <c r="G3129" s="72" t="s">
        <v>71</v>
      </c>
      <c r="H3129" s="72" t="s">
        <v>72</v>
      </c>
    </row>
    <row r="3130" spans="1:8" x14ac:dyDescent="0.25">
      <c r="A3130" s="43" t="s">
        <v>2957</v>
      </c>
      <c r="B3130" s="43" t="s">
        <v>93</v>
      </c>
      <c r="C3130" s="46">
        <v>46</v>
      </c>
      <c r="D3130" s="46">
        <v>1341606.7951514777</v>
      </c>
      <c r="E3130" s="43">
        <v>120744.61156363299</v>
      </c>
      <c r="F3130" s="43" t="s">
        <v>87</v>
      </c>
      <c r="G3130" s="43" t="s">
        <v>71</v>
      </c>
      <c r="H3130" s="43" t="s">
        <v>88</v>
      </c>
    </row>
    <row r="3131" spans="1:8" x14ac:dyDescent="0.25">
      <c r="A3131" s="72" t="s">
        <v>3376</v>
      </c>
      <c r="B3131" s="72" t="s">
        <v>73</v>
      </c>
      <c r="C3131" s="73">
        <v>46</v>
      </c>
      <c r="D3131" s="73">
        <v>1222972.971822808</v>
      </c>
      <c r="E3131" s="72">
        <v>73378.378309368476</v>
      </c>
      <c r="F3131" s="72" t="s">
        <v>87</v>
      </c>
      <c r="G3131" s="72" t="s">
        <v>71</v>
      </c>
      <c r="H3131" s="72" t="s">
        <v>88</v>
      </c>
    </row>
    <row r="3132" spans="1:8" x14ac:dyDescent="0.25">
      <c r="A3132" s="72" t="s">
        <v>2207</v>
      </c>
      <c r="B3132" s="72" t="s">
        <v>73</v>
      </c>
      <c r="C3132" s="73">
        <v>46</v>
      </c>
      <c r="D3132" s="73">
        <v>1423338.4454696842</v>
      </c>
      <c r="E3132" s="72">
        <v>170800.6134563621</v>
      </c>
      <c r="F3132" s="72" t="s">
        <v>87</v>
      </c>
      <c r="G3132" s="72" t="s">
        <v>71</v>
      </c>
      <c r="H3132" s="72" t="s">
        <v>88</v>
      </c>
    </row>
    <row r="3133" spans="1:8" x14ac:dyDescent="0.25">
      <c r="A3133" s="72" t="s">
        <v>2445</v>
      </c>
      <c r="B3133" s="72" t="s">
        <v>75</v>
      </c>
      <c r="C3133" s="73">
        <v>46</v>
      </c>
      <c r="D3133" s="73">
        <v>1386305.6439046385</v>
      </c>
      <c r="E3133" s="72">
        <v>152493.62082951024</v>
      </c>
      <c r="F3133" s="72" t="s">
        <v>78</v>
      </c>
      <c r="G3133" s="72" t="s">
        <v>71</v>
      </c>
      <c r="H3133" s="72" t="s">
        <v>72</v>
      </c>
    </row>
    <row r="3134" spans="1:8" x14ac:dyDescent="0.25">
      <c r="A3134" s="43" t="s">
        <v>1843</v>
      </c>
      <c r="B3134" s="43" t="s">
        <v>97</v>
      </c>
      <c r="C3134" s="46">
        <v>46</v>
      </c>
      <c r="D3134" s="46">
        <v>1445385.9308063248</v>
      </c>
      <c r="E3134" s="43">
        <v>202354.03031288544</v>
      </c>
      <c r="F3134" s="43" t="s">
        <v>70</v>
      </c>
      <c r="G3134" s="43" t="s">
        <v>71</v>
      </c>
      <c r="H3134" s="43" t="s">
        <v>72</v>
      </c>
    </row>
    <row r="3135" spans="1:8" x14ac:dyDescent="0.25">
      <c r="A3135" s="72" t="s">
        <v>2958</v>
      </c>
      <c r="B3135" s="72" t="s">
        <v>93</v>
      </c>
      <c r="C3135" s="73">
        <v>46</v>
      </c>
      <c r="D3135" s="73">
        <v>1341606.7951514777</v>
      </c>
      <c r="E3135" s="72">
        <v>120744.61156363299</v>
      </c>
      <c r="F3135" s="72" t="s">
        <v>87</v>
      </c>
      <c r="G3135" s="72" t="s">
        <v>71</v>
      </c>
      <c r="H3135" s="72" t="s">
        <v>88</v>
      </c>
    </row>
    <row r="3136" spans="1:8" x14ac:dyDescent="0.25">
      <c r="A3136" s="43" t="s">
        <v>2056</v>
      </c>
      <c r="B3136" s="43" t="s">
        <v>145</v>
      </c>
      <c r="C3136" s="46">
        <v>46</v>
      </c>
      <c r="D3136" s="46">
        <v>1414661.3557382729</v>
      </c>
      <c r="E3136" s="43">
        <v>183905.97624597547</v>
      </c>
      <c r="F3136" s="43" t="s">
        <v>70</v>
      </c>
      <c r="G3136" s="43" t="s">
        <v>71</v>
      </c>
      <c r="H3136" s="43" t="s">
        <v>72</v>
      </c>
    </row>
    <row r="3137" spans="1:8" x14ac:dyDescent="0.25">
      <c r="A3137" s="43" t="s">
        <v>2959</v>
      </c>
      <c r="B3137" s="43" t="s">
        <v>73</v>
      </c>
      <c r="C3137" s="46">
        <v>46</v>
      </c>
      <c r="D3137" s="46">
        <v>1341606.7951514777</v>
      </c>
      <c r="E3137" s="43">
        <v>120744.61156363299</v>
      </c>
      <c r="F3137" s="43" t="s">
        <v>87</v>
      </c>
      <c r="G3137" s="43" t="s">
        <v>71</v>
      </c>
      <c r="H3137" s="43" t="s">
        <v>88</v>
      </c>
    </row>
    <row r="3138" spans="1:8" x14ac:dyDescent="0.25">
      <c r="A3138" s="72" t="s">
        <v>2514</v>
      </c>
      <c r="B3138" s="72" t="s">
        <v>211</v>
      </c>
      <c r="C3138" s="73">
        <v>46</v>
      </c>
      <c r="D3138" s="73">
        <v>1346396.7262981737</v>
      </c>
      <c r="E3138" s="72">
        <v>148103.63989279911</v>
      </c>
      <c r="F3138" s="72" t="s">
        <v>70</v>
      </c>
      <c r="G3138" s="72" t="s">
        <v>71</v>
      </c>
      <c r="H3138" s="72" t="s">
        <v>72</v>
      </c>
    </row>
    <row r="3139" spans="1:8" x14ac:dyDescent="0.25">
      <c r="A3139" s="72" t="s">
        <v>3528</v>
      </c>
      <c r="B3139" s="72" t="s">
        <v>257</v>
      </c>
      <c r="C3139" s="73">
        <v>46</v>
      </c>
      <c r="D3139" s="73">
        <v>1085897.5981403391</v>
      </c>
      <c r="E3139" s="72">
        <v>86871.807851227131</v>
      </c>
      <c r="F3139" s="72" t="s">
        <v>106</v>
      </c>
      <c r="G3139" s="72" t="s">
        <v>71</v>
      </c>
      <c r="H3139" s="72" t="s">
        <v>72</v>
      </c>
    </row>
    <row r="3140" spans="1:8" x14ac:dyDescent="0.25">
      <c r="A3140" s="72" t="s">
        <v>2057</v>
      </c>
      <c r="B3140" s="72" t="s">
        <v>73</v>
      </c>
      <c r="C3140" s="73">
        <v>46</v>
      </c>
      <c r="D3140" s="73">
        <v>1414661.3557382729</v>
      </c>
      <c r="E3140" s="72">
        <v>183905.97624597547</v>
      </c>
      <c r="F3140" s="72" t="s">
        <v>70</v>
      </c>
      <c r="G3140" s="72" t="s">
        <v>71</v>
      </c>
      <c r="H3140" s="72" t="s">
        <v>72</v>
      </c>
    </row>
    <row r="3141" spans="1:8" x14ac:dyDescent="0.25">
      <c r="A3141" s="43" t="s">
        <v>3365</v>
      </c>
      <c r="B3141" s="43" t="s">
        <v>2379</v>
      </c>
      <c r="C3141" s="46">
        <v>45</v>
      </c>
      <c r="D3141" s="46">
        <v>1189841.9760937118</v>
      </c>
      <c r="E3141" s="43">
        <v>95187.358087496948</v>
      </c>
      <c r="F3141" s="43" t="s">
        <v>70</v>
      </c>
      <c r="G3141" s="43" t="s">
        <v>71</v>
      </c>
      <c r="H3141" s="43" t="s">
        <v>72</v>
      </c>
    </row>
    <row r="3142" spans="1:8" x14ac:dyDescent="0.25">
      <c r="A3142" s="43" t="s">
        <v>4074</v>
      </c>
      <c r="B3142" s="43" t="s">
        <v>97</v>
      </c>
      <c r="C3142" s="46">
        <v>45</v>
      </c>
      <c r="D3142" s="46">
        <v>1067601.3232957434</v>
      </c>
      <c r="E3142" s="43">
        <v>64056.079397744616</v>
      </c>
      <c r="F3142" s="43" t="s">
        <v>70</v>
      </c>
      <c r="G3142" s="43" t="s">
        <v>71</v>
      </c>
      <c r="H3142" s="43" t="s">
        <v>72</v>
      </c>
    </row>
    <row r="3143" spans="1:8" x14ac:dyDescent="0.25">
      <c r="A3143" s="72" t="s">
        <v>1895</v>
      </c>
      <c r="B3143" s="72" t="s">
        <v>97</v>
      </c>
      <c r="C3143" s="73">
        <v>45</v>
      </c>
      <c r="D3143" s="73">
        <v>1413330.626538571</v>
      </c>
      <c r="E3143" s="72">
        <v>197866.28771539993</v>
      </c>
      <c r="F3143" s="72" t="s">
        <v>70</v>
      </c>
      <c r="G3143" s="72" t="s">
        <v>71</v>
      </c>
      <c r="H3143" s="72" t="s">
        <v>72</v>
      </c>
    </row>
    <row r="3144" spans="1:8" x14ac:dyDescent="0.25">
      <c r="A3144" s="72" t="s">
        <v>4637</v>
      </c>
      <c r="B3144" s="72" t="s">
        <v>73</v>
      </c>
      <c r="C3144" s="73">
        <v>45</v>
      </c>
      <c r="D3144" s="73">
        <v>1054863.1340873991</v>
      </c>
      <c r="E3144" s="72">
        <v>42194.525363495966</v>
      </c>
      <c r="F3144" s="72" t="s">
        <v>87</v>
      </c>
      <c r="G3144" s="72" t="s">
        <v>71</v>
      </c>
      <c r="H3144" s="72" t="s">
        <v>88</v>
      </c>
    </row>
    <row r="3145" spans="1:8" x14ac:dyDescent="0.25">
      <c r="A3145" s="72" t="s">
        <v>4912</v>
      </c>
      <c r="B3145" s="72" t="s">
        <v>77</v>
      </c>
      <c r="C3145" s="73">
        <v>45</v>
      </c>
      <c r="D3145" s="73">
        <v>905850.90271243418</v>
      </c>
      <c r="E3145" s="72">
        <v>27175.527081373031</v>
      </c>
      <c r="F3145" s="72" t="s">
        <v>106</v>
      </c>
      <c r="G3145" s="72" t="s">
        <v>71</v>
      </c>
      <c r="H3145" s="72" t="s">
        <v>72</v>
      </c>
    </row>
    <row r="3146" spans="1:8" x14ac:dyDescent="0.25">
      <c r="A3146" s="72" t="s">
        <v>2471</v>
      </c>
      <c r="B3146" s="72" t="s">
        <v>93</v>
      </c>
      <c r="C3146" s="73">
        <v>45</v>
      </c>
      <c r="D3146" s="73">
        <v>1367611.0414563066</v>
      </c>
      <c r="E3146" s="72">
        <v>150437.21456019374</v>
      </c>
      <c r="F3146" s="72" t="s">
        <v>87</v>
      </c>
      <c r="G3146" s="72" t="s">
        <v>71</v>
      </c>
      <c r="H3146" s="72" t="s">
        <v>88</v>
      </c>
    </row>
    <row r="3147" spans="1:8" x14ac:dyDescent="0.25">
      <c r="A3147" s="43" t="s">
        <v>4132</v>
      </c>
      <c r="B3147" s="43" t="s">
        <v>75</v>
      </c>
      <c r="C3147" s="46">
        <v>45</v>
      </c>
      <c r="D3147" s="46">
        <v>994694.96036956995</v>
      </c>
      <c r="E3147" s="43">
        <v>49734.748018478502</v>
      </c>
      <c r="F3147" s="43" t="s">
        <v>106</v>
      </c>
      <c r="G3147" s="43" t="s">
        <v>71</v>
      </c>
      <c r="H3147" s="43" t="s">
        <v>72</v>
      </c>
    </row>
    <row r="3148" spans="1:8" x14ac:dyDescent="0.25">
      <c r="A3148" s="72" t="s">
        <v>2560</v>
      </c>
      <c r="B3148" s="72" t="s">
        <v>97</v>
      </c>
      <c r="C3148" s="73">
        <v>45</v>
      </c>
      <c r="D3148" s="73">
        <v>1316493.3612588581</v>
      </c>
      <c r="E3148" s="72">
        <v>144814.26973847442</v>
      </c>
      <c r="F3148" s="72" t="s">
        <v>70</v>
      </c>
      <c r="G3148" s="72" t="s">
        <v>71</v>
      </c>
      <c r="H3148" s="72" t="s">
        <v>72</v>
      </c>
    </row>
    <row r="3149" spans="1:8" x14ac:dyDescent="0.25">
      <c r="A3149" s="72" t="s">
        <v>2328</v>
      </c>
      <c r="B3149" s="72" t="s">
        <v>112</v>
      </c>
      <c r="C3149" s="73">
        <v>45</v>
      </c>
      <c r="D3149" s="73">
        <v>1351139.4844786737</v>
      </c>
      <c r="E3149" s="72">
        <v>162136.73813744087</v>
      </c>
      <c r="F3149" s="72" t="s">
        <v>70</v>
      </c>
      <c r="G3149" s="72" t="s">
        <v>71</v>
      </c>
      <c r="H3149" s="72" t="s">
        <v>72</v>
      </c>
    </row>
    <row r="3150" spans="1:8" x14ac:dyDescent="0.25">
      <c r="A3150" s="72" t="s">
        <v>3679</v>
      </c>
      <c r="B3150" s="72" t="s">
        <v>93</v>
      </c>
      <c r="C3150" s="73">
        <v>45</v>
      </c>
      <c r="D3150" s="73">
        <v>1134967.4633245689</v>
      </c>
      <c r="E3150" s="72">
        <v>79447.72243271982</v>
      </c>
      <c r="F3150" s="72" t="s">
        <v>70</v>
      </c>
      <c r="G3150" s="72" t="s">
        <v>71</v>
      </c>
      <c r="H3150" s="72" t="s">
        <v>72</v>
      </c>
    </row>
    <row r="3151" spans="1:8" x14ac:dyDescent="0.25">
      <c r="A3151" s="43" t="s">
        <v>4638</v>
      </c>
      <c r="B3151" s="43" t="s">
        <v>93</v>
      </c>
      <c r="C3151" s="46">
        <v>45</v>
      </c>
      <c r="D3151" s="46">
        <v>1054863.1340873991</v>
      </c>
      <c r="E3151" s="43">
        <v>42194.525363495966</v>
      </c>
      <c r="F3151" s="43" t="s">
        <v>87</v>
      </c>
      <c r="G3151" s="43" t="s">
        <v>71</v>
      </c>
      <c r="H3151" s="43" t="s">
        <v>88</v>
      </c>
    </row>
    <row r="3152" spans="1:8" x14ac:dyDescent="0.25">
      <c r="A3152" s="72" t="s">
        <v>3088</v>
      </c>
      <c r="B3152" s="72" t="s">
        <v>73</v>
      </c>
      <c r="C3152" s="73">
        <v>45</v>
      </c>
      <c r="D3152" s="73">
        <v>1236974.0482489059</v>
      </c>
      <c r="E3152" s="72">
        <v>111327.66434240153</v>
      </c>
      <c r="F3152" s="72" t="s">
        <v>70</v>
      </c>
      <c r="G3152" s="72" t="s">
        <v>71</v>
      </c>
      <c r="H3152" s="72" t="s">
        <v>72</v>
      </c>
    </row>
    <row r="3153" spans="1:8" x14ac:dyDescent="0.25">
      <c r="A3153" s="72" t="s">
        <v>3366</v>
      </c>
      <c r="B3153" s="72" t="s">
        <v>73</v>
      </c>
      <c r="C3153" s="73">
        <v>45</v>
      </c>
      <c r="D3153" s="73">
        <v>1189841.9760937118</v>
      </c>
      <c r="E3153" s="72">
        <v>95187.358087496948</v>
      </c>
      <c r="F3153" s="72" t="s">
        <v>70</v>
      </c>
      <c r="G3153" s="72" t="s">
        <v>71</v>
      </c>
      <c r="H3153" s="72" t="s">
        <v>72</v>
      </c>
    </row>
    <row r="3154" spans="1:8" x14ac:dyDescent="0.25">
      <c r="A3154" s="43" t="s">
        <v>3367</v>
      </c>
      <c r="B3154" s="43" t="s">
        <v>73</v>
      </c>
      <c r="C3154" s="46">
        <v>45</v>
      </c>
      <c r="D3154" s="46">
        <v>1189841.9760937118</v>
      </c>
      <c r="E3154" s="43">
        <v>95187.358087496948</v>
      </c>
      <c r="F3154" s="43" t="s">
        <v>70</v>
      </c>
      <c r="G3154" s="43" t="s">
        <v>71</v>
      </c>
      <c r="H3154" s="43" t="s">
        <v>72</v>
      </c>
    </row>
    <row r="3155" spans="1:8" x14ac:dyDescent="0.25">
      <c r="A3155" s="43" t="s">
        <v>2561</v>
      </c>
      <c r="B3155" s="43" t="s">
        <v>73</v>
      </c>
      <c r="C3155" s="46">
        <v>45</v>
      </c>
      <c r="D3155" s="46">
        <v>1316493.3612588581</v>
      </c>
      <c r="E3155" s="43">
        <v>144814.26973847442</v>
      </c>
      <c r="F3155" s="43" t="s">
        <v>70</v>
      </c>
      <c r="G3155" s="43" t="s">
        <v>71</v>
      </c>
      <c r="H3155" s="43" t="s">
        <v>72</v>
      </c>
    </row>
    <row r="3156" spans="1:8" x14ac:dyDescent="0.25">
      <c r="A3156" s="43" t="s">
        <v>1896</v>
      </c>
      <c r="B3156" s="43" t="s">
        <v>85</v>
      </c>
      <c r="C3156" s="46">
        <v>45</v>
      </c>
      <c r="D3156" s="46">
        <v>1413330.626538571</v>
      </c>
      <c r="E3156" s="43">
        <v>197866.28771539993</v>
      </c>
      <c r="F3156" s="43" t="s">
        <v>70</v>
      </c>
      <c r="G3156" s="43" t="s">
        <v>71</v>
      </c>
      <c r="H3156" s="43" t="s">
        <v>72</v>
      </c>
    </row>
    <row r="3157" spans="1:8" x14ac:dyDescent="0.25">
      <c r="A3157" s="72" t="s">
        <v>3866</v>
      </c>
      <c r="B3157" s="72" t="s">
        <v>73</v>
      </c>
      <c r="C3157" s="73">
        <v>45</v>
      </c>
      <c r="D3157" s="73">
        <v>1195837.8386272108</v>
      </c>
      <c r="E3157" s="72">
        <v>71750.270317632647</v>
      </c>
      <c r="F3157" s="72" t="s">
        <v>87</v>
      </c>
      <c r="G3157" s="72" t="s">
        <v>71</v>
      </c>
      <c r="H3157" s="72" t="s">
        <v>88</v>
      </c>
    </row>
    <row r="3158" spans="1:8" x14ac:dyDescent="0.25">
      <c r="A3158" s="43" t="s">
        <v>3680</v>
      </c>
      <c r="B3158" s="43" t="s">
        <v>93</v>
      </c>
      <c r="C3158" s="46">
        <v>45</v>
      </c>
      <c r="D3158" s="46">
        <v>1134967.4633245689</v>
      </c>
      <c r="E3158" s="43">
        <v>79447.72243271982</v>
      </c>
      <c r="F3158" s="43" t="s">
        <v>70</v>
      </c>
      <c r="G3158" s="43" t="s">
        <v>71</v>
      </c>
      <c r="H3158" s="43" t="s">
        <v>72</v>
      </c>
    </row>
    <row r="3159" spans="1:8" x14ac:dyDescent="0.25">
      <c r="A3159" s="72" t="s">
        <v>2736</v>
      </c>
      <c r="B3159" s="72" t="s">
        <v>202</v>
      </c>
      <c r="C3159" s="73">
        <v>45</v>
      </c>
      <c r="D3159" s="73">
        <v>1341150.0990615694</v>
      </c>
      <c r="E3159" s="72">
        <v>134115.00990615695</v>
      </c>
      <c r="F3159" s="72" t="s">
        <v>87</v>
      </c>
      <c r="G3159" s="72" t="s">
        <v>71</v>
      </c>
      <c r="H3159" s="72" t="s">
        <v>88</v>
      </c>
    </row>
    <row r="3160" spans="1:8" x14ac:dyDescent="0.25">
      <c r="A3160" s="72" t="s">
        <v>4733</v>
      </c>
      <c r="B3160" s="72" t="s">
        <v>97</v>
      </c>
      <c r="C3160" s="73">
        <v>45</v>
      </c>
      <c r="D3160" s="73">
        <v>959612.81501191237</v>
      </c>
      <c r="E3160" s="72">
        <v>38384.512600476497</v>
      </c>
      <c r="F3160" s="72" t="s">
        <v>106</v>
      </c>
      <c r="G3160" s="72" t="s">
        <v>71</v>
      </c>
      <c r="H3160" s="72" t="s">
        <v>72</v>
      </c>
    </row>
    <row r="3161" spans="1:8" x14ac:dyDescent="0.25">
      <c r="A3161" s="72" t="s">
        <v>1897</v>
      </c>
      <c r="B3161" s="72" t="s">
        <v>73</v>
      </c>
      <c r="C3161" s="73">
        <v>45</v>
      </c>
      <c r="D3161" s="73">
        <v>1413330.626538571</v>
      </c>
      <c r="E3161" s="72">
        <v>197866.28771539993</v>
      </c>
      <c r="F3161" s="72" t="s">
        <v>70</v>
      </c>
      <c r="G3161" s="72" t="s">
        <v>71</v>
      </c>
      <c r="H3161" s="72" t="s">
        <v>72</v>
      </c>
    </row>
    <row r="3162" spans="1:8" x14ac:dyDescent="0.25">
      <c r="A3162" s="43" t="s">
        <v>3626</v>
      </c>
      <c r="B3162" s="43" t="s">
        <v>75</v>
      </c>
      <c r="C3162" s="46">
        <v>45</v>
      </c>
      <c r="D3162" s="46">
        <v>1169198.0517650677</v>
      </c>
      <c r="E3162" s="43">
        <v>81843.863623554731</v>
      </c>
      <c r="F3162" s="43" t="s">
        <v>78</v>
      </c>
      <c r="G3162" s="43" t="s">
        <v>71</v>
      </c>
      <c r="H3162" s="43" t="s">
        <v>72</v>
      </c>
    </row>
    <row r="3163" spans="1:8" x14ac:dyDescent="0.25">
      <c r="A3163" s="43" t="s">
        <v>3525</v>
      </c>
      <c r="B3163" s="43" t="s">
        <v>73</v>
      </c>
      <c r="C3163" s="46">
        <v>45</v>
      </c>
      <c r="D3163" s="46">
        <v>1241095.2227779157</v>
      </c>
      <c r="E3163" s="43">
        <v>86876.665594454083</v>
      </c>
      <c r="F3163" s="43" t="s">
        <v>87</v>
      </c>
      <c r="G3163" s="43" t="s">
        <v>71</v>
      </c>
      <c r="H3163" s="43" t="s">
        <v>88</v>
      </c>
    </row>
    <row r="3164" spans="1:8" x14ac:dyDescent="0.25">
      <c r="A3164" s="72" t="s">
        <v>4639</v>
      </c>
      <c r="B3164" s="72" t="s">
        <v>93</v>
      </c>
      <c r="C3164" s="73">
        <v>45</v>
      </c>
      <c r="D3164" s="73">
        <v>1054863.1340873991</v>
      </c>
      <c r="E3164" s="72">
        <v>42194.525363495966</v>
      </c>
      <c r="F3164" s="72" t="s">
        <v>87</v>
      </c>
      <c r="G3164" s="72" t="s">
        <v>71</v>
      </c>
      <c r="H3164" s="72" t="s">
        <v>88</v>
      </c>
    </row>
    <row r="3165" spans="1:8" x14ac:dyDescent="0.25">
      <c r="A3165" s="72" t="s">
        <v>2037</v>
      </c>
      <c r="B3165" s="72" t="s">
        <v>73</v>
      </c>
      <c r="C3165" s="73">
        <v>45</v>
      </c>
      <c r="D3165" s="73">
        <v>1423947.0736505513</v>
      </c>
      <c r="E3165" s="72">
        <v>185113.11957457167</v>
      </c>
      <c r="F3165" s="72" t="s">
        <v>78</v>
      </c>
      <c r="G3165" s="72" t="s">
        <v>71</v>
      </c>
      <c r="H3165" s="72" t="s">
        <v>72</v>
      </c>
    </row>
    <row r="3166" spans="1:8" x14ac:dyDescent="0.25">
      <c r="A3166" s="72" t="s">
        <v>2944</v>
      </c>
      <c r="B3166" s="72" t="s">
        <v>105</v>
      </c>
      <c r="C3166" s="73">
        <v>45</v>
      </c>
      <c r="D3166" s="73">
        <v>1105370.7517940491</v>
      </c>
      <c r="E3166" s="72">
        <v>121590.78269734541</v>
      </c>
      <c r="F3166" s="72" t="s">
        <v>106</v>
      </c>
      <c r="G3166" s="72" t="s">
        <v>71</v>
      </c>
      <c r="H3166" s="72" t="s">
        <v>72</v>
      </c>
    </row>
    <row r="3167" spans="1:8" x14ac:dyDescent="0.25">
      <c r="A3167" s="43" t="s">
        <v>2737</v>
      </c>
      <c r="B3167" s="43" t="s">
        <v>73</v>
      </c>
      <c r="C3167" s="46">
        <v>45</v>
      </c>
      <c r="D3167" s="46">
        <v>1341150.0990615694</v>
      </c>
      <c r="E3167" s="43">
        <v>134115.00990615695</v>
      </c>
      <c r="F3167" s="43" t="s">
        <v>87</v>
      </c>
      <c r="G3167" s="43" t="s">
        <v>71</v>
      </c>
      <c r="H3167" s="43" t="s">
        <v>88</v>
      </c>
    </row>
    <row r="3168" spans="1:8" x14ac:dyDescent="0.25">
      <c r="A3168" s="43" t="s">
        <v>4640</v>
      </c>
      <c r="B3168" s="43" t="s">
        <v>73</v>
      </c>
      <c r="C3168" s="46">
        <v>45</v>
      </c>
      <c r="D3168" s="46">
        <v>1054863.1340873991</v>
      </c>
      <c r="E3168" s="43">
        <v>42194.525363495966</v>
      </c>
      <c r="F3168" s="43" t="s">
        <v>87</v>
      </c>
      <c r="G3168" s="43" t="s">
        <v>71</v>
      </c>
      <c r="H3168" s="43" t="s">
        <v>88</v>
      </c>
    </row>
    <row r="3169" spans="1:8" x14ac:dyDescent="0.25">
      <c r="A3169" s="72" t="s">
        <v>3681</v>
      </c>
      <c r="B3169" s="72" t="s">
        <v>211</v>
      </c>
      <c r="C3169" s="73">
        <v>45</v>
      </c>
      <c r="D3169" s="73">
        <v>1134967.4633245689</v>
      </c>
      <c r="E3169" s="72">
        <v>79447.72243271982</v>
      </c>
      <c r="F3169" s="72" t="s">
        <v>70</v>
      </c>
      <c r="G3169" s="72" t="s">
        <v>71</v>
      </c>
      <c r="H3169" s="72" t="s">
        <v>72</v>
      </c>
    </row>
    <row r="3170" spans="1:8" x14ac:dyDescent="0.25">
      <c r="A3170" s="72" t="s">
        <v>3368</v>
      </c>
      <c r="B3170" s="72" t="s">
        <v>102</v>
      </c>
      <c r="C3170" s="73">
        <v>45</v>
      </c>
      <c r="D3170" s="73">
        <v>1189841.9760937118</v>
      </c>
      <c r="E3170" s="72">
        <v>95187.358087496948</v>
      </c>
      <c r="F3170" s="72" t="s">
        <v>70</v>
      </c>
      <c r="G3170" s="72" t="s">
        <v>71</v>
      </c>
      <c r="H3170" s="72" t="s">
        <v>72</v>
      </c>
    </row>
    <row r="3171" spans="1:8" x14ac:dyDescent="0.25">
      <c r="A3171" s="72" t="s">
        <v>2258</v>
      </c>
      <c r="B3171" s="72" t="s">
        <v>93</v>
      </c>
      <c r="C3171" s="73">
        <v>45</v>
      </c>
      <c r="D3171" s="73">
        <v>1391847.5411078508</v>
      </c>
      <c r="E3171" s="72">
        <v>167021.70493294208</v>
      </c>
      <c r="F3171" s="72" t="s">
        <v>87</v>
      </c>
      <c r="G3171" s="72" t="s">
        <v>71</v>
      </c>
      <c r="H3171" s="72" t="s">
        <v>88</v>
      </c>
    </row>
    <row r="3172" spans="1:8" x14ac:dyDescent="0.25">
      <c r="A3172" s="72" t="s">
        <v>4460</v>
      </c>
      <c r="B3172" s="72" t="s">
        <v>112</v>
      </c>
      <c r="C3172" s="73">
        <v>45</v>
      </c>
      <c r="D3172" s="73">
        <v>994694.96036956995</v>
      </c>
      <c r="E3172" s="72">
        <v>49734.748018478502</v>
      </c>
      <c r="F3172" s="72" t="s">
        <v>106</v>
      </c>
      <c r="G3172" s="72" t="s">
        <v>71</v>
      </c>
      <c r="H3172" s="72" t="s">
        <v>72</v>
      </c>
    </row>
    <row r="3173" spans="1:8" x14ac:dyDescent="0.25">
      <c r="A3173" s="72" t="s">
        <v>4150</v>
      </c>
      <c r="B3173" s="72" t="s">
        <v>73</v>
      </c>
      <c r="C3173" s="73">
        <v>45</v>
      </c>
      <c r="D3173" s="73">
        <v>1021369.0352318177</v>
      </c>
      <c r="E3173" s="72">
        <v>61282.142113909074</v>
      </c>
      <c r="F3173" s="72" t="s">
        <v>106</v>
      </c>
      <c r="G3173" s="72" t="s">
        <v>71</v>
      </c>
      <c r="H3173" s="72" t="s">
        <v>72</v>
      </c>
    </row>
    <row r="3174" spans="1:8" x14ac:dyDescent="0.25">
      <c r="A3174" s="43" t="s">
        <v>3682</v>
      </c>
      <c r="B3174" s="43" t="s">
        <v>303</v>
      </c>
      <c r="C3174" s="46">
        <v>45</v>
      </c>
      <c r="D3174" s="46">
        <v>1134967.4633245689</v>
      </c>
      <c r="E3174" s="43">
        <v>79447.72243271982</v>
      </c>
      <c r="F3174" s="43" t="s">
        <v>70</v>
      </c>
      <c r="G3174" s="43" t="s">
        <v>71</v>
      </c>
      <c r="H3174" s="43" t="s">
        <v>72</v>
      </c>
    </row>
    <row r="3175" spans="1:8" x14ac:dyDescent="0.25">
      <c r="A3175" s="43" t="s">
        <v>3089</v>
      </c>
      <c r="B3175" s="43" t="s">
        <v>102</v>
      </c>
      <c r="C3175" s="46">
        <v>45</v>
      </c>
      <c r="D3175" s="46">
        <v>1236974.0482489059</v>
      </c>
      <c r="E3175" s="43">
        <v>111327.66434240153</v>
      </c>
      <c r="F3175" s="43" t="s">
        <v>70</v>
      </c>
      <c r="G3175" s="43" t="s">
        <v>71</v>
      </c>
      <c r="H3175" s="43" t="s">
        <v>72</v>
      </c>
    </row>
    <row r="3176" spans="1:8" x14ac:dyDescent="0.25">
      <c r="A3176" s="43" t="s">
        <v>4913</v>
      </c>
      <c r="B3176" s="43" t="s">
        <v>202</v>
      </c>
      <c r="C3176" s="46">
        <v>45</v>
      </c>
      <c r="D3176" s="46">
        <v>905850.90271243418</v>
      </c>
      <c r="E3176" s="43">
        <v>27175.527081373031</v>
      </c>
      <c r="F3176" s="43" t="s">
        <v>106</v>
      </c>
      <c r="G3176" s="43" t="s">
        <v>71</v>
      </c>
      <c r="H3176" s="43" t="s">
        <v>72</v>
      </c>
    </row>
    <row r="3177" spans="1:8" x14ac:dyDescent="0.25">
      <c r="A3177" s="43" t="s">
        <v>1898</v>
      </c>
      <c r="B3177" s="43" t="s">
        <v>102</v>
      </c>
      <c r="C3177" s="46">
        <v>45</v>
      </c>
      <c r="D3177" s="46">
        <v>1413330.626538571</v>
      </c>
      <c r="E3177" s="43">
        <v>197866.28771539993</v>
      </c>
      <c r="F3177" s="43" t="s">
        <v>70</v>
      </c>
      <c r="G3177" s="43" t="s">
        <v>71</v>
      </c>
      <c r="H3177" s="43" t="s">
        <v>72</v>
      </c>
    </row>
    <row r="3178" spans="1:8" x14ac:dyDescent="0.25">
      <c r="A3178" s="72" t="s">
        <v>3558</v>
      </c>
      <c r="B3178" s="72" t="s">
        <v>77</v>
      </c>
      <c r="C3178" s="73">
        <v>45</v>
      </c>
      <c r="D3178" s="73">
        <v>1061667.8378939258</v>
      </c>
      <c r="E3178" s="72">
        <v>84933.427031514075</v>
      </c>
      <c r="F3178" s="72" t="s">
        <v>106</v>
      </c>
      <c r="G3178" s="72" t="s">
        <v>71</v>
      </c>
      <c r="H3178" s="72" t="s">
        <v>72</v>
      </c>
    </row>
    <row r="3179" spans="1:8" x14ac:dyDescent="0.25">
      <c r="A3179" s="72" t="s">
        <v>4641</v>
      </c>
      <c r="B3179" s="72" t="s">
        <v>93</v>
      </c>
      <c r="C3179" s="73">
        <v>45</v>
      </c>
      <c r="D3179" s="73">
        <v>1054863.1340873991</v>
      </c>
      <c r="E3179" s="72">
        <v>42194.525363495966</v>
      </c>
      <c r="F3179" s="72" t="s">
        <v>87</v>
      </c>
      <c r="G3179" s="72" t="s">
        <v>71</v>
      </c>
      <c r="H3179" s="72" t="s">
        <v>88</v>
      </c>
    </row>
    <row r="3180" spans="1:8" x14ac:dyDescent="0.25">
      <c r="A3180" s="43" t="s">
        <v>2103</v>
      </c>
      <c r="B3180" s="43" t="s">
        <v>74</v>
      </c>
      <c r="C3180" s="46">
        <v>45</v>
      </c>
      <c r="D3180" s="46">
        <v>1383273.9770154767</v>
      </c>
      <c r="E3180" s="43">
        <v>179825.61701201196</v>
      </c>
      <c r="F3180" s="43" t="s">
        <v>70</v>
      </c>
      <c r="G3180" s="43" t="s">
        <v>71</v>
      </c>
      <c r="H3180" s="43" t="s">
        <v>72</v>
      </c>
    </row>
    <row r="3181" spans="1:8" x14ac:dyDescent="0.25">
      <c r="A3181" s="72" t="s">
        <v>2849</v>
      </c>
      <c r="B3181" s="72" t="s">
        <v>74</v>
      </c>
      <c r="C3181" s="73">
        <v>45</v>
      </c>
      <c r="D3181" s="73">
        <v>1278732.1307799816</v>
      </c>
      <c r="E3181" s="72">
        <v>127873.21307799817</v>
      </c>
      <c r="F3181" s="72" t="s">
        <v>70</v>
      </c>
      <c r="G3181" s="72" t="s">
        <v>71</v>
      </c>
      <c r="H3181" s="72" t="s">
        <v>72</v>
      </c>
    </row>
    <row r="3182" spans="1:8" x14ac:dyDescent="0.25">
      <c r="A3182" s="72" t="s">
        <v>3683</v>
      </c>
      <c r="B3182" s="72" t="s">
        <v>85</v>
      </c>
      <c r="C3182" s="73">
        <v>45</v>
      </c>
      <c r="D3182" s="73">
        <v>1134967.4633245689</v>
      </c>
      <c r="E3182" s="72">
        <v>79447.72243271982</v>
      </c>
      <c r="F3182" s="72" t="s">
        <v>70</v>
      </c>
      <c r="G3182" s="72" t="s">
        <v>71</v>
      </c>
      <c r="H3182" s="72" t="s">
        <v>72</v>
      </c>
    </row>
    <row r="3183" spans="1:8" x14ac:dyDescent="0.25">
      <c r="A3183" s="72" t="s">
        <v>4075</v>
      </c>
      <c r="B3183" s="72" t="s">
        <v>69</v>
      </c>
      <c r="C3183" s="73">
        <v>45</v>
      </c>
      <c r="D3183" s="73">
        <v>1067601.3232957434</v>
      </c>
      <c r="E3183" s="72">
        <v>64056.079397744616</v>
      </c>
      <c r="F3183" s="72" t="s">
        <v>70</v>
      </c>
      <c r="G3183" s="72" t="s">
        <v>71</v>
      </c>
      <c r="H3183" s="72" t="s">
        <v>72</v>
      </c>
    </row>
    <row r="3184" spans="1:8" x14ac:dyDescent="0.25">
      <c r="A3184" s="72" t="s">
        <v>2738</v>
      </c>
      <c r="B3184" s="72" t="s">
        <v>149</v>
      </c>
      <c r="C3184" s="73">
        <v>45</v>
      </c>
      <c r="D3184" s="73">
        <v>1341150.0990615694</v>
      </c>
      <c r="E3184" s="72">
        <v>134115.00990615695</v>
      </c>
      <c r="F3184" s="72" t="s">
        <v>87</v>
      </c>
      <c r="G3184" s="72" t="s">
        <v>71</v>
      </c>
      <c r="H3184" s="72" t="s">
        <v>88</v>
      </c>
    </row>
    <row r="3185" spans="1:8" x14ac:dyDescent="0.25">
      <c r="A3185" s="72" t="s">
        <v>3238</v>
      </c>
      <c r="B3185" s="72" t="s">
        <v>93</v>
      </c>
      <c r="C3185" s="73">
        <v>45</v>
      </c>
      <c r="D3185" s="73">
        <v>1278990.4587994127</v>
      </c>
      <c r="E3185" s="72">
        <v>102319.23670395302</v>
      </c>
      <c r="F3185" s="72" t="s">
        <v>87</v>
      </c>
      <c r="G3185" s="72" t="s">
        <v>71</v>
      </c>
      <c r="H3185" s="72" t="s">
        <v>88</v>
      </c>
    </row>
    <row r="3186" spans="1:8" x14ac:dyDescent="0.25">
      <c r="A3186" s="72" t="s">
        <v>2104</v>
      </c>
      <c r="B3186" s="72" t="s">
        <v>211</v>
      </c>
      <c r="C3186" s="73">
        <v>45</v>
      </c>
      <c r="D3186" s="73">
        <v>1383273.9770154767</v>
      </c>
      <c r="E3186" s="72">
        <v>179825.61701201196</v>
      </c>
      <c r="F3186" s="72" t="s">
        <v>70</v>
      </c>
      <c r="G3186" s="72" t="s">
        <v>71</v>
      </c>
      <c r="H3186" s="72" t="s">
        <v>72</v>
      </c>
    </row>
    <row r="3187" spans="1:8" x14ac:dyDescent="0.25">
      <c r="A3187" s="43" t="s">
        <v>3559</v>
      </c>
      <c r="B3187" s="43" t="s">
        <v>73</v>
      </c>
      <c r="C3187" s="46">
        <v>44</v>
      </c>
      <c r="D3187" s="46">
        <v>1212979.1835536843</v>
      </c>
      <c r="E3187" s="43">
        <v>84908.54284875789</v>
      </c>
      <c r="F3187" s="43" t="s">
        <v>87</v>
      </c>
      <c r="G3187" s="43" t="s">
        <v>71</v>
      </c>
      <c r="H3187" s="43" t="s">
        <v>88</v>
      </c>
    </row>
    <row r="3188" spans="1:8" x14ac:dyDescent="0.25">
      <c r="A3188" s="43" t="s">
        <v>3281</v>
      </c>
      <c r="B3188" s="43" t="s">
        <v>202</v>
      </c>
      <c r="C3188" s="46">
        <v>44</v>
      </c>
      <c r="D3188" s="46">
        <v>1250032.303219148</v>
      </c>
      <c r="E3188" s="43">
        <v>100002.58425753184</v>
      </c>
      <c r="F3188" s="43" t="s">
        <v>87</v>
      </c>
      <c r="G3188" s="43" t="s">
        <v>71</v>
      </c>
      <c r="H3188" s="43" t="s">
        <v>88</v>
      </c>
    </row>
    <row r="3189" spans="1:8" x14ac:dyDescent="0.25">
      <c r="A3189" s="72" t="s">
        <v>4506</v>
      </c>
      <c r="B3189" s="72" t="s">
        <v>265</v>
      </c>
      <c r="C3189" s="73">
        <v>44</v>
      </c>
      <c r="D3189" s="73">
        <v>952675.23710537667</v>
      </c>
      <c r="E3189" s="72">
        <v>47633.761855268836</v>
      </c>
      <c r="F3189" s="72" t="s">
        <v>70</v>
      </c>
      <c r="G3189" s="72" t="s">
        <v>71</v>
      </c>
      <c r="H3189" s="72" t="s">
        <v>72</v>
      </c>
    </row>
    <row r="3190" spans="1:8" x14ac:dyDescent="0.25">
      <c r="A3190" s="72" t="s">
        <v>4298</v>
      </c>
      <c r="B3190" s="72" t="s">
        <v>93</v>
      </c>
      <c r="C3190" s="73">
        <v>44</v>
      </c>
      <c r="D3190" s="73">
        <v>1112500.0239196015</v>
      </c>
      <c r="E3190" s="72">
        <v>55625.001195980076</v>
      </c>
      <c r="F3190" s="72" t="s">
        <v>87</v>
      </c>
      <c r="G3190" s="72" t="s">
        <v>71</v>
      </c>
      <c r="H3190" s="72" t="s">
        <v>88</v>
      </c>
    </row>
    <row r="3191" spans="1:8" x14ac:dyDescent="0.25">
      <c r="A3191" s="72" t="s">
        <v>1941</v>
      </c>
      <c r="B3191" s="72" t="s">
        <v>323</v>
      </c>
      <c r="C3191" s="73">
        <v>44</v>
      </c>
      <c r="D3191" s="73">
        <v>1381304.0672990831</v>
      </c>
      <c r="E3191" s="72">
        <v>193382.56942187162</v>
      </c>
      <c r="F3191" s="72" t="s">
        <v>70</v>
      </c>
      <c r="G3191" s="72" t="s">
        <v>71</v>
      </c>
      <c r="H3191" s="72" t="s">
        <v>72</v>
      </c>
    </row>
    <row r="3192" spans="1:8" x14ac:dyDescent="0.25">
      <c r="A3192" s="72" t="s">
        <v>4123</v>
      </c>
      <c r="B3192" s="72" t="s">
        <v>97</v>
      </c>
      <c r="C3192" s="73">
        <v>44</v>
      </c>
      <c r="D3192" s="73">
        <v>1043257.6374616518</v>
      </c>
      <c r="E3192" s="72">
        <v>62595.45824769912</v>
      </c>
      <c r="F3192" s="72" t="s">
        <v>70</v>
      </c>
      <c r="G3192" s="72" t="s">
        <v>71</v>
      </c>
      <c r="H3192" s="72" t="s">
        <v>72</v>
      </c>
    </row>
    <row r="3193" spans="1:8" x14ac:dyDescent="0.25">
      <c r="A3193" s="43" t="s">
        <v>4064</v>
      </c>
      <c r="B3193" s="43" t="s">
        <v>337</v>
      </c>
      <c r="C3193" s="46">
        <v>44</v>
      </c>
      <c r="D3193" s="46">
        <v>1074920.023359705</v>
      </c>
      <c r="E3193" s="43">
        <v>64495.201401582315</v>
      </c>
      <c r="F3193" s="43" t="s">
        <v>78</v>
      </c>
      <c r="G3193" s="43" t="s">
        <v>71</v>
      </c>
      <c r="H3193" s="43" t="s">
        <v>72</v>
      </c>
    </row>
    <row r="3194" spans="1:8" x14ac:dyDescent="0.25">
      <c r="A3194" s="43" t="s">
        <v>4488</v>
      </c>
      <c r="B3194" s="43" t="s">
        <v>75</v>
      </c>
      <c r="C3194" s="46">
        <v>44</v>
      </c>
      <c r="D3194" s="46">
        <v>971981.88518485695</v>
      </c>
      <c r="E3194" s="43">
        <v>48599.094259242847</v>
      </c>
      <c r="F3194" s="43" t="s">
        <v>106</v>
      </c>
      <c r="G3194" s="43" t="s">
        <v>71</v>
      </c>
      <c r="H3194" s="43" t="s">
        <v>72</v>
      </c>
    </row>
    <row r="3195" spans="1:8" x14ac:dyDescent="0.25">
      <c r="A3195" s="43" t="s">
        <v>3167</v>
      </c>
      <c r="B3195" s="43" t="s">
        <v>75</v>
      </c>
      <c r="C3195" s="46">
        <v>44</v>
      </c>
      <c r="D3195" s="46">
        <v>1067426.0432147742</v>
      </c>
      <c r="E3195" s="43">
        <v>106742.60432147743</v>
      </c>
      <c r="F3195" s="43" t="s">
        <v>106</v>
      </c>
      <c r="G3195" s="43" t="s">
        <v>71</v>
      </c>
      <c r="H3195" s="43" t="s">
        <v>72</v>
      </c>
    </row>
    <row r="3196" spans="1:8" x14ac:dyDescent="0.25">
      <c r="A3196" s="43" t="s">
        <v>2669</v>
      </c>
      <c r="B3196" s="43" t="s">
        <v>83</v>
      </c>
      <c r="C3196" s="46">
        <v>44</v>
      </c>
      <c r="D3196" s="46">
        <v>1258550.9630220209</v>
      </c>
      <c r="E3196" s="43">
        <v>138440.6059324223</v>
      </c>
      <c r="F3196" s="43" t="s">
        <v>84</v>
      </c>
      <c r="G3196" s="43" t="s">
        <v>71</v>
      </c>
      <c r="H3196" s="43" t="s">
        <v>72</v>
      </c>
    </row>
    <row r="3197" spans="1:8" x14ac:dyDescent="0.25">
      <c r="A3197" s="43" t="s">
        <v>1942</v>
      </c>
      <c r="B3197" s="43" t="s">
        <v>269</v>
      </c>
      <c r="C3197" s="46">
        <v>44</v>
      </c>
      <c r="D3197" s="46">
        <v>1381304.0672990831</v>
      </c>
      <c r="E3197" s="43">
        <v>193382.56942187162</v>
      </c>
      <c r="F3197" s="43" t="s">
        <v>70</v>
      </c>
      <c r="G3197" s="43" t="s">
        <v>71</v>
      </c>
      <c r="H3197" s="43" t="s">
        <v>72</v>
      </c>
    </row>
    <row r="3198" spans="1:8" x14ac:dyDescent="0.25">
      <c r="A3198" s="72" t="s">
        <v>2307</v>
      </c>
      <c r="B3198" s="72" t="s">
        <v>73</v>
      </c>
      <c r="C3198" s="73">
        <v>44</v>
      </c>
      <c r="D3198" s="73">
        <v>1360381.4503651764</v>
      </c>
      <c r="E3198" s="72">
        <v>163245.77404382118</v>
      </c>
      <c r="F3198" s="72" t="s">
        <v>87</v>
      </c>
      <c r="G3198" s="72" t="s">
        <v>71</v>
      </c>
      <c r="H3198" s="72" t="s">
        <v>88</v>
      </c>
    </row>
    <row r="3199" spans="1:8" x14ac:dyDescent="0.25">
      <c r="A3199" s="72" t="s">
        <v>2884</v>
      </c>
      <c r="B3199" s="72" t="s">
        <v>149</v>
      </c>
      <c r="C3199" s="73">
        <v>44</v>
      </c>
      <c r="D3199" s="73">
        <v>1249696.6492240177</v>
      </c>
      <c r="E3199" s="72">
        <v>124969.66492240177</v>
      </c>
      <c r="F3199" s="72" t="s">
        <v>70</v>
      </c>
      <c r="G3199" s="72" t="s">
        <v>71</v>
      </c>
      <c r="H3199" s="72" t="s">
        <v>72</v>
      </c>
    </row>
    <row r="3200" spans="1:8" x14ac:dyDescent="0.25">
      <c r="A3200" s="43" t="s">
        <v>2885</v>
      </c>
      <c r="B3200" s="43" t="s">
        <v>73</v>
      </c>
      <c r="C3200" s="46">
        <v>44</v>
      </c>
      <c r="D3200" s="46">
        <v>1249696.6492240177</v>
      </c>
      <c r="E3200" s="43">
        <v>124969.66492240177</v>
      </c>
      <c r="F3200" s="43" t="s">
        <v>70</v>
      </c>
      <c r="G3200" s="43" t="s">
        <v>71</v>
      </c>
      <c r="H3200" s="43" t="s">
        <v>72</v>
      </c>
    </row>
    <row r="3201" spans="1:8" x14ac:dyDescent="0.25">
      <c r="A3201" s="43" t="s">
        <v>2105</v>
      </c>
      <c r="B3201" s="43" t="s">
        <v>323</v>
      </c>
      <c r="C3201" s="46">
        <v>44</v>
      </c>
      <c r="D3201" s="46">
        <v>1382301.280867914</v>
      </c>
      <c r="E3201" s="43">
        <v>179699.16651282882</v>
      </c>
      <c r="F3201" s="43" t="s">
        <v>87</v>
      </c>
      <c r="G3201" s="43" t="s">
        <v>71</v>
      </c>
      <c r="H3201" s="43" t="s">
        <v>88</v>
      </c>
    </row>
    <row r="3202" spans="1:8" x14ac:dyDescent="0.25">
      <c r="A3202" s="43" t="s">
        <v>3727</v>
      </c>
      <c r="B3202" s="43" t="s">
        <v>73</v>
      </c>
      <c r="C3202" s="46">
        <v>44</v>
      </c>
      <c r="D3202" s="46">
        <v>1109126.7521565033</v>
      </c>
      <c r="E3202" s="43">
        <v>77638.872650955222</v>
      </c>
      <c r="F3202" s="43" t="s">
        <v>70</v>
      </c>
      <c r="G3202" s="43" t="s">
        <v>71</v>
      </c>
      <c r="H3202" s="43" t="s">
        <v>72</v>
      </c>
    </row>
    <row r="3203" spans="1:8" x14ac:dyDescent="0.25">
      <c r="A3203" s="43" t="s">
        <v>2375</v>
      </c>
      <c r="B3203" s="43" t="s">
        <v>265</v>
      </c>
      <c r="C3203" s="46">
        <v>44</v>
      </c>
      <c r="D3203" s="46">
        <v>1320494.9506182948</v>
      </c>
      <c r="E3203" s="43">
        <v>158459.39407419541</v>
      </c>
      <c r="F3203" s="43" t="s">
        <v>70</v>
      </c>
      <c r="G3203" s="43" t="s">
        <v>71</v>
      </c>
      <c r="H3203" s="43" t="s">
        <v>72</v>
      </c>
    </row>
    <row r="3204" spans="1:8" x14ac:dyDescent="0.25">
      <c r="A3204" s="72" t="s">
        <v>3168</v>
      </c>
      <c r="B3204" s="72" t="s">
        <v>73</v>
      </c>
      <c r="C3204" s="73">
        <v>44</v>
      </c>
      <c r="D3204" s="73">
        <v>1067426.0432147742</v>
      </c>
      <c r="E3204" s="72">
        <v>106742.60432147743</v>
      </c>
      <c r="F3204" s="72" t="s">
        <v>106</v>
      </c>
      <c r="G3204" s="72" t="s">
        <v>71</v>
      </c>
      <c r="H3204" s="72" t="s">
        <v>72</v>
      </c>
    </row>
    <row r="3205" spans="1:8" x14ac:dyDescent="0.25">
      <c r="A3205" s="72" t="s">
        <v>2608</v>
      </c>
      <c r="B3205" s="72" t="s">
        <v>107</v>
      </c>
      <c r="C3205" s="73">
        <v>44</v>
      </c>
      <c r="D3205" s="73">
        <v>1286618.7412478081</v>
      </c>
      <c r="E3205" s="72">
        <v>141528.06153725891</v>
      </c>
      <c r="F3205" s="72" t="s">
        <v>70</v>
      </c>
      <c r="G3205" s="72" t="s">
        <v>71</v>
      </c>
      <c r="H3205" s="72" t="s">
        <v>72</v>
      </c>
    </row>
    <row r="3206" spans="1:8" x14ac:dyDescent="0.25">
      <c r="A3206" s="43" t="s">
        <v>433</v>
      </c>
      <c r="B3206" s="43" t="s">
        <v>73</v>
      </c>
      <c r="C3206" s="46">
        <v>44</v>
      </c>
      <c r="D3206" s="46">
        <v>1043257.6374616518</v>
      </c>
      <c r="E3206" s="43">
        <v>62595.45824769912</v>
      </c>
      <c r="F3206" s="43" t="s">
        <v>70</v>
      </c>
      <c r="G3206" s="43" t="s">
        <v>71</v>
      </c>
      <c r="H3206" s="43" t="s">
        <v>72</v>
      </c>
    </row>
    <row r="3207" spans="1:8" x14ac:dyDescent="0.25">
      <c r="A3207" s="72" t="s">
        <v>2376</v>
      </c>
      <c r="B3207" s="72" t="s">
        <v>2377</v>
      </c>
      <c r="C3207" s="73">
        <v>44</v>
      </c>
      <c r="D3207" s="73">
        <v>1320494.9506182948</v>
      </c>
      <c r="E3207" s="72">
        <v>158459.39407419541</v>
      </c>
      <c r="F3207" s="72" t="s">
        <v>70</v>
      </c>
      <c r="G3207" s="72" t="s">
        <v>71</v>
      </c>
      <c r="H3207" s="72" t="s">
        <v>72</v>
      </c>
    </row>
    <row r="3208" spans="1:8" x14ac:dyDescent="0.25">
      <c r="A3208" s="72" t="s">
        <v>4124</v>
      </c>
      <c r="B3208" s="72" t="s">
        <v>102</v>
      </c>
      <c r="C3208" s="73">
        <v>44</v>
      </c>
      <c r="D3208" s="73">
        <v>1043257.6374616518</v>
      </c>
      <c r="E3208" s="72">
        <v>62595.45824769912</v>
      </c>
      <c r="F3208" s="72" t="s">
        <v>70</v>
      </c>
      <c r="G3208" s="72" t="s">
        <v>71</v>
      </c>
      <c r="H3208" s="72" t="s">
        <v>72</v>
      </c>
    </row>
    <row r="3209" spans="1:8" x14ac:dyDescent="0.25">
      <c r="A3209" s="72" t="s">
        <v>2886</v>
      </c>
      <c r="B3209" s="72" t="s">
        <v>73</v>
      </c>
      <c r="C3209" s="73">
        <v>44</v>
      </c>
      <c r="D3209" s="73">
        <v>1249696.6492240177</v>
      </c>
      <c r="E3209" s="72">
        <v>124969.66492240177</v>
      </c>
      <c r="F3209" s="72" t="s">
        <v>70</v>
      </c>
      <c r="G3209" s="72" t="s">
        <v>71</v>
      </c>
      <c r="H3209" s="72" t="s">
        <v>72</v>
      </c>
    </row>
    <row r="3210" spans="1:8" x14ac:dyDescent="0.25">
      <c r="A3210" s="43" t="s">
        <v>2378</v>
      </c>
      <c r="B3210" s="43" t="s">
        <v>2379</v>
      </c>
      <c r="C3210" s="46">
        <v>44</v>
      </c>
      <c r="D3210" s="46">
        <v>1320494.9506182948</v>
      </c>
      <c r="E3210" s="43">
        <v>158459.39407419541</v>
      </c>
      <c r="F3210" s="43" t="s">
        <v>70</v>
      </c>
      <c r="G3210" s="43" t="s">
        <v>71</v>
      </c>
      <c r="H3210" s="43" t="s">
        <v>72</v>
      </c>
    </row>
    <row r="3211" spans="1:8" x14ac:dyDescent="0.25">
      <c r="A3211" s="72" t="s">
        <v>3728</v>
      </c>
      <c r="B3211" s="72" t="s">
        <v>102</v>
      </c>
      <c r="C3211" s="73">
        <v>44</v>
      </c>
      <c r="D3211" s="73">
        <v>1109126.7521565033</v>
      </c>
      <c r="E3211" s="72">
        <v>77638.872650955222</v>
      </c>
      <c r="F3211" s="72" t="s">
        <v>70</v>
      </c>
      <c r="G3211" s="72" t="s">
        <v>71</v>
      </c>
      <c r="H3211" s="72" t="s">
        <v>72</v>
      </c>
    </row>
    <row r="3212" spans="1:8" x14ac:dyDescent="0.25">
      <c r="A3212" s="43" t="s">
        <v>4670</v>
      </c>
      <c r="B3212" s="43" t="s">
        <v>73</v>
      </c>
      <c r="C3212" s="46">
        <v>44</v>
      </c>
      <c r="D3212" s="46">
        <v>1030885.5857229568</v>
      </c>
      <c r="E3212" s="43">
        <v>41235.423428918271</v>
      </c>
      <c r="F3212" s="43" t="s">
        <v>87</v>
      </c>
      <c r="G3212" s="43" t="s">
        <v>71</v>
      </c>
      <c r="H3212" s="43" t="s">
        <v>88</v>
      </c>
    </row>
    <row r="3213" spans="1:8" x14ac:dyDescent="0.25">
      <c r="A3213" s="43" t="s">
        <v>3729</v>
      </c>
      <c r="B3213" s="43" t="s">
        <v>139</v>
      </c>
      <c r="C3213" s="46">
        <v>44</v>
      </c>
      <c r="D3213" s="46">
        <v>1109126.7521565033</v>
      </c>
      <c r="E3213" s="43">
        <v>77638.872650955222</v>
      </c>
      <c r="F3213" s="43" t="s">
        <v>70</v>
      </c>
      <c r="G3213" s="43" t="s">
        <v>71</v>
      </c>
      <c r="H3213" s="43" t="s">
        <v>72</v>
      </c>
    </row>
    <row r="3214" spans="1:8" x14ac:dyDescent="0.25">
      <c r="A3214" s="43" t="s">
        <v>3353</v>
      </c>
      <c r="B3214" s="43" t="s">
        <v>73</v>
      </c>
      <c r="C3214" s="46">
        <v>44</v>
      </c>
      <c r="D3214" s="46">
        <v>1197545.3666161117</v>
      </c>
      <c r="E3214" s="43">
        <v>95803.629329288946</v>
      </c>
      <c r="F3214" s="43" t="s">
        <v>78</v>
      </c>
      <c r="G3214" s="43" t="s">
        <v>71</v>
      </c>
      <c r="H3214" s="43" t="s">
        <v>72</v>
      </c>
    </row>
    <row r="3215" spans="1:8" x14ac:dyDescent="0.25">
      <c r="A3215" s="43" t="s">
        <v>2145</v>
      </c>
      <c r="B3215" s="43" t="s">
        <v>102</v>
      </c>
      <c r="C3215" s="46">
        <v>44</v>
      </c>
      <c r="D3215" s="46">
        <v>1351915.3433209464</v>
      </c>
      <c r="E3215" s="43">
        <v>175748.99463172304</v>
      </c>
      <c r="F3215" s="43" t="s">
        <v>70</v>
      </c>
      <c r="G3215" s="43" t="s">
        <v>71</v>
      </c>
      <c r="H3215" s="43" t="s">
        <v>72</v>
      </c>
    </row>
    <row r="3216" spans="1:8" x14ac:dyDescent="0.25">
      <c r="A3216" s="72" t="s">
        <v>4489</v>
      </c>
      <c r="B3216" s="72" t="s">
        <v>105</v>
      </c>
      <c r="C3216" s="73">
        <v>44</v>
      </c>
      <c r="D3216" s="73">
        <v>971981.88518485695</v>
      </c>
      <c r="E3216" s="72">
        <v>48599.094259242847</v>
      </c>
      <c r="F3216" s="72" t="s">
        <v>106</v>
      </c>
      <c r="G3216" s="72" t="s">
        <v>71</v>
      </c>
      <c r="H3216" s="72" t="s">
        <v>72</v>
      </c>
    </row>
    <row r="3217" spans="1:8" x14ac:dyDescent="0.25">
      <c r="A3217" s="72" t="s">
        <v>2106</v>
      </c>
      <c r="B3217" s="72" t="s">
        <v>93</v>
      </c>
      <c r="C3217" s="73">
        <v>44</v>
      </c>
      <c r="D3217" s="73">
        <v>1382301.280867914</v>
      </c>
      <c r="E3217" s="72">
        <v>179699.16651282882</v>
      </c>
      <c r="F3217" s="72" t="s">
        <v>87</v>
      </c>
      <c r="G3217" s="72" t="s">
        <v>71</v>
      </c>
      <c r="H3217" s="72" t="s">
        <v>88</v>
      </c>
    </row>
    <row r="3218" spans="1:8" x14ac:dyDescent="0.25">
      <c r="A3218" s="72" t="s">
        <v>4065</v>
      </c>
      <c r="B3218" s="72" t="s">
        <v>75</v>
      </c>
      <c r="C3218" s="73">
        <v>44</v>
      </c>
      <c r="D3218" s="73">
        <v>1074920.023359705</v>
      </c>
      <c r="E3218" s="72">
        <v>64495.201401582315</v>
      </c>
      <c r="F3218" s="72" t="s">
        <v>78</v>
      </c>
      <c r="G3218" s="72" t="s">
        <v>71</v>
      </c>
      <c r="H3218" s="72" t="s">
        <v>72</v>
      </c>
    </row>
    <row r="3219" spans="1:8" x14ac:dyDescent="0.25">
      <c r="A3219" s="43" t="s">
        <v>2107</v>
      </c>
      <c r="B3219" s="43" t="s">
        <v>124</v>
      </c>
      <c r="C3219" s="46">
        <v>44</v>
      </c>
      <c r="D3219" s="46">
        <v>1382301.280867914</v>
      </c>
      <c r="E3219" s="43">
        <v>179699.16651282882</v>
      </c>
      <c r="F3219" s="43" t="s">
        <v>87</v>
      </c>
      <c r="G3219" s="43" t="s">
        <v>71</v>
      </c>
      <c r="H3219" s="43" t="s">
        <v>88</v>
      </c>
    </row>
    <row r="3220" spans="1:8" x14ac:dyDescent="0.25">
      <c r="A3220" s="43" t="s">
        <v>2609</v>
      </c>
      <c r="B3220" s="43" t="s">
        <v>97</v>
      </c>
      <c r="C3220" s="46">
        <v>44</v>
      </c>
      <c r="D3220" s="46">
        <v>1286618.7412478081</v>
      </c>
      <c r="E3220" s="43">
        <v>141528.06153725891</v>
      </c>
      <c r="F3220" s="43" t="s">
        <v>70</v>
      </c>
      <c r="G3220" s="43" t="s">
        <v>71</v>
      </c>
      <c r="H3220" s="43" t="s">
        <v>72</v>
      </c>
    </row>
    <row r="3221" spans="1:8" x14ac:dyDescent="0.25">
      <c r="A3221" s="43" t="s">
        <v>3125</v>
      </c>
      <c r="B3221" s="43" t="s">
        <v>97</v>
      </c>
      <c r="C3221" s="46">
        <v>44</v>
      </c>
      <c r="D3221" s="46">
        <v>1208866.5240825214</v>
      </c>
      <c r="E3221" s="43">
        <v>108797.98716742692</v>
      </c>
      <c r="F3221" s="43" t="s">
        <v>70</v>
      </c>
      <c r="G3221" s="43" t="s">
        <v>71</v>
      </c>
      <c r="H3221" s="43" t="s">
        <v>72</v>
      </c>
    </row>
    <row r="3222" spans="1:8" x14ac:dyDescent="0.25">
      <c r="A3222" s="43" t="s">
        <v>3664</v>
      </c>
      <c r="B3222" s="43" t="s">
        <v>75</v>
      </c>
      <c r="C3222" s="46">
        <v>44</v>
      </c>
      <c r="D3222" s="46">
        <v>1142498.1641484883</v>
      </c>
      <c r="E3222" s="43">
        <v>79974.871490394173</v>
      </c>
      <c r="F3222" s="43" t="s">
        <v>78</v>
      </c>
      <c r="G3222" s="43" t="s">
        <v>71</v>
      </c>
      <c r="H3222" s="43" t="s">
        <v>72</v>
      </c>
    </row>
    <row r="3223" spans="1:8" x14ac:dyDescent="0.25">
      <c r="A3223" s="72" t="s">
        <v>1943</v>
      </c>
      <c r="B3223" s="72" t="s">
        <v>265</v>
      </c>
      <c r="C3223" s="73">
        <v>44</v>
      </c>
      <c r="D3223" s="73">
        <v>1381304.0672990831</v>
      </c>
      <c r="E3223" s="72">
        <v>193382.56942187162</v>
      </c>
      <c r="F3223" s="72" t="s">
        <v>70</v>
      </c>
      <c r="G3223" s="72" t="s">
        <v>71</v>
      </c>
      <c r="H3223" s="72" t="s">
        <v>72</v>
      </c>
    </row>
    <row r="3224" spans="1:8" x14ac:dyDescent="0.25">
      <c r="A3224" s="72" t="s">
        <v>3920</v>
      </c>
      <c r="B3224" s="72" t="s">
        <v>73</v>
      </c>
      <c r="C3224" s="73">
        <v>44</v>
      </c>
      <c r="D3224" s="73">
        <v>1168727.519050773</v>
      </c>
      <c r="E3224" s="72">
        <v>70123.651143046372</v>
      </c>
      <c r="F3224" s="72" t="s">
        <v>87</v>
      </c>
      <c r="G3224" s="72" t="s">
        <v>71</v>
      </c>
      <c r="H3224" s="72" t="s">
        <v>88</v>
      </c>
    </row>
    <row r="3225" spans="1:8" x14ac:dyDescent="0.25">
      <c r="A3225" s="72" t="s">
        <v>2146</v>
      </c>
      <c r="B3225" s="72" t="s">
        <v>73</v>
      </c>
      <c r="C3225" s="73">
        <v>44</v>
      </c>
      <c r="D3225" s="73">
        <v>1351915.3433209464</v>
      </c>
      <c r="E3225" s="72">
        <v>175748.99463172304</v>
      </c>
      <c r="F3225" s="72" t="s">
        <v>70</v>
      </c>
      <c r="G3225" s="72" t="s">
        <v>71</v>
      </c>
      <c r="H3225" s="72" t="s">
        <v>72</v>
      </c>
    </row>
    <row r="3226" spans="1:8" x14ac:dyDescent="0.25">
      <c r="A3226" s="43" t="s">
        <v>3402</v>
      </c>
      <c r="B3226" s="43" t="s">
        <v>85</v>
      </c>
      <c r="C3226" s="46">
        <v>44</v>
      </c>
      <c r="D3226" s="46">
        <v>1162781.8313085542</v>
      </c>
      <c r="E3226" s="43">
        <v>93022.546504684331</v>
      </c>
      <c r="F3226" s="43" t="s">
        <v>70</v>
      </c>
      <c r="G3226" s="43" t="s">
        <v>71</v>
      </c>
      <c r="H3226" s="43" t="s">
        <v>72</v>
      </c>
    </row>
    <row r="3227" spans="1:8" x14ac:dyDescent="0.25">
      <c r="A3227" s="72" t="s">
        <v>2785</v>
      </c>
      <c r="B3227" s="72" t="s">
        <v>73</v>
      </c>
      <c r="C3227" s="73">
        <v>44</v>
      </c>
      <c r="D3227" s="73">
        <v>1310810.6181421457</v>
      </c>
      <c r="E3227" s="72">
        <v>131081.06181421457</v>
      </c>
      <c r="F3227" s="72" t="s">
        <v>87</v>
      </c>
      <c r="G3227" s="72" t="s">
        <v>71</v>
      </c>
      <c r="H3227" s="72" t="s">
        <v>88</v>
      </c>
    </row>
    <row r="3228" spans="1:8" x14ac:dyDescent="0.25">
      <c r="A3228" s="72" t="s">
        <v>3030</v>
      </c>
      <c r="B3228" s="72" t="s">
        <v>73</v>
      </c>
      <c r="C3228" s="73">
        <v>44</v>
      </c>
      <c r="D3228" s="73">
        <v>1282203.3500608047</v>
      </c>
      <c r="E3228" s="72">
        <v>115398.30150547242</v>
      </c>
      <c r="F3228" s="72" t="s">
        <v>87</v>
      </c>
      <c r="G3228" s="72" t="s">
        <v>71</v>
      </c>
      <c r="H3228" s="72" t="s">
        <v>88</v>
      </c>
    </row>
    <row r="3229" spans="1:8" x14ac:dyDescent="0.25">
      <c r="A3229" s="43" t="s">
        <v>4125</v>
      </c>
      <c r="B3229" s="43" t="s">
        <v>97</v>
      </c>
      <c r="C3229" s="46">
        <v>44</v>
      </c>
      <c r="D3229" s="46">
        <v>1043257.6374616518</v>
      </c>
      <c r="E3229" s="43">
        <v>62595.45824769912</v>
      </c>
      <c r="F3229" s="43" t="s">
        <v>70</v>
      </c>
      <c r="G3229" s="43" t="s">
        <v>71</v>
      </c>
      <c r="H3229" s="43" t="s">
        <v>72</v>
      </c>
    </row>
    <row r="3230" spans="1:8" x14ac:dyDescent="0.25">
      <c r="A3230" s="43" t="s">
        <v>4507</v>
      </c>
      <c r="B3230" s="43" t="s">
        <v>74</v>
      </c>
      <c r="C3230" s="46">
        <v>44</v>
      </c>
      <c r="D3230" s="46">
        <v>952675.23710537667</v>
      </c>
      <c r="E3230" s="43">
        <v>47633.761855268836</v>
      </c>
      <c r="F3230" s="43" t="s">
        <v>70</v>
      </c>
      <c r="G3230" s="43" t="s">
        <v>71</v>
      </c>
      <c r="H3230" s="43" t="s">
        <v>72</v>
      </c>
    </row>
    <row r="3231" spans="1:8" x14ac:dyDescent="0.25">
      <c r="A3231" s="43" t="s">
        <v>2887</v>
      </c>
      <c r="B3231" s="43" t="s">
        <v>74</v>
      </c>
      <c r="C3231" s="46">
        <v>44</v>
      </c>
      <c r="D3231" s="46">
        <v>1249696.6492240177</v>
      </c>
      <c r="E3231" s="43">
        <v>124969.66492240177</v>
      </c>
      <c r="F3231" s="43" t="s">
        <v>70</v>
      </c>
      <c r="G3231" s="43" t="s">
        <v>71</v>
      </c>
      <c r="H3231" s="43" t="s">
        <v>72</v>
      </c>
    </row>
    <row r="3232" spans="1:8" x14ac:dyDescent="0.25">
      <c r="A3232" s="72" t="s">
        <v>2610</v>
      </c>
      <c r="B3232" s="72" t="s">
        <v>74</v>
      </c>
      <c r="C3232" s="73">
        <v>44</v>
      </c>
      <c r="D3232" s="73">
        <v>1286618.7412478081</v>
      </c>
      <c r="E3232" s="72">
        <v>141528.06153725891</v>
      </c>
      <c r="F3232" s="72" t="s">
        <v>70</v>
      </c>
      <c r="G3232" s="72" t="s">
        <v>71</v>
      </c>
      <c r="H3232" s="72" t="s">
        <v>72</v>
      </c>
    </row>
    <row r="3233" spans="1:8" x14ac:dyDescent="0.25">
      <c r="A3233" s="72" t="s">
        <v>2888</v>
      </c>
      <c r="B3233" s="72" t="s">
        <v>130</v>
      </c>
      <c r="C3233" s="73">
        <v>44</v>
      </c>
      <c r="D3233" s="73">
        <v>1249696.6492240177</v>
      </c>
      <c r="E3233" s="72">
        <v>124969.66492240177</v>
      </c>
      <c r="F3233" s="72" t="s">
        <v>70</v>
      </c>
      <c r="G3233" s="72" t="s">
        <v>71</v>
      </c>
      <c r="H3233" s="72" t="s">
        <v>72</v>
      </c>
    </row>
    <row r="3234" spans="1:8" x14ac:dyDescent="0.25">
      <c r="A3234" s="72" t="s">
        <v>4671</v>
      </c>
      <c r="B3234" s="72" t="s">
        <v>139</v>
      </c>
      <c r="C3234" s="73">
        <v>44</v>
      </c>
      <c r="D3234" s="73">
        <v>1030885.5857229568</v>
      </c>
      <c r="E3234" s="72">
        <v>41235.423428918271</v>
      </c>
      <c r="F3234" s="72" t="s">
        <v>87</v>
      </c>
      <c r="G3234" s="72" t="s">
        <v>71</v>
      </c>
      <c r="H3234" s="72" t="s">
        <v>88</v>
      </c>
    </row>
    <row r="3235" spans="1:8" x14ac:dyDescent="0.25">
      <c r="A3235" s="72" t="s">
        <v>3665</v>
      </c>
      <c r="B3235" s="72" t="s">
        <v>75</v>
      </c>
      <c r="C3235" s="73">
        <v>44</v>
      </c>
      <c r="D3235" s="73">
        <v>1142498.1641484883</v>
      </c>
      <c r="E3235" s="72">
        <v>79974.871490394173</v>
      </c>
      <c r="F3235" s="72" t="s">
        <v>78</v>
      </c>
      <c r="G3235" s="72" t="s">
        <v>71</v>
      </c>
      <c r="H3235" s="72" t="s">
        <v>72</v>
      </c>
    </row>
    <row r="3236" spans="1:8" x14ac:dyDescent="0.25">
      <c r="A3236" s="43" t="s">
        <v>2611</v>
      </c>
      <c r="B3236" s="43" t="s">
        <v>127</v>
      </c>
      <c r="C3236" s="46">
        <v>44</v>
      </c>
      <c r="D3236" s="46">
        <v>1286618.7412478081</v>
      </c>
      <c r="E3236" s="43">
        <v>141528.06153725891</v>
      </c>
      <c r="F3236" s="43" t="s">
        <v>70</v>
      </c>
      <c r="G3236" s="43" t="s">
        <v>71</v>
      </c>
      <c r="H3236" s="43" t="s">
        <v>72</v>
      </c>
    </row>
    <row r="3237" spans="1:8" x14ac:dyDescent="0.25">
      <c r="A3237" s="43" t="s">
        <v>4672</v>
      </c>
      <c r="B3237" s="43" t="s">
        <v>93</v>
      </c>
      <c r="C3237" s="46">
        <v>44</v>
      </c>
      <c r="D3237" s="46">
        <v>1030885.5857229568</v>
      </c>
      <c r="E3237" s="43">
        <v>41235.423428918271</v>
      </c>
      <c r="F3237" s="43" t="s">
        <v>87</v>
      </c>
      <c r="G3237" s="43" t="s">
        <v>71</v>
      </c>
      <c r="H3237" s="43" t="s">
        <v>88</v>
      </c>
    </row>
    <row r="3238" spans="1:8" x14ac:dyDescent="0.25">
      <c r="A3238" s="43" t="s">
        <v>1991</v>
      </c>
      <c r="B3238" s="43" t="s">
        <v>73</v>
      </c>
      <c r="C3238" s="46">
        <v>43</v>
      </c>
      <c r="D3238" s="46">
        <v>1349306.2135030716</v>
      </c>
      <c r="E3238" s="43">
        <v>188902.86989043001</v>
      </c>
      <c r="F3238" s="43" t="s">
        <v>70</v>
      </c>
      <c r="G3238" s="43" t="s">
        <v>71</v>
      </c>
      <c r="H3238" s="43" t="s">
        <v>72</v>
      </c>
    </row>
    <row r="3239" spans="1:8" x14ac:dyDescent="0.25">
      <c r="A3239" s="72" t="s">
        <v>1992</v>
      </c>
      <c r="B3239" s="72" t="s">
        <v>73</v>
      </c>
      <c r="C3239" s="73">
        <v>43</v>
      </c>
      <c r="D3239" s="73">
        <v>1349306.2135030716</v>
      </c>
      <c r="E3239" s="72">
        <v>188902.86989043001</v>
      </c>
      <c r="F3239" s="72" t="s">
        <v>70</v>
      </c>
      <c r="G3239" s="72" t="s">
        <v>71</v>
      </c>
      <c r="H3239" s="72" t="s">
        <v>72</v>
      </c>
    </row>
    <row r="3240" spans="1:8" x14ac:dyDescent="0.25">
      <c r="A3240" s="72" t="s">
        <v>4704</v>
      </c>
      <c r="B3240" s="72" t="s">
        <v>93</v>
      </c>
      <c r="C3240" s="73">
        <v>43</v>
      </c>
      <c r="D3240" s="73">
        <v>1006932.8217343693</v>
      </c>
      <c r="E3240" s="72">
        <v>40277.312869374771</v>
      </c>
      <c r="F3240" s="72" t="s">
        <v>87</v>
      </c>
      <c r="G3240" s="72" t="s">
        <v>71</v>
      </c>
      <c r="H3240" s="72" t="s">
        <v>88</v>
      </c>
    </row>
    <row r="3241" spans="1:8" x14ac:dyDescent="0.25">
      <c r="A3241" s="43" t="s">
        <v>4326</v>
      </c>
      <c r="B3241" s="43" t="s">
        <v>73</v>
      </c>
      <c r="C3241" s="46">
        <v>43</v>
      </c>
      <c r="D3241" s="46">
        <v>1086692.3863356358</v>
      </c>
      <c r="E3241" s="43">
        <v>54334.619316781791</v>
      </c>
      <c r="F3241" s="43" t="s">
        <v>87</v>
      </c>
      <c r="G3241" s="43" t="s">
        <v>71</v>
      </c>
      <c r="H3241" s="43" t="s">
        <v>88</v>
      </c>
    </row>
    <row r="3242" spans="1:8" x14ac:dyDescent="0.25">
      <c r="A3242" s="43" t="s">
        <v>3638</v>
      </c>
      <c r="B3242" s="43" t="s">
        <v>176</v>
      </c>
      <c r="C3242" s="46">
        <v>43</v>
      </c>
      <c r="D3242" s="46">
        <v>1013293.4657768656</v>
      </c>
      <c r="E3242" s="43">
        <v>81063.477262149245</v>
      </c>
      <c r="F3242" s="43" t="s">
        <v>106</v>
      </c>
      <c r="G3242" s="43" t="s">
        <v>71</v>
      </c>
      <c r="H3242" s="43" t="s">
        <v>72</v>
      </c>
    </row>
    <row r="3243" spans="1:8" x14ac:dyDescent="0.25">
      <c r="A3243" s="72" t="s">
        <v>4496</v>
      </c>
      <c r="B3243" s="72" t="s">
        <v>176</v>
      </c>
      <c r="C3243" s="73">
        <v>43</v>
      </c>
      <c r="D3243" s="73">
        <v>958968.82647275133</v>
      </c>
      <c r="E3243" s="72">
        <v>47948.441323637569</v>
      </c>
      <c r="F3243" s="72" t="s">
        <v>78</v>
      </c>
      <c r="G3243" s="72" t="s">
        <v>71</v>
      </c>
      <c r="H3243" s="72" t="s">
        <v>72</v>
      </c>
    </row>
    <row r="3244" spans="1:8" x14ac:dyDescent="0.25">
      <c r="A3244" s="43" t="s">
        <v>4114</v>
      </c>
      <c r="B3244" s="43" t="s">
        <v>75</v>
      </c>
      <c r="C3244" s="46">
        <v>43</v>
      </c>
      <c r="D3244" s="46">
        <v>1049789.3533210887</v>
      </c>
      <c r="E3244" s="43">
        <v>62987.361199265331</v>
      </c>
      <c r="F3244" s="43" t="s">
        <v>78</v>
      </c>
      <c r="G3244" s="43" t="s">
        <v>71</v>
      </c>
      <c r="H3244" s="43" t="s">
        <v>72</v>
      </c>
    </row>
    <row r="3245" spans="1:8" x14ac:dyDescent="0.25">
      <c r="A3245" s="72" t="s">
        <v>3958</v>
      </c>
      <c r="B3245" s="72" t="s">
        <v>73</v>
      </c>
      <c r="C3245" s="73">
        <v>43</v>
      </c>
      <c r="D3245" s="73">
        <v>1141641.9838501897</v>
      </c>
      <c r="E3245" s="72">
        <v>68498.519031011383</v>
      </c>
      <c r="F3245" s="72" t="s">
        <v>87</v>
      </c>
      <c r="G3245" s="72" t="s">
        <v>71</v>
      </c>
      <c r="H3245" s="72" t="s">
        <v>88</v>
      </c>
    </row>
    <row r="3246" spans="1:8" x14ac:dyDescent="0.25">
      <c r="A3246" s="72" t="s">
        <v>3326</v>
      </c>
      <c r="B3246" s="72" t="s">
        <v>202</v>
      </c>
      <c r="C3246" s="73">
        <v>43</v>
      </c>
      <c r="D3246" s="73">
        <v>1221098.932014738</v>
      </c>
      <c r="E3246" s="72">
        <v>97687.914561179045</v>
      </c>
      <c r="F3246" s="72" t="s">
        <v>87</v>
      </c>
      <c r="G3246" s="72" t="s">
        <v>71</v>
      </c>
      <c r="H3246" s="72" t="s">
        <v>88</v>
      </c>
    </row>
    <row r="3247" spans="1:8" x14ac:dyDescent="0.25">
      <c r="A3247" s="72" t="s">
        <v>3639</v>
      </c>
      <c r="B3247" s="72" t="s">
        <v>75</v>
      </c>
      <c r="C3247" s="73">
        <v>43</v>
      </c>
      <c r="D3247" s="73">
        <v>1013293.4657768656</v>
      </c>
      <c r="E3247" s="72">
        <v>81063.477262149245</v>
      </c>
      <c r="F3247" s="72" t="s">
        <v>106</v>
      </c>
      <c r="G3247" s="72" t="s">
        <v>71</v>
      </c>
      <c r="H3247" s="72" t="s">
        <v>72</v>
      </c>
    </row>
    <row r="3248" spans="1:8" x14ac:dyDescent="0.25">
      <c r="A3248" s="43" t="s">
        <v>4540</v>
      </c>
      <c r="B3248" s="43" t="s">
        <v>73</v>
      </c>
      <c r="C3248" s="46">
        <v>43</v>
      </c>
      <c r="D3248" s="46">
        <v>930418.94763194909</v>
      </c>
      <c r="E3248" s="43">
        <v>46520.947381597456</v>
      </c>
      <c r="F3248" s="43" t="s">
        <v>70</v>
      </c>
      <c r="G3248" s="43" t="s">
        <v>71</v>
      </c>
      <c r="H3248" s="43" t="s">
        <v>72</v>
      </c>
    </row>
    <row r="3249" spans="1:8" x14ac:dyDescent="0.25">
      <c r="A3249" s="43" t="s">
        <v>2921</v>
      </c>
      <c r="B3249" s="43" t="s">
        <v>73</v>
      </c>
      <c r="C3249" s="46">
        <v>43</v>
      </c>
      <c r="D3249" s="46">
        <v>1220689.8731115302</v>
      </c>
      <c r="E3249" s="43">
        <v>122068.98731115303</v>
      </c>
      <c r="F3249" s="43" t="s">
        <v>70</v>
      </c>
      <c r="G3249" s="43" t="s">
        <v>71</v>
      </c>
      <c r="H3249" s="43" t="s">
        <v>72</v>
      </c>
    </row>
    <row r="3250" spans="1:8" x14ac:dyDescent="0.25">
      <c r="A3250" s="72" t="s">
        <v>3389</v>
      </c>
      <c r="B3250" s="72" t="s">
        <v>73</v>
      </c>
      <c r="C3250" s="73">
        <v>43</v>
      </c>
      <c r="D3250" s="73">
        <v>1169627.7569580318</v>
      </c>
      <c r="E3250" s="72">
        <v>93570.22055664254</v>
      </c>
      <c r="F3250" s="72" t="s">
        <v>78</v>
      </c>
      <c r="G3250" s="72" t="s">
        <v>71</v>
      </c>
      <c r="H3250" s="72" t="s">
        <v>72</v>
      </c>
    </row>
    <row r="3251" spans="1:8" x14ac:dyDescent="0.25">
      <c r="A3251" s="43" t="s">
        <v>4157</v>
      </c>
      <c r="B3251" s="43" t="s">
        <v>2377</v>
      </c>
      <c r="C3251" s="46">
        <v>43</v>
      </c>
      <c r="D3251" s="46">
        <v>1018942.6570710362</v>
      </c>
      <c r="E3251" s="43">
        <v>61136.559424262181</v>
      </c>
      <c r="F3251" s="43" t="s">
        <v>70</v>
      </c>
      <c r="G3251" s="43" t="s">
        <v>71</v>
      </c>
      <c r="H3251" s="43" t="s">
        <v>72</v>
      </c>
    </row>
    <row r="3252" spans="1:8" x14ac:dyDescent="0.25">
      <c r="A3252" s="72" t="s">
        <v>4541</v>
      </c>
      <c r="B3252" s="72" t="s">
        <v>73</v>
      </c>
      <c r="C3252" s="73">
        <v>43</v>
      </c>
      <c r="D3252" s="73">
        <v>930418.94763194909</v>
      </c>
      <c r="E3252" s="72">
        <v>46520.947381597456</v>
      </c>
      <c r="F3252" s="72" t="s">
        <v>70</v>
      </c>
      <c r="G3252" s="72" t="s">
        <v>71</v>
      </c>
      <c r="H3252" s="72" t="s">
        <v>72</v>
      </c>
    </row>
    <row r="3253" spans="1:8" x14ac:dyDescent="0.25">
      <c r="A3253" s="72" t="s">
        <v>4158</v>
      </c>
      <c r="B3253" s="72" t="s">
        <v>265</v>
      </c>
      <c r="C3253" s="73">
        <v>43</v>
      </c>
      <c r="D3253" s="73">
        <v>1018942.6570710362</v>
      </c>
      <c r="E3253" s="72">
        <v>61136.559424262181</v>
      </c>
      <c r="F3253" s="72" t="s">
        <v>70</v>
      </c>
      <c r="G3253" s="72" t="s">
        <v>71</v>
      </c>
      <c r="H3253" s="72" t="s">
        <v>72</v>
      </c>
    </row>
    <row r="3254" spans="1:8" x14ac:dyDescent="0.25">
      <c r="A3254" s="43" t="s">
        <v>2417</v>
      </c>
      <c r="B3254" s="43" t="s">
        <v>223</v>
      </c>
      <c r="C3254" s="46">
        <v>43</v>
      </c>
      <c r="D3254" s="46">
        <v>1289879.1222013917</v>
      </c>
      <c r="E3254" s="43">
        <v>154785.49466416702</v>
      </c>
      <c r="F3254" s="43" t="s">
        <v>70</v>
      </c>
      <c r="G3254" s="43" t="s">
        <v>71</v>
      </c>
      <c r="H3254" s="43" t="s">
        <v>72</v>
      </c>
    </row>
    <row r="3255" spans="1:8" x14ac:dyDescent="0.25">
      <c r="A3255" s="72" t="s">
        <v>3176</v>
      </c>
      <c r="B3255" s="72" t="s">
        <v>73</v>
      </c>
      <c r="C3255" s="73">
        <v>43</v>
      </c>
      <c r="D3255" s="73">
        <v>1180787.7053596135</v>
      </c>
      <c r="E3255" s="72">
        <v>106270.89348236521</v>
      </c>
      <c r="F3255" s="72" t="s">
        <v>70</v>
      </c>
      <c r="G3255" s="72" t="s">
        <v>71</v>
      </c>
      <c r="H3255" s="72" t="s">
        <v>72</v>
      </c>
    </row>
    <row r="3256" spans="1:8" x14ac:dyDescent="0.25">
      <c r="A3256" s="72" t="s">
        <v>4514</v>
      </c>
      <c r="B3256" s="72" t="s">
        <v>75</v>
      </c>
      <c r="C3256" s="73">
        <v>43</v>
      </c>
      <c r="D3256" s="73">
        <v>949297.16058692534</v>
      </c>
      <c r="E3256" s="72">
        <v>47464.858029346273</v>
      </c>
      <c r="F3256" s="72" t="s">
        <v>106</v>
      </c>
      <c r="G3256" s="72" t="s">
        <v>71</v>
      </c>
      <c r="H3256" s="72" t="s">
        <v>72</v>
      </c>
    </row>
    <row r="3257" spans="1:8" x14ac:dyDescent="0.25">
      <c r="A3257" s="43" t="s">
        <v>2675</v>
      </c>
      <c r="B3257" s="43" t="s">
        <v>73</v>
      </c>
      <c r="C3257" s="46">
        <v>43</v>
      </c>
      <c r="D3257" s="46">
        <v>1256772.8266802344</v>
      </c>
      <c r="E3257" s="43">
        <v>138245.01093482581</v>
      </c>
      <c r="F3257" s="43" t="s">
        <v>70</v>
      </c>
      <c r="G3257" s="43" t="s">
        <v>71</v>
      </c>
      <c r="H3257" s="43" t="s">
        <v>72</v>
      </c>
    </row>
    <row r="3258" spans="1:8" x14ac:dyDescent="0.25">
      <c r="A3258" s="72" t="s">
        <v>3440</v>
      </c>
      <c r="B3258" s="72" t="s">
        <v>112</v>
      </c>
      <c r="C3258" s="73">
        <v>43</v>
      </c>
      <c r="D3258" s="73">
        <v>1135750.3919668726</v>
      </c>
      <c r="E3258" s="72">
        <v>90860.031357349813</v>
      </c>
      <c r="F3258" s="72" t="s">
        <v>70</v>
      </c>
      <c r="G3258" s="72" t="s">
        <v>71</v>
      </c>
      <c r="H3258" s="72" t="s">
        <v>72</v>
      </c>
    </row>
    <row r="3259" spans="1:8" x14ac:dyDescent="0.25">
      <c r="A3259" s="72" t="s">
        <v>2922</v>
      </c>
      <c r="B3259" s="72" t="s">
        <v>243</v>
      </c>
      <c r="C3259" s="73">
        <v>43</v>
      </c>
      <c r="D3259" s="73">
        <v>1220689.8731115302</v>
      </c>
      <c r="E3259" s="72">
        <v>122068.98731115303</v>
      </c>
      <c r="F3259" s="72" t="s">
        <v>70</v>
      </c>
      <c r="G3259" s="72" t="s">
        <v>71</v>
      </c>
      <c r="H3259" s="72" t="s">
        <v>72</v>
      </c>
    </row>
    <row r="3260" spans="1:8" x14ac:dyDescent="0.25">
      <c r="A3260" s="72" t="s">
        <v>2188</v>
      </c>
      <c r="B3260" s="72" t="s">
        <v>102</v>
      </c>
      <c r="C3260" s="73">
        <v>43</v>
      </c>
      <c r="D3260" s="73">
        <v>1320585.4150698925</v>
      </c>
      <c r="E3260" s="72">
        <v>171676.10395908603</v>
      </c>
      <c r="F3260" s="72" t="s">
        <v>70</v>
      </c>
      <c r="G3260" s="72" t="s">
        <v>71</v>
      </c>
      <c r="H3260" s="72" t="s">
        <v>72</v>
      </c>
    </row>
    <row r="3261" spans="1:8" x14ac:dyDescent="0.25">
      <c r="A3261" s="72" t="s">
        <v>2676</v>
      </c>
      <c r="B3261" s="72" t="s">
        <v>102</v>
      </c>
      <c r="C3261" s="73">
        <v>43</v>
      </c>
      <c r="D3261" s="73">
        <v>1256772.8266802344</v>
      </c>
      <c r="E3261" s="72">
        <v>138245.01093482581</v>
      </c>
      <c r="F3261" s="72" t="s">
        <v>70</v>
      </c>
      <c r="G3261" s="72" t="s">
        <v>71</v>
      </c>
      <c r="H3261" s="72" t="s">
        <v>72</v>
      </c>
    </row>
    <row r="3262" spans="1:8" x14ac:dyDescent="0.25">
      <c r="A3262" s="43" t="s">
        <v>1993</v>
      </c>
      <c r="B3262" s="43" t="s">
        <v>97</v>
      </c>
      <c r="C3262" s="46">
        <v>43</v>
      </c>
      <c r="D3262" s="46">
        <v>1349306.2135030716</v>
      </c>
      <c r="E3262" s="43">
        <v>188902.86989043001</v>
      </c>
      <c r="F3262" s="43" t="s">
        <v>70</v>
      </c>
      <c r="G3262" s="43" t="s">
        <v>71</v>
      </c>
      <c r="H3262" s="43" t="s">
        <v>72</v>
      </c>
    </row>
    <row r="3263" spans="1:8" x14ac:dyDescent="0.25">
      <c r="A3263" s="43" t="s">
        <v>4159</v>
      </c>
      <c r="B3263" s="43" t="s">
        <v>85</v>
      </c>
      <c r="C3263" s="46">
        <v>43</v>
      </c>
      <c r="D3263" s="46">
        <v>1018942.6570710362</v>
      </c>
      <c r="E3263" s="43">
        <v>61136.559424262181</v>
      </c>
      <c r="F3263" s="43" t="s">
        <v>70</v>
      </c>
      <c r="G3263" s="43" t="s">
        <v>71</v>
      </c>
      <c r="H3263" s="43" t="s">
        <v>72</v>
      </c>
    </row>
    <row r="3264" spans="1:8" x14ac:dyDescent="0.25">
      <c r="A3264" s="72" t="s">
        <v>4160</v>
      </c>
      <c r="B3264" s="72" t="s">
        <v>74</v>
      </c>
      <c r="C3264" s="73">
        <v>43</v>
      </c>
      <c r="D3264" s="73">
        <v>1018942.6570710362</v>
      </c>
      <c r="E3264" s="72">
        <v>61136.559424262181</v>
      </c>
      <c r="F3264" s="72" t="s">
        <v>70</v>
      </c>
      <c r="G3264" s="72" t="s">
        <v>71</v>
      </c>
      <c r="H3264" s="72" t="s">
        <v>72</v>
      </c>
    </row>
    <row r="3265" spans="1:8" x14ac:dyDescent="0.25">
      <c r="A3265" s="43" t="s">
        <v>4161</v>
      </c>
      <c r="B3265" s="43" t="s">
        <v>74</v>
      </c>
      <c r="C3265" s="46">
        <v>43</v>
      </c>
      <c r="D3265" s="46">
        <v>1018942.6570710362</v>
      </c>
      <c r="E3265" s="43">
        <v>61136.559424262181</v>
      </c>
      <c r="F3265" s="43" t="s">
        <v>70</v>
      </c>
      <c r="G3265" s="43" t="s">
        <v>71</v>
      </c>
      <c r="H3265" s="43" t="s">
        <v>72</v>
      </c>
    </row>
    <row r="3266" spans="1:8" x14ac:dyDescent="0.25">
      <c r="A3266" s="43" t="s">
        <v>2707</v>
      </c>
      <c r="B3266" s="43" t="s">
        <v>83</v>
      </c>
      <c r="C3266" s="46">
        <v>43</v>
      </c>
      <c r="D3266" s="46">
        <v>1229219.8931379642</v>
      </c>
      <c r="E3266" s="43">
        <v>135214.18824517608</v>
      </c>
      <c r="F3266" s="43" t="s">
        <v>84</v>
      </c>
      <c r="G3266" s="43" t="s">
        <v>71</v>
      </c>
      <c r="H3266" s="43" t="s">
        <v>72</v>
      </c>
    </row>
    <row r="3267" spans="1:8" x14ac:dyDescent="0.25">
      <c r="A3267" s="72" t="s">
        <v>1994</v>
      </c>
      <c r="B3267" s="72" t="s">
        <v>103</v>
      </c>
      <c r="C3267" s="73">
        <v>43</v>
      </c>
      <c r="D3267" s="73">
        <v>1349306.2135030716</v>
      </c>
      <c r="E3267" s="72">
        <v>188902.86989043001</v>
      </c>
      <c r="F3267" s="72" t="s">
        <v>70</v>
      </c>
      <c r="G3267" s="72" t="s">
        <v>71</v>
      </c>
      <c r="H3267" s="72" t="s">
        <v>72</v>
      </c>
    </row>
    <row r="3268" spans="1:8" x14ac:dyDescent="0.25">
      <c r="A3268" s="43" t="s">
        <v>2923</v>
      </c>
      <c r="B3268" s="43" t="s">
        <v>97</v>
      </c>
      <c r="C3268" s="46">
        <v>43</v>
      </c>
      <c r="D3268" s="46">
        <v>1220689.8731115302</v>
      </c>
      <c r="E3268" s="43">
        <v>122068.98731115303</v>
      </c>
      <c r="F3268" s="43" t="s">
        <v>70</v>
      </c>
      <c r="G3268" s="43" t="s">
        <v>71</v>
      </c>
      <c r="H3268" s="43" t="s">
        <v>72</v>
      </c>
    </row>
    <row r="3269" spans="1:8" x14ac:dyDescent="0.25">
      <c r="A3269" s="72" t="s">
        <v>2418</v>
      </c>
      <c r="B3269" s="72" t="s">
        <v>102</v>
      </c>
      <c r="C3269" s="73">
        <v>43</v>
      </c>
      <c r="D3269" s="73">
        <v>1289879.1222013917</v>
      </c>
      <c r="E3269" s="72">
        <v>154785.49466416702</v>
      </c>
      <c r="F3269" s="72" t="s">
        <v>70</v>
      </c>
      <c r="G3269" s="72" t="s">
        <v>71</v>
      </c>
      <c r="H3269" s="72" t="s">
        <v>72</v>
      </c>
    </row>
    <row r="3270" spans="1:8" x14ac:dyDescent="0.25">
      <c r="A3270" s="72" t="s">
        <v>4561</v>
      </c>
      <c r="B3270" s="72" t="s">
        <v>119</v>
      </c>
      <c r="C3270" s="73">
        <v>42</v>
      </c>
      <c r="D3270" s="73">
        <v>908191.32406583184</v>
      </c>
      <c r="E3270" s="72">
        <v>45409.566203291593</v>
      </c>
      <c r="F3270" s="72" t="s">
        <v>70</v>
      </c>
      <c r="G3270" s="72" t="s">
        <v>71</v>
      </c>
      <c r="H3270" s="72" t="s">
        <v>72</v>
      </c>
    </row>
    <row r="3271" spans="1:8" x14ac:dyDescent="0.25">
      <c r="A3271" s="72" t="s">
        <v>2404</v>
      </c>
      <c r="B3271" s="72" t="s">
        <v>73</v>
      </c>
      <c r="C3271" s="73">
        <v>42</v>
      </c>
      <c r="D3271" s="73">
        <v>1297523.5927948134</v>
      </c>
      <c r="E3271" s="72">
        <v>155702.83113537761</v>
      </c>
      <c r="F3271" s="72" t="s">
        <v>87</v>
      </c>
      <c r="G3271" s="72" t="s">
        <v>71</v>
      </c>
      <c r="H3271" s="72" t="s">
        <v>88</v>
      </c>
    </row>
    <row r="3272" spans="1:8" x14ac:dyDescent="0.25">
      <c r="A3272" s="43" t="s">
        <v>4725</v>
      </c>
      <c r="B3272" s="43" t="s">
        <v>73</v>
      </c>
      <c r="C3272" s="46">
        <v>42</v>
      </c>
      <c r="D3272" s="46">
        <v>983004.81290905841</v>
      </c>
      <c r="E3272" s="43">
        <v>39320.192516362338</v>
      </c>
      <c r="F3272" s="43" t="s">
        <v>87</v>
      </c>
      <c r="G3272" s="43" t="s">
        <v>71</v>
      </c>
      <c r="H3272" s="43" t="s">
        <v>88</v>
      </c>
    </row>
    <row r="3273" spans="1:8" x14ac:dyDescent="0.25">
      <c r="A3273" s="72" t="s">
        <v>2970</v>
      </c>
      <c r="B3273" s="72" t="s">
        <v>73</v>
      </c>
      <c r="C3273" s="73">
        <v>42</v>
      </c>
      <c r="D3273" s="73">
        <v>1191711.762906353</v>
      </c>
      <c r="E3273" s="72">
        <v>119171.17629063531</v>
      </c>
      <c r="F3273" s="72" t="s">
        <v>70</v>
      </c>
      <c r="G3273" s="72" t="s">
        <v>71</v>
      </c>
      <c r="H3273" s="72" t="s">
        <v>72</v>
      </c>
    </row>
    <row r="3274" spans="1:8" x14ac:dyDescent="0.25">
      <c r="A3274" s="43" t="s">
        <v>2715</v>
      </c>
      <c r="B3274" s="43" t="s">
        <v>73</v>
      </c>
      <c r="C3274" s="46">
        <v>42</v>
      </c>
      <c r="D3274" s="46">
        <v>1226955.578019971</v>
      </c>
      <c r="E3274" s="43">
        <v>134965.11358219682</v>
      </c>
      <c r="F3274" s="43" t="s">
        <v>70</v>
      </c>
      <c r="G3274" s="43" t="s">
        <v>71</v>
      </c>
      <c r="H3274" s="43" t="s">
        <v>72</v>
      </c>
    </row>
    <row r="3275" spans="1:8" x14ac:dyDescent="0.25">
      <c r="A3275" s="43" t="s">
        <v>3803</v>
      </c>
      <c r="B3275" s="43" t="s">
        <v>73</v>
      </c>
      <c r="C3275" s="46">
        <v>42</v>
      </c>
      <c r="D3275" s="46">
        <v>1057531.4066146347</v>
      </c>
      <c r="E3275" s="43">
        <v>74027.198463024426</v>
      </c>
      <c r="F3275" s="43" t="s">
        <v>70</v>
      </c>
      <c r="G3275" s="43" t="s">
        <v>71</v>
      </c>
      <c r="H3275" s="43" t="s">
        <v>72</v>
      </c>
    </row>
    <row r="3276" spans="1:8" x14ac:dyDescent="0.25">
      <c r="A3276" s="43" t="s">
        <v>2405</v>
      </c>
      <c r="B3276" s="43" t="s">
        <v>202</v>
      </c>
      <c r="C3276" s="46">
        <v>42</v>
      </c>
      <c r="D3276" s="46">
        <v>1297523.5927948134</v>
      </c>
      <c r="E3276" s="43">
        <v>155702.83113537761</v>
      </c>
      <c r="F3276" s="43" t="s">
        <v>87</v>
      </c>
      <c r="G3276" s="43" t="s">
        <v>71</v>
      </c>
      <c r="H3276" s="43" t="s">
        <v>88</v>
      </c>
    </row>
    <row r="3277" spans="1:8" x14ac:dyDescent="0.25">
      <c r="A3277" s="72" t="s">
        <v>3362</v>
      </c>
      <c r="B3277" s="72" t="s">
        <v>75</v>
      </c>
      <c r="C3277" s="73">
        <v>42</v>
      </c>
      <c r="D3277" s="73">
        <v>1192190.3159736046</v>
      </c>
      <c r="E3277" s="72">
        <v>95375.22527788837</v>
      </c>
      <c r="F3277" s="72" t="s">
        <v>87</v>
      </c>
      <c r="G3277" s="72" t="s">
        <v>71</v>
      </c>
      <c r="H3277" s="72" t="s">
        <v>88</v>
      </c>
    </row>
    <row r="3278" spans="1:8" x14ac:dyDescent="0.25">
      <c r="A3278" s="72" t="s">
        <v>4726</v>
      </c>
      <c r="B3278" s="72" t="s">
        <v>93</v>
      </c>
      <c r="C3278" s="73">
        <v>42</v>
      </c>
      <c r="D3278" s="73">
        <v>983004.81290905841</v>
      </c>
      <c r="E3278" s="72">
        <v>39320.192516362338</v>
      </c>
      <c r="F3278" s="72" t="s">
        <v>87</v>
      </c>
      <c r="G3278" s="72" t="s">
        <v>71</v>
      </c>
      <c r="H3278" s="72" t="s">
        <v>88</v>
      </c>
    </row>
    <row r="3279" spans="1:8" x14ac:dyDescent="0.25">
      <c r="A3279" s="72" t="s">
        <v>4362</v>
      </c>
      <c r="B3279" s="72" t="s">
        <v>77</v>
      </c>
      <c r="C3279" s="73">
        <v>42</v>
      </c>
      <c r="D3279" s="73">
        <v>1060909.5039149465</v>
      </c>
      <c r="E3279" s="72">
        <v>53045.475195747327</v>
      </c>
      <c r="F3279" s="72" t="s">
        <v>87</v>
      </c>
      <c r="G3279" s="72" t="s">
        <v>71</v>
      </c>
      <c r="H3279" s="72" t="s">
        <v>88</v>
      </c>
    </row>
    <row r="3280" spans="1:8" x14ac:dyDescent="0.25">
      <c r="A3280" s="43" t="s">
        <v>3969</v>
      </c>
      <c r="B3280" s="43" t="s">
        <v>176</v>
      </c>
      <c r="C3280" s="46">
        <v>42</v>
      </c>
      <c r="D3280" s="46">
        <v>971858.17891165265</v>
      </c>
      <c r="E3280" s="43">
        <v>68030.072523815674</v>
      </c>
      <c r="F3280" s="43" t="s">
        <v>106</v>
      </c>
      <c r="G3280" s="43" t="s">
        <v>71</v>
      </c>
      <c r="H3280" s="43" t="s">
        <v>72</v>
      </c>
    </row>
    <row r="3281" spans="1:8" x14ac:dyDescent="0.25">
      <c r="A3281" s="72" t="s">
        <v>4783</v>
      </c>
      <c r="B3281" s="72" t="s">
        <v>176</v>
      </c>
      <c r="C3281" s="73">
        <v>42</v>
      </c>
      <c r="D3281" s="73">
        <v>893897.40267427242</v>
      </c>
      <c r="E3281" s="72">
        <v>35755.896106970897</v>
      </c>
      <c r="F3281" s="72" t="s">
        <v>106</v>
      </c>
      <c r="G3281" s="72" t="s">
        <v>71</v>
      </c>
      <c r="H3281" s="72" t="s">
        <v>72</v>
      </c>
    </row>
    <row r="3282" spans="1:8" x14ac:dyDescent="0.25">
      <c r="A3282" s="43" t="s">
        <v>4145</v>
      </c>
      <c r="B3282" s="43" t="s">
        <v>383</v>
      </c>
      <c r="C3282" s="46">
        <v>42</v>
      </c>
      <c r="D3282" s="46">
        <v>1024691.9825228963</v>
      </c>
      <c r="E3282" s="43">
        <v>61481.518951373786</v>
      </c>
      <c r="F3282" s="43" t="s">
        <v>78</v>
      </c>
      <c r="G3282" s="43" t="s">
        <v>71</v>
      </c>
      <c r="H3282" s="43" t="s">
        <v>72</v>
      </c>
    </row>
    <row r="3283" spans="1:8" x14ac:dyDescent="0.25">
      <c r="A3283" s="43" t="s">
        <v>4181</v>
      </c>
      <c r="B3283" s="43" t="s">
        <v>97</v>
      </c>
      <c r="C3283" s="46">
        <v>42</v>
      </c>
      <c r="D3283" s="46">
        <v>994656.34258773061</v>
      </c>
      <c r="E3283" s="43">
        <v>59679.380555263851</v>
      </c>
      <c r="F3283" s="43" t="s">
        <v>70</v>
      </c>
      <c r="G3283" s="43" t="s">
        <v>71</v>
      </c>
      <c r="H3283" s="43" t="s">
        <v>72</v>
      </c>
    </row>
    <row r="3284" spans="1:8" x14ac:dyDescent="0.25">
      <c r="A3284" s="43" t="s">
        <v>3640</v>
      </c>
      <c r="B3284" s="43" t="s">
        <v>73</v>
      </c>
      <c r="C3284" s="46">
        <v>42</v>
      </c>
      <c r="D3284" s="46">
        <v>1156821.4290202076</v>
      </c>
      <c r="E3284" s="43">
        <v>80977.500031414529</v>
      </c>
      <c r="F3284" s="43" t="s">
        <v>87</v>
      </c>
      <c r="G3284" s="43" t="s">
        <v>71</v>
      </c>
      <c r="H3284" s="43" t="s">
        <v>88</v>
      </c>
    </row>
    <row r="3285" spans="1:8" x14ac:dyDescent="0.25">
      <c r="A3285" s="72" t="s">
        <v>3691</v>
      </c>
      <c r="B3285" s="72" t="s">
        <v>75</v>
      </c>
      <c r="C3285" s="73">
        <v>42</v>
      </c>
      <c r="D3285" s="73">
        <v>989148.75736415165</v>
      </c>
      <c r="E3285" s="72">
        <v>79131.900589132129</v>
      </c>
      <c r="F3285" s="72" t="s">
        <v>106</v>
      </c>
      <c r="G3285" s="72" t="s">
        <v>71</v>
      </c>
      <c r="H3285" s="72" t="s">
        <v>72</v>
      </c>
    </row>
    <row r="3286" spans="1:8" x14ac:dyDescent="0.25">
      <c r="A3286" s="43" t="s">
        <v>4950</v>
      </c>
      <c r="B3286" s="43" t="s">
        <v>81</v>
      </c>
      <c r="C3286" s="46">
        <v>42</v>
      </c>
      <c r="D3286" s="46">
        <v>843719.61786142609</v>
      </c>
      <c r="E3286" s="43">
        <v>25311.588535842788</v>
      </c>
      <c r="F3286" s="43" t="s">
        <v>106</v>
      </c>
      <c r="G3286" s="43" t="s">
        <v>71</v>
      </c>
      <c r="H3286" s="43" t="s">
        <v>72</v>
      </c>
    </row>
    <row r="3287" spans="1:8" x14ac:dyDescent="0.25">
      <c r="A3287" s="43" t="s">
        <v>4727</v>
      </c>
      <c r="B3287" s="43" t="s">
        <v>73</v>
      </c>
      <c r="C3287" s="46">
        <v>42</v>
      </c>
      <c r="D3287" s="46">
        <v>983004.81290905841</v>
      </c>
      <c r="E3287" s="43">
        <v>39320.192516362338</v>
      </c>
      <c r="F3287" s="43" t="s">
        <v>87</v>
      </c>
      <c r="G3287" s="43" t="s">
        <v>71</v>
      </c>
      <c r="H3287" s="43" t="s">
        <v>88</v>
      </c>
    </row>
    <row r="3288" spans="1:8" x14ac:dyDescent="0.25">
      <c r="A3288" s="72" t="s">
        <v>3970</v>
      </c>
      <c r="B3288" s="72" t="s">
        <v>75</v>
      </c>
      <c r="C3288" s="73">
        <v>42</v>
      </c>
      <c r="D3288" s="73">
        <v>971858.17891165265</v>
      </c>
      <c r="E3288" s="72">
        <v>68030.072523815674</v>
      </c>
      <c r="F3288" s="72" t="s">
        <v>106</v>
      </c>
      <c r="G3288" s="72" t="s">
        <v>71</v>
      </c>
      <c r="H3288" s="72" t="s">
        <v>72</v>
      </c>
    </row>
    <row r="3289" spans="1:8" x14ac:dyDescent="0.25">
      <c r="A3289" s="72" t="s">
        <v>4246</v>
      </c>
      <c r="B3289" s="72" t="s">
        <v>75</v>
      </c>
      <c r="C3289" s="73">
        <v>42</v>
      </c>
      <c r="D3289" s="73">
        <v>951536.54154618422</v>
      </c>
      <c r="E3289" s="72">
        <v>57092.192492771064</v>
      </c>
      <c r="F3289" s="72" t="s">
        <v>106</v>
      </c>
      <c r="G3289" s="72" t="s">
        <v>71</v>
      </c>
      <c r="H3289" s="72" t="s">
        <v>72</v>
      </c>
    </row>
    <row r="3290" spans="1:8" x14ac:dyDescent="0.25">
      <c r="A3290" s="72" t="s">
        <v>4951</v>
      </c>
      <c r="B3290" s="72" t="s">
        <v>75</v>
      </c>
      <c r="C3290" s="73">
        <v>42</v>
      </c>
      <c r="D3290" s="73">
        <v>843719.61786142609</v>
      </c>
      <c r="E3290" s="72">
        <v>25311.588535842788</v>
      </c>
      <c r="F3290" s="72" t="s">
        <v>106</v>
      </c>
      <c r="G3290" s="72" t="s">
        <v>71</v>
      </c>
      <c r="H3290" s="72" t="s">
        <v>72</v>
      </c>
    </row>
    <row r="3291" spans="1:8" x14ac:dyDescent="0.25">
      <c r="A3291" s="43" t="s">
        <v>3165</v>
      </c>
      <c r="B3291" s="43" t="s">
        <v>75</v>
      </c>
      <c r="C3291" s="46">
        <v>42</v>
      </c>
      <c r="D3291" s="46">
        <v>1186874.7340594379</v>
      </c>
      <c r="E3291" s="43">
        <v>106818.7260653494</v>
      </c>
      <c r="F3291" s="43" t="s">
        <v>78</v>
      </c>
      <c r="G3291" s="43" t="s">
        <v>71</v>
      </c>
      <c r="H3291" s="43" t="s">
        <v>72</v>
      </c>
    </row>
    <row r="3292" spans="1:8" x14ac:dyDescent="0.25">
      <c r="A3292" s="72" t="s">
        <v>2467</v>
      </c>
      <c r="B3292" s="72" t="s">
        <v>139</v>
      </c>
      <c r="C3292" s="73">
        <v>42</v>
      </c>
      <c r="D3292" s="73">
        <v>1259291.9596917988</v>
      </c>
      <c r="E3292" s="72">
        <v>151115.03516301588</v>
      </c>
      <c r="F3292" s="72" t="s">
        <v>70</v>
      </c>
      <c r="G3292" s="72" t="s">
        <v>71</v>
      </c>
      <c r="H3292" s="72" t="s">
        <v>72</v>
      </c>
    </row>
    <row r="3293" spans="1:8" x14ac:dyDescent="0.25">
      <c r="A3293" s="72" t="s">
        <v>3804</v>
      </c>
      <c r="B3293" s="72" t="s">
        <v>73</v>
      </c>
      <c r="C3293" s="73">
        <v>42</v>
      </c>
      <c r="D3293" s="73">
        <v>1057531.4066146347</v>
      </c>
      <c r="E3293" s="72">
        <v>74027.198463024426</v>
      </c>
      <c r="F3293" s="72" t="s">
        <v>70</v>
      </c>
      <c r="G3293" s="72" t="s">
        <v>71</v>
      </c>
      <c r="H3293" s="72" t="s">
        <v>72</v>
      </c>
    </row>
    <row r="3294" spans="1:8" x14ac:dyDescent="0.25">
      <c r="A3294" s="43" t="s">
        <v>2048</v>
      </c>
      <c r="B3294" s="43" t="s">
        <v>211</v>
      </c>
      <c r="C3294" s="46">
        <v>42</v>
      </c>
      <c r="D3294" s="46">
        <v>1317337.0256143699</v>
      </c>
      <c r="E3294" s="43">
        <v>184427.18358601176</v>
      </c>
      <c r="F3294" s="43" t="s">
        <v>70</v>
      </c>
      <c r="G3294" s="43" t="s">
        <v>71</v>
      </c>
      <c r="H3294" s="43" t="s">
        <v>72</v>
      </c>
    </row>
    <row r="3295" spans="1:8" x14ac:dyDescent="0.25">
      <c r="A3295" s="43" t="s">
        <v>4952</v>
      </c>
      <c r="B3295" s="43" t="s">
        <v>73</v>
      </c>
      <c r="C3295" s="46">
        <v>42</v>
      </c>
      <c r="D3295" s="46">
        <v>843719.61786142609</v>
      </c>
      <c r="E3295" s="43">
        <v>25311.588535842788</v>
      </c>
      <c r="F3295" s="43" t="s">
        <v>106</v>
      </c>
      <c r="G3295" s="43" t="s">
        <v>71</v>
      </c>
      <c r="H3295" s="43" t="s">
        <v>72</v>
      </c>
    </row>
    <row r="3296" spans="1:8" x14ac:dyDescent="0.25">
      <c r="A3296" s="43" t="s">
        <v>2458</v>
      </c>
      <c r="B3296" s="43" t="s">
        <v>83</v>
      </c>
      <c r="C3296" s="46">
        <v>42</v>
      </c>
      <c r="D3296" s="46">
        <v>1263649.0877181618</v>
      </c>
      <c r="E3296" s="43">
        <v>151637.8905261794</v>
      </c>
      <c r="F3296" s="43" t="s">
        <v>84</v>
      </c>
      <c r="G3296" s="43" t="s">
        <v>71</v>
      </c>
      <c r="H3296" s="43" t="s">
        <v>72</v>
      </c>
    </row>
    <row r="3297" spans="1:8" x14ac:dyDescent="0.25">
      <c r="A3297" s="43" t="s">
        <v>3065</v>
      </c>
      <c r="B3297" s="43" t="s">
        <v>93</v>
      </c>
      <c r="C3297" s="46">
        <v>42</v>
      </c>
      <c r="D3297" s="46">
        <v>1029938.1436709332</v>
      </c>
      <c r="E3297" s="43">
        <v>113293.19580380266</v>
      </c>
      <c r="F3297" s="43" t="s">
        <v>106</v>
      </c>
      <c r="G3297" s="43" t="s">
        <v>71</v>
      </c>
      <c r="H3297" s="43" t="s">
        <v>72</v>
      </c>
    </row>
    <row r="3298" spans="1:8" x14ac:dyDescent="0.25">
      <c r="A3298" s="43" t="s">
        <v>3219</v>
      </c>
      <c r="B3298" s="43" t="s">
        <v>73</v>
      </c>
      <c r="C3298" s="46">
        <v>42</v>
      </c>
      <c r="D3298" s="46">
        <v>1152737.5525440155</v>
      </c>
      <c r="E3298" s="43">
        <v>103746.37972896139</v>
      </c>
      <c r="F3298" s="43" t="s">
        <v>70</v>
      </c>
      <c r="G3298" s="43" t="s">
        <v>71</v>
      </c>
      <c r="H3298" s="43" t="s">
        <v>72</v>
      </c>
    </row>
    <row r="3299" spans="1:8" x14ac:dyDescent="0.25">
      <c r="A3299" s="43" t="s">
        <v>2889</v>
      </c>
      <c r="B3299" s="43" t="s">
        <v>93</v>
      </c>
      <c r="C3299" s="46">
        <v>42</v>
      </c>
      <c r="D3299" s="46">
        <v>1041089.9569643548</v>
      </c>
      <c r="E3299" s="43">
        <v>124930.79483572258</v>
      </c>
      <c r="F3299" s="43" t="s">
        <v>106</v>
      </c>
      <c r="G3299" s="43" t="s">
        <v>71</v>
      </c>
      <c r="H3299" s="43" t="s">
        <v>72</v>
      </c>
    </row>
    <row r="3300" spans="1:8" x14ac:dyDescent="0.25">
      <c r="A3300" s="43" t="s">
        <v>3805</v>
      </c>
      <c r="B3300" s="43" t="s">
        <v>211</v>
      </c>
      <c r="C3300" s="46">
        <v>42</v>
      </c>
      <c r="D3300" s="46">
        <v>1057531.4066146347</v>
      </c>
      <c r="E3300" s="43">
        <v>74027.198463024426</v>
      </c>
      <c r="F3300" s="43" t="s">
        <v>70</v>
      </c>
      <c r="G3300" s="43" t="s">
        <v>71</v>
      </c>
      <c r="H3300" s="43" t="s">
        <v>72</v>
      </c>
    </row>
    <row r="3301" spans="1:8" x14ac:dyDescent="0.25">
      <c r="A3301" s="72" t="s">
        <v>2244</v>
      </c>
      <c r="B3301" s="72" t="s">
        <v>73</v>
      </c>
      <c r="C3301" s="73">
        <v>42</v>
      </c>
      <c r="D3301" s="73">
        <v>1289284.1527261485</v>
      </c>
      <c r="E3301" s="72">
        <v>167606.9398543993</v>
      </c>
      <c r="F3301" s="72" t="s">
        <v>70</v>
      </c>
      <c r="G3301" s="72" t="s">
        <v>71</v>
      </c>
      <c r="H3301" s="72" t="s">
        <v>72</v>
      </c>
    </row>
    <row r="3302" spans="1:8" x14ac:dyDescent="0.25">
      <c r="A3302" s="72" t="s">
        <v>3220</v>
      </c>
      <c r="B3302" s="72" t="s">
        <v>211</v>
      </c>
      <c r="C3302" s="73">
        <v>42</v>
      </c>
      <c r="D3302" s="73">
        <v>1152737.5525440155</v>
      </c>
      <c r="E3302" s="72">
        <v>103746.37972896139</v>
      </c>
      <c r="F3302" s="72" t="s">
        <v>70</v>
      </c>
      <c r="G3302" s="72" t="s">
        <v>71</v>
      </c>
      <c r="H3302" s="72" t="s">
        <v>72</v>
      </c>
    </row>
    <row r="3303" spans="1:8" x14ac:dyDescent="0.25">
      <c r="A3303" s="72" t="s">
        <v>4545</v>
      </c>
      <c r="B3303" s="72" t="s">
        <v>252</v>
      </c>
      <c r="C3303" s="73">
        <v>42</v>
      </c>
      <c r="D3303" s="73">
        <v>926640.73834141949</v>
      </c>
      <c r="E3303" s="72">
        <v>46332.036917070975</v>
      </c>
      <c r="F3303" s="72" t="s">
        <v>106</v>
      </c>
      <c r="G3303" s="72" t="s">
        <v>71</v>
      </c>
      <c r="H3303" s="72" t="s">
        <v>72</v>
      </c>
    </row>
    <row r="3304" spans="1:8" x14ac:dyDescent="0.25">
      <c r="A3304" s="43" t="s">
        <v>2971</v>
      </c>
      <c r="B3304" s="43" t="s">
        <v>439</v>
      </c>
      <c r="C3304" s="46">
        <v>42</v>
      </c>
      <c r="D3304" s="46">
        <v>1191711.762906353</v>
      </c>
      <c r="E3304" s="43">
        <v>119171.17629063531</v>
      </c>
      <c r="F3304" s="43" t="s">
        <v>70</v>
      </c>
      <c r="G3304" s="43" t="s">
        <v>71</v>
      </c>
      <c r="H3304" s="43" t="s">
        <v>72</v>
      </c>
    </row>
    <row r="3305" spans="1:8" x14ac:dyDescent="0.25">
      <c r="A3305" s="72" t="s">
        <v>3452</v>
      </c>
      <c r="B3305" s="72" t="s">
        <v>97</v>
      </c>
      <c r="C3305" s="73">
        <v>42</v>
      </c>
      <c r="D3305" s="73">
        <v>1004267.7511793437</v>
      </c>
      <c r="E3305" s="72">
        <v>90384.097606140931</v>
      </c>
      <c r="F3305" s="72" t="s">
        <v>106</v>
      </c>
      <c r="G3305" s="72" t="s">
        <v>71</v>
      </c>
      <c r="H3305" s="72" t="s">
        <v>72</v>
      </c>
    </row>
    <row r="3306" spans="1:8" x14ac:dyDescent="0.25">
      <c r="A3306" s="43" t="s">
        <v>3489</v>
      </c>
      <c r="B3306" s="43" t="s">
        <v>211</v>
      </c>
      <c r="C3306" s="46">
        <v>42</v>
      </c>
      <c r="D3306" s="46">
        <v>1108747.6185325012</v>
      </c>
      <c r="E3306" s="43">
        <v>88699.809482600089</v>
      </c>
      <c r="F3306" s="43" t="s">
        <v>70</v>
      </c>
      <c r="G3306" s="43" t="s">
        <v>71</v>
      </c>
      <c r="H3306" s="43" t="s">
        <v>72</v>
      </c>
    </row>
    <row r="3307" spans="1:8" x14ac:dyDescent="0.25">
      <c r="A3307" s="72" t="s">
        <v>2716</v>
      </c>
      <c r="B3307" s="72" t="s">
        <v>73</v>
      </c>
      <c r="C3307" s="73">
        <v>42</v>
      </c>
      <c r="D3307" s="73">
        <v>1226955.578019971</v>
      </c>
      <c r="E3307" s="72">
        <v>134965.11358219682</v>
      </c>
      <c r="F3307" s="72" t="s">
        <v>70</v>
      </c>
      <c r="G3307" s="72" t="s">
        <v>71</v>
      </c>
      <c r="H3307" s="72" t="s">
        <v>72</v>
      </c>
    </row>
    <row r="3308" spans="1:8" x14ac:dyDescent="0.25">
      <c r="A3308" s="72" t="s">
        <v>3641</v>
      </c>
      <c r="B3308" s="72" t="s">
        <v>234</v>
      </c>
      <c r="C3308" s="73">
        <v>42</v>
      </c>
      <c r="D3308" s="73">
        <v>1156821.4290202076</v>
      </c>
      <c r="E3308" s="72">
        <v>80977.500031414529</v>
      </c>
      <c r="F3308" s="72" t="s">
        <v>87</v>
      </c>
      <c r="G3308" s="72" t="s">
        <v>71</v>
      </c>
      <c r="H3308" s="72" t="s">
        <v>88</v>
      </c>
    </row>
    <row r="3309" spans="1:8" x14ac:dyDescent="0.25">
      <c r="A3309" s="43" t="s">
        <v>3692</v>
      </c>
      <c r="B3309" s="43" t="s">
        <v>75</v>
      </c>
      <c r="C3309" s="46">
        <v>42</v>
      </c>
      <c r="D3309" s="46">
        <v>989148.75736415165</v>
      </c>
      <c r="E3309" s="43">
        <v>79131.900589132129</v>
      </c>
      <c r="F3309" s="43" t="s">
        <v>106</v>
      </c>
      <c r="G3309" s="43" t="s">
        <v>71</v>
      </c>
      <c r="H3309" s="43" t="s">
        <v>72</v>
      </c>
    </row>
    <row r="3310" spans="1:8" x14ac:dyDescent="0.25">
      <c r="A3310" s="43" t="s">
        <v>2883</v>
      </c>
      <c r="B3310" s="43" t="s">
        <v>93</v>
      </c>
      <c r="C3310" s="46">
        <v>42</v>
      </c>
      <c r="D3310" s="46">
        <v>1250205.9802182843</v>
      </c>
      <c r="E3310" s="43">
        <v>125020.59802182844</v>
      </c>
      <c r="F3310" s="43" t="s">
        <v>87</v>
      </c>
      <c r="G3310" s="43" t="s">
        <v>71</v>
      </c>
      <c r="H3310" s="43" t="s">
        <v>88</v>
      </c>
    </row>
    <row r="3311" spans="1:8" x14ac:dyDescent="0.25">
      <c r="A3311" s="43" t="s">
        <v>3642</v>
      </c>
      <c r="B3311" s="43" t="s">
        <v>73</v>
      </c>
      <c r="C3311" s="46">
        <v>42</v>
      </c>
      <c r="D3311" s="46">
        <v>1156821.4290202076</v>
      </c>
      <c r="E3311" s="43">
        <v>80977.500031414529</v>
      </c>
      <c r="F3311" s="43" t="s">
        <v>87</v>
      </c>
      <c r="G3311" s="43" t="s">
        <v>71</v>
      </c>
      <c r="H3311" s="43" t="s">
        <v>88</v>
      </c>
    </row>
    <row r="3312" spans="1:8" x14ac:dyDescent="0.25">
      <c r="A3312" s="43" t="s">
        <v>4001</v>
      </c>
      <c r="B3312" s="43" t="s">
        <v>93</v>
      </c>
      <c r="C3312" s="46">
        <v>42</v>
      </c>
      <c r="D3312" s="46">
        <v>1114581.203812883</v>
      </c>
      <c r="E3312" s="43">
        <v>66874.872228772976</v>
      </c>
      <c r="F3312" s="43" t="s">
        <v>87</v>
      </c>
      <c r="G3312" s="43" t="s">
        <v>71</v>
      </c>
      <c r="H3312" s="43" t="s">
        <v>88</v>
      </c>
    </row>
    <row r="3313" spans="1:8" x14ac:dyDescent="0.25">
      <c r="A3313" s="72" t="s">
        <v>2406</v>
      </c>
      <c r="B3313" s="72" t="s">
        <v>73</v>
      </c>
      <c r="C3313" s="73">
        <v>42</v>
      </c>
      <c r="D3313" s="73">
        <v>1297523.5927948134</v>
      </c>
      <c r="E3313" s="72">
        <v>155702.83113537761</v>
      </c>
      <c r="F3313" s="72" t="s">
        <v>87</v>
      </c>
      <c r="G3313" s="72" t="s">
        <v>71</v>
      </c>
      <c r="H3313" s="72" t="s">
        <v>88</v>
      </c>
    </row>
    <row r="3314" spans="1:8" x14ac:dyDescent="0.25">
      <c r="A3314" s="43" t="s">
        <v>4562</v>
      </c>
      <c r="B3314" s="43" t="s">
        <v>102</v>
      </c>
      <c r="C3314" s="46">
        <v>42</v>
      </c>
      <c r="D3314" s="46">
        <v>908191.32406583184</v>
      </c>
      <c r="E3314" s="43">
        <v>45409.566203291593</v>
      </c>
      <c r="F3314" s="43" t="s">
        <v>70</v>
      </c>
      <c r="G3314" s="43" t="s">
        <v>71</v>
      </c>
      <c r="H3314" s="43" t="s">
        <v>72</v>
      </c>
    </row>
    <row r="3315" spans="1:8" x14ac:dyDescent="0.25">
      <c r="A3315" s="72" t="s">
        <v>4182</v>
      </c>
      <c r="B3315" s="72" t="s">
        <v>85</v>
      </c>
      <c r="C3315" s="73">
        <v>42</v>
      </c>
      <c r="D3315" s="73">
        <v>994656.34258773061</v>
      </c>
      <c r="E3315" s="72">
        <v>59679.380555263851</v>
      </c>
      <c r="F3315" s="72" t="s">
        <v>70</v>
      </c>
      <c r="G3315" s="72" t="s">
        <v>71</v>
      </c>
      <c r="H3315" s="72" t="s">
        <v>72</v>
      </c>
    </row>
    <row r="3316" spans="1:8" x14ac:dyDescent="0.25">
      <c r="A3316" s="43" t="s">
        <v>3453</v>
      </c>
      <c r="B3316" s="43" t="s">
        <v>77</v>
      </c>
      <c r="C3316" s="46">
        <v>42</v>
      </c>
      <c r="D3316" s="46">
        <v>1004267.7511793437</v>
      </c>
      <c r="E3316" s="43">
        <v>90384.097606140931</v>
      </c>
      <c r="F3316" s="43" t="s">
        <v>106</v>
      </c>
      <c r="G3316" s="43" t="s">
        <v>71</v>
      </c>
      <c r="H3316" s="43" t="s">
        <v>72</v>
      </c>
    </row>
    <row r="3317" spans="1:8" x14ac:dyDescent="0.25">
      <c r="A3317" s="43" t="s">
        <v>3107</v>
      </c>
      <c r="B3317" s="43" t="s">
        <v>73</v>
      </c>
      <c r="C3317" s="46">
        <v>42</v>
      </c>
      <c r="D3317" s="46">
        <v>1222899.0425042768</v>
      </c>
      <c r="E3317" s="43">
        <v>110060.91382538491</v>
      </c>
      <c r="F3317" s="43" t="s">
        <v>87</v>
      </c>
      <c r="G3317" s="43" t="s">
        <v>71</v>
      </c>
      <c r="H3317" s="43" t="s">
        <v>88</v>
      </c>
    </row>
    <row r="3318" spans="1:8" x14ac:dyDescent="0.25">
      <c r="A3318" s="72" t="s">
        <v>2190</v>
      </c>
      <c r="B3318" s="72" t="s">
        <v>93</v>
      </c>
      <c r="C3318" s="73">
        <v>42</v>
      </c>
      <c r="D3318" s="73">
        <v>1318447.0673656086</v>
      </c>
      <c r="E3318" s="72">
        <v>171398.11875752913</v>
      </c>
      <c r="F3318" s="72" t="s">
        <v>87</v>
      </c>
      <c r="G3318" s="72" t="s">
        <v>71</v>
      </c>
      <c r="H3318" s="72" t="s">
        <v>88</v>
      </c>
    </row>
    <row r="3319" spans="1:8" x14ac:dyDescent="0.25">
      <c r="A3319" s="43" t="s">
        <v>4363</v>
      </c>
      <c r="B3319" s="43" t="s">
        <v>73</v>
      </c>
      <c r="C3319" s="46">
        <v>42</v>
      </c>
      <c r="D3319" s="46">
        <v>1060909.5039149465</v>
      </c>
      <c r="E3319" s="43">
        <v>53045.475195747327</v>
      </c>
      <c r="F3319" s="43" t="s">
        <v>87</v>
      </c>
      <c r="G3319" s="43" t="s">
        <v>71</v>
      </c>
      <c r="H3319" s="43" t="s">
        <v>88</v>
      </c>
    </row>
    <row r="3320" spans="1:8" x14ac:dyDescent="0.25">
      <c r="A3320" s="43" t="s">
        <v>2245</v>
      </c>
      <c r="B3320" s="43" t="s">
        <v>74</v>
      </c>
      <c r="C3320" s="46">
        <v>42</v>
      </c>
      <c r="D3320" s="46">
        <v>1289284.1527261485</v>
      </c>
      <c r="E3320" s="43">
        <v>167606.9398543993</v>
      </c>
      <c r="F3320" s="43" t="s">
        <v>70</v>
      </c>
      <c r="G3320" s="43" t="s">
        <v>71</v>
      </c>
      <c r="H3320" s="43" t="s">
        <v>72</v>
      </c>
    </row>
    <row r="3321" spans="1:8" x14ac:dyDescent="0.25">
      <c r="A3321" s="43" t="s">
        <v>2717</v>
      </c>
      <c r="B3321" s="43" t="s">
        <v>74</v>
      </c>
      <c r="C3321" s="46">
        <v>42</v>
      </c>
      <c r="D3321" s="46">
        <v>1226955.578019971</v>
      </c>
      <c r="E3321" s="43">
        <v>134965.11358219682</v>
      </c>
      <c r="F3321" s="43" t="s">
        <v>70</v>
      </c>
      <c r="G3321" s="43" t="s">
        <v>71</v>
      </c>
      <c r="H3321" s="43" t="s">
        <v>72</v>
      </c>
    </row>
    <row r="3322" spans="1:8" x14ac:dyDescent="0.25">
      <c r="A3322" s="72" t="s">
        <v>2718</v>
      </c>
      <c r="B3322" s="72" t="s">
        <v>74</v>
      </c>
      <c r="C3322" s="73">
        <v>42</v>
      </c>
      <c r="D3322" s="73">
        <v>1226955.578019971</v>
      </c>
      <c r="E3322" s="72">
        <v>134965.11358219682</v>
      </c>
      <c r="F3322" s="72" t="s">
        <v>70</v>
      </c>
      <c r="G3322" s="72" t="s">
        <v>71</v>
      </c>
      <c r="H3322" s="72" t="s">
        <v>72</v>
      </c>
    </row>
    <row r="3323" spans="1:8" x14ac:dyDescent="0.25">
      <c r="A3323" s="72" t="s">
        <v>4002</v>
      </c>
      <c r="B3323" s="72" t="s">
        <v>93</v>
      </c>
      <c r="C3323" s="73">
        <v>42</v>
      </c>
      <c r="D3323" s="73">
        <v>1114581.203812883</v>
      </c>
      <c r="E3323" s="72">
        <v>66874.872228772976</v>
      </c>
      <c r="F3323" s="72" t="s">
        <v>87</v>
      </c>
      <c r="G3323" s="72" t="s">
        <v>71</v>
      </c>
      <c r="H3323" s="72" t="s">
        <v>88</v>
      </c>
    </row>
    <row r="3324" spans="1:8" x14ac:dyDescent="0.25">
      <c r="A3324" s="43" t="s">
        <v>3221</v>
      </c>
      <c r="B3324" s="43" t="s">
        <v>97</v>
      </c>
      <c r="C3324" s="46">
        <v>42</v>
      </c>
      <c r="D3324" s="46">
        <v>1152737.5525440155</v>
      </c>
      <c r="E3324" s="43">
        <v>103746.37972896139</v>
      </c>
      <c r="F3324" s="43" t="s">
        <v>70</v>
      </c>
      <c r="G3324" s="43" t="s">
        <v>71</v>
      </c>
      <c r="H3324" s="43" t="s">
        <v>72</v>
      </c>
    </row>
    <row r="3325" spans="1:8" x14ac:dyDescent="0.25">
      <c r="A3325" s="72" t="s">
        <v>3454</v>
      </c>
      <c r="B3325" s="72" t="s">
        <v>257</v>
      </c>
      <c r="C3325" s="73">
        <v>42</v>
      </c>
      <c r="D3325" s="73">
        <v>1004267.7511793437</v>
      </c>
      <c r="E3325" s="72">
        <v>90384.097606140931</v>
      </c>
      <c r="F3325" s="72" t="s">
        <v>106</v>
      </c>
      <c r="G3325" s="72" t="s">
        <v>71</v>
      </c>
      <c r="H3325" s="72" t="s">
        <v>72</v>
      </c>
    </row>
    <row r="3326" spans="1:8" x14ac:dyDescent="0.25">
      <c r="A3326" s="72" t="s">
        <v>2972</v>
      </c>
      <c r="B3326" s="72" t="s">
        <v>73</v>
      </c>
      <c r="C3326" s="73">
        <v>42</v>
      </c>
      <c r="D3326" s="73">
        <v>1191711.762906353</v>
      </c>
      <c r="E3326" s="72">
        <v>119171.17629063531</v>
      </c>
      <c r="F3326" s="72" t="s">
        <v>70</v>
      </c>
      <c r="G3326" s="72" t="s">
        <v>71</v>
      </c>
      <c r="H3326" s="72" t="s">
        <v>72</v>
      </c>
    </row>
    <row r="3327" spans="1:8" x14ac:dyDescent="0.25">
      <c r="A3327" s="72" t="s">
        <v>3772</v>
      </c>
      <c r="B3327" s="72" t="s">
        <v>83</v>
      </c>
      <c r="C3327" s="73">
        <v>42</v>
      </c>
      <c r="D3327" s="73">
        <v>1089198.3896394626</v>
      </c>
      <c r="E3327" s="72">
        <v>76243.887274762368</v>
      </c>
      <c r="F3327" s="72" t="s">
        <v>78</v>
      </c>
      <c r="G3327" s="72" t="s">
        <v>71</v>
      </c>
      <c r="H3327" s="72" t="s">
        <v>72</v>
      </c>
    </row>
    <row r="3328" spans="1:8" x14ac:dyDescent="0.25">
      <c r="A3328" s="72" t="s">
        <v>2232</v>
      </c>
      <c r="B3328" s="72" t="s">
        <v>75</v>
      </c>
      <c r="C3328" s="73">
        <v>41</v>
      </c>
      <c r="D3328" s="73">
        <v>1294703.0641996698</v>
      </c>
      <c r="E3328" s="72">
        <v>168311.39834595707</v>
      </c>
      <c r="F3328" s="72" t="s">
        <v>78</v>
      </c>
      <c r="G3328" s="72" t="s">
        <v>71</v>
      </c>
      <c r="H3328" s="72" t="s">
        <v>72</v>
      </c>
    </row>
    <row r="3329" spans="1:8" x14ac:dyDescent="0.25">
      <c r="A3329" s="72" t="s">
        <v>3968</v>
      </c>
      <c r="B3329" s="72" t="s">
        <v>176</v>
      </c>
      <c r="C3329" s="73">
        <v>41</v>
      </c>
      <c r="D3329" s="73">
        <v>972493.87593778619</v>
      </c>
      <c r="E3329" s="72">
        <v>68074.571315645022</v>
      </c>
      <c r="F3329" s="72" t="s">
        <v>84</v>
      </c>
      <c r="G3329" s="72" t="s">
        <v>71</v>
      </c>
      <c r="H3329" s="72" t="s">
        <v>72</v>
      </c>
    </row>
    <row r="3330" spans="1:8" x14ac:dyDescent="0.25">
      <c r="A3330" s="72" t="s">
        <v>3530</v>
      </c>
      <c r="B3330" s="72" t="s">
        <v>176</v>
      </c>
      <c r="C3330" s="73">
        <v>41</v>
      </c>
      <c r="D3330" s="73">
        <v>1081773.4715178418</v>
      </c>
      <c r="E3330" s="72">
        <v>86541.877721427343</v>
      </c>
      <c r="F3330" s="72" t="s">
        <v>70</v>
      </c>
      <c r="G3330" s="72" t="s">
        <v>71</v>
      </c>
      <c r="H3330" s="72" t="s">
        <v>72</v>
      </c>
    </row>
    <row r="3331" spans="1:8" x14ac:dyDescent="0.25">
      <c r="A3331" s="72" t="s">
        <v>3022</v>
      </c>
      <c r="B3331" s="72" t="s">
        <v>73</v>
      </c>
      <c r="C3331" s="73">
        <v>41</v>
      </c>
      <c r="D3331" s="73">
        <v>1162762.2791208874</v>
      </c>
      <c r="E3331" s="72">
        <v>116276.22791208874</v>
      </c>
      <c r="F3331" s="72" t="s">
        <v>70</v>
      </c>
      <c r="G3331" s="72" t="s">
        <v>71</v>
      </c>
      <c r="H3331" s="72" t="s">
        <v>72</v>
      </c>
    </row>
    <row r="3332" spans="1:8" x14ac:dyDescent="0.25">
      <c r="A3332" s="43" t="s">
        <v>4734</v>
      </c>
      <c r="B3332" s="43" t="s">
        <v>93</v>
      </c>
      <c r="C3332" s="46">
        <v>41</v>
      </c>
      <c r="D3332" s="46">
        <v>959101.53006514057</v>
      </c>
      <c r="E3332" s="43">
        <v>38364.061202605626</v>
      </c>
      <c r="F3332" s="43" t="s">
        <v>87</v>
      </c>
      <c r="G3332" s="43" t="s">
        <v>71</v>
      </c>
      <c r="H3332" s="43" t="s">
        <v>88</v>
      </c>
    </row>
    <row r="3333" spans="1:8" x14ac:dyDescent="0.25">
      <c r="A3333" s="72" t="s">
        <v>2690</v>
      </c>
      <c r="B3333" s="72" t="s">
        <v>73</v>
      </c>
      <c r="C3333" s="73">
        <v>41</v>
      </c>
      <c r="D3333" s="73">
        <v>1244049.6234457009</v>
      </c>
      <c r="E3333" s="72">
        <v>136845.45857902712</v>
      </c>
      <c r="F3333" s="72" t="s">
        <v>87</v>
      </c>
      <c r="G3333" s="72" t="s">
        <v>71</v>
      </c>
      <c r="H3333" s="72" t="s">
        <v>88</v>
      </c>
    </row>
    <row r="3334" spans="1:8" x14ac:dyDescent="0.25">
      <c r="A3334" s="72" t="s">
        <v>3858</v>
      </c>
      <c r="B3334" s="72" t="s">
        <v>85</v>
      </c>
      <c r="C3334" s="73">
        <v>41</v>
      </c>
      <c r="D3334" s="73">
        <v>1031776.6932170672</v>
      </c>
      <c r="E3334" s="72">
        <v>72224.368525194688</v>
      </c>
      <c r="F3334" s="72" t="s">
        <v>70</v>
      </c>
      <c r="G3334" s="72" t="s">
        <v>71</v>
      </c>
      <c r="H3334" s="72" t="s">
        <v>72</v>
      </c>
    </row>
    <row r="3335" spans="1:8" x14ac:dyDescent="0.25">
      <c r="A3335" s="72" t="s">
        <v>4218</v>
      </c>
      <c r="B3335" s="72" t="s">
        <v>73</v>
      </c>
      <c r="C3335" s="73">
        <v>41</v>
      </c>
      <c r="D3335" s="73">
        <v>970398.65452413727</v>
      </c>
      <c r="E3335" s="72">
        <v>58223.919271448249</v>
      </c>
      <c r="F3335" s="72" t="s">
        <v>70</v>
      </c>
      <c r="G3335" s="72" t="s">
        <v>71</v>
      </c>
      <c r="H3335" s="72" t="s">
        <v>72</v>
      </c>
    </row>
    <row r="3336" spans="1:8" x14ac:dyDescent="0.25">
      <c r="A3336" s="72" t="s">
        <v>3504</v>
      </c>
      <c r="B3336" s="72" t="s">
        <v>75</v>
      </c>
      <c r="C3336" s="73">
        <v>41</v>
      </c>
      <c r="D3336" s="73">
        <v>979791.32091473218</v>
      </c>
      <c r="E3336" s="72">
        <v>88181.218882325891</v>
      </c>
      <c r="F3336" s="72" t="s">
        <v>106</v>
      </c>
      <c r="G3336" s="72" t="s">
        <v>71</v>
      </c>
      <c r="H3336" s="72" t="s">
        <v>72</v>
      </c>
    </row>
    <row r="3337" spans="1:8" x14ac:dyDescent="0.25">
      <c r="A3337" s="72" t="s">
        <v>4569</v>
      </c>
      <c r="B3337" s="72" t="s">
        <v>75</v>
      </c>
      <c r="C3337" s="73">
        <v>41</v>
      </c>
      <c r="D3337" s="73">
        <v>904012.57028723462</v>
      </c>
      <c r="E3337" s="72">
        <v>45200.628514361735</v>
      </c>
      <c r="F3337" s="72" t="s">
        <v>106</v>
      </c>
      <c r="G3337" s="72" t="s">
        <v>71</v>
      </c>
      <c r="H3337" s="72" t="s">
        <v>72</v>
      </c>
    </row>
    <row r="3338" spans="1:8" x14ac:dyDescent="0.25">
      <c r="A3338" s="43" t="s">
        <v>3505</v>
      </c>
      <c r="B3338" s="43" t="s">
        <v>75</v>
      </c>
      <c r="C3338" s="46">
        <v>41</v>
      </c>
      <c r="D3338" s="46">
        <v>979791.32091473218</v>
      </c>
      <c r="E3338" s="43">
        <v>88181.218882325891</v>
      </c>
      <c r="F3338" s="43" t="s">
        <v>106</v>
      </c>
      <c r="G3338" s="43" t="s">
        <v>71</v>
      </c>
      <c r="H3338" s="43" t="s">
        <v>72</v>
      </c>
    </row>
    <row r="3339" spans="1:8" x14ac:dyDescent="0.25">
      <c r="A3339" s="43" t="s">
        <v>4219</v>
      </c>
      <c r="B3339" s="43" t="s">
        <v>211</v>
      </c>
      <c r="C3339" s="46">
        <v>41</v>
      </c>
      <c r="D3339" s="46">
        <v>970398.65452413727</v>
      </c>
      <c r="E3339" s="43">
        <v>58223.919271448249</v>
      </c>
      <c r="F3339" s="43" t="s">
        <v>70</v>
      </c>
      <c r="G3339" s="43" t="s">
        <v>71</v>
      </c>
      <c r="H3339" s="43" t="s">
        <v>72</v>
      </c>
    </row>
    <row r="3340" spans="1:8" x14ac:dyDescent="0.25">
      <c r="A3340" s="43" t="s">
        <v>4586</v>
      </c>
      <c r="B3340" s="43" t="s">
        <v>97</v>
      </c>
      <c r="C3340" s="46">
        <v>41</v>
      </c>
      <c r="D3340" s="46">
        <v>885992.32691942644</v>
      </c>
      <c r="E3340" s="43">
        <v>44299.616345971328</v>
      </c>
      <c r="F3340" s="43" t="s">
        <v>70</v>
      </c>
      <c r="G3340" s="43" t="s">
        <v>71</v>
      </c>
      <c r="H3340" s="43" t="s">
        <v>72</v>
      </c>
    </row>
    <row r="3341" spans="1:8" x14ac:dyDescent="0.25">
      <c r="A3341" s="43" t="s">
        <v>3531</v>
      </c>
      <c r="B3341" s="43" t="s">
        <v>378</v>
      </c>
      <c r="C3341" s="46">
        <v>41</v>
      </c>
      <c r="D3341" s="46">
        <v>1081773.4715178418</v>
      </c>
      <c r="E3341" s="43">
        <v>86541.877721427343</v>
      </c>
      <c r="F3341" s="43" t="s">
        <v>70</v>
      </c>
      <c r="G3341" s="43" t="s">
        <v>71</v>
      </c>
      <c r="H3341" s="43" t="s">
        <v>72</v>
      </c>
    </row>
    <row r="3342" spans="1:8" x14ac:dyDescent="0.25">
      <c r="A3342" s="72" t="s">
        <v>2299</v>
      </c>
      <c r="B3342" s="72" t="s">
        <v>139</v>
      </c>
      <c r="C3342" s="73">
        <v>41</v>
      </c>
      <c r="D3342" s="73">
        <v>1258011.5168021163</v>
      </c>
      <c r="E3342" s="72">
        <v>163541.49718427513</v>
      </c>
      <c r="F3342" s="72" t="s">
        <v>70</v>
      </c>
      <c r="G3342" s="72" t="s">
        <v>71</v>
      </c>
      <c r="H3342" s="72" t="s">
        <v>72</v>
      </c>
    </row>
    <row r="3343" spans="1:8" x14ac:dyDescent="0.25">
      <c r="A3343" s="72" t="s">
        <v>2770</v>
      </c>
      <c r="B3343" s="72" t="s">
        <v>139</v>
      </c>
      <c r="C3343" s="73">
        <v>41</v>
      </c>
      <c r="D3343" s="73">
        <v>1197166.9557794195</v>
      </c>
      <c r="E3343" s="72">
        <v>131688.36513573615</v>
      </c>
      <c r="F3343" s="72" t="s">
        <v>70</v>
      </c>
      <c r="G3343" s="72" t="s">
        <v>71</v>
      </c>
      <c r="H3343" s="72" t="s">
        <v>72</v>
      </c>
    </row>
    <row r="3344" spans="1:8" x14ac:dyDescent="0.25">
      <c r="A3344" s="43" t="s">
        <v>3023</v>
      </c>
      <c r="B3344" s="43" t="s">
        <v>73</v>
      </c>
      <c r="C3344" s="46">
        <v>41</v>
      </c>
      <c r="D3344" s="46">
        <v>1162762.2791208874</v>
      </c>
      <c r="E3344" s="43">
        <v>116276.22791208874</v>
      </c>
      <c r="F3344" s="43" t="s">
        <v>70</v>
      </c>
      <c r="G3344" s="43" t="s">
        <v>71</v>
      </c>
      <c r="H3344" s="43" t="s">
        <v>72</v>
      </c>
    </row>
    <row r="3345" spans="1:8" x14ac:dyDescent="0.25">
      <c r="A3345" s="43" t="s">
        <v>2527</v>
      </c>
      <c r="B3345" s="43" t="s">
        <v>73</v>
      </c>
      <c r="C3345" s="46">
        <v>41</v>
      </c>
      <c r="D3345" s="46">
        <v>1228733.4236019182</v>
      </c>
      <c r="E3345" s="43">
        <v>147448.01083223021</v>
      </c>
      <c r="F3345" s="43" t="s">
        <v>70</v>
      </c>
      <c r="G3345" s="43" t="s">
        <v>71</v>
      </c>
      <c r="H3345" s="43" t="s">
        <v>72</v>
      </c>
    </row>
    <row r="3346" spans="1:8" x14ac:dyDescent="0.25">
      <c r="A3346" s="72" t="s">
        <v>4954</v>
      </c>
      <c r="B3346" s="72" t="s">
        <v>73</v>
      </c>
      <c r="C3346" s="73">
        <v>41</v>
      </c>
      <c r="D3346" s="73">
        <v>823065.762199622</v>
      </c>
      <c r="E3346" s="72">
        <v>24691.972865988664</v>
      </c>
      <c r="F3346" s="72" t="s">
        <v>106</v>
      </c>
      <c r="G3346" s="72" t="s">
        <v>71</v>
      </c>
      <c r="H3346" s="72" t="s">
        <v>72</v>
      </c>
    </row>
    <row r="3347" spans="1:8" x14ac:dyDescent="0.25">
      <c r="A3347" s="72" t="s">
        <v>3532</v>
      </c>
      <c r="B3347" s="72" t="s">
        <v>378</v>
      </c>
      <c r="C3347" s="73">
        <v>41</v>
      </c>
      <c r="D3347" s="73">
        <v>1081773.4715178418</v>
      </c>
      <c r="E3347" s="72">
        <v>86541.877721427343</v>
      </c>
      <c r="F3347" s="72" t="s">
        <v>70</v>
      </c>
      <c r="G3347" s="72" t="s">
        <v>71</v>
      </c>
      <c r="H3347" s="72" t="s">
        <v>72</v>
      </c>
    </row>
    <row r="3348" spans="1:8" x14ac:dyDescent="0.25">
      <c r="A3348" s="43" t="s">
        <v>2300</v>
      </c>
      <c r="B3348" s="43" t="s">
        <v>234</v>
      </c>
      <c r="C3348" s="46">
        <v>41</v>
      </c>
      <c r="D3348" s="46">
        <v>1258011.5168021163</v>
      </c>
      <c r="E3348" s="43">
        <v>163541.49718427513</v>
      </c>
      <c r="F3348" s="43" t="s">
        <v>70</v>
      </c>
      <c r="G3348" s="43" t="s">
        <v>71</v>
      </c>
      <c r="H3348" s="43" t="s">
        <v>72</v>
      </c>
    </row>
    <row r="3349" spans="1:8" x14ac:dyDescent="0.25">
      <c r="A3349" s="43" t="s">
        <v>3261</v>
      </c>
      <c r="B3349" s="43" t="s">
        <v>73</v>
      </c>
      <c r="C3349" s="46">
        <v>41</v>
      </c>
      <c r="D3349" s="46">
        <v>1124716.0261481295</v>
      </c>
      <c r="E3349" s="43">
        <v>101224.44235333164</v>
      </c>
      <c r="F3349" s="43" t="s">
        <v>70</v>
      </c>
      <c r="G3349" s="43" t="s">
        <v>71</v>
      </c>
      <c r="H3349" s="43" t="s">
        <v>72</v>
      </c>
    </row>
    <row r="3350" spans="1:8" x14ac:dyDescent="0.25">
      <c r="A3350" s="72" t="s">
        <v>2528</v>
      </c>
      <c r="B3350" s="72" t="s">
        <v>75</v>
      </c>
      <c r="C3350" s="73">
        <v>41</v>
      </c>
      <c r="D3350" s="73">
        <v>1228733.4236019182</v>
      </c>
      <c r="E3350" s="72">
        <v>147448.01083223021</v>
      </c>
      <c r="F3350" s="72" t="s">
        <v>70</v>
      </c>
      <c r="G3350" s="72" t="s">
        <v>71</v>
      </c>
      <c r="H3350" s="72" t="s">
        <v>72</v>
      </c>
    </row>
    <row r="3351" spans="1:8" x14ac:dyDescent="0.25">
      <c r="A3351" s="72" t="s">
        <v>2301</v>
      </c>
      <c r="B3351" s="72" t="s">
        <v>378</v>
      </c>
      <c r="C3351" s="73">
        <v>41</v>
      </c>
      <c r="D3351" s="73">
        <v>1258011.5168021163</v>
      </c>
      <c r="E3351" s="72">
        <v>163541.49718427513</v>
      </c>
      <c r="F3351" s="72" t="s">
        <v>70</v>
      </c>
      <c r="G3351" s="72" t="s">
        <v>71</v>
      </c>
      <c r="H3351" s="72" t="s">
        <v>72</v>
      </c>
    </row>
    <row r="3352" spans="1:8" x14ac:dyDescent="0.25">
      <c r="A3352" s="72" t="s">
        <v>2455</v>
      </c>
      <c r="B3352" s="72" t="s">
        <v>93</v>
      </c>
      <c r="C3352" s="73">
        <v>41</v>
      </c>
      <c r="D3352" s="73">
        <v>1266131.7675726635</v>
      </c>
      <c r="E3352" s="72">
        <v>151935.81210871961</v>
      </c>
      <c r="F3352" s="72" t="s">
        <v>87</v>
      </c>
      <c r="G3352" s="72" t="s">
        <v>71</v>
      </c>
      <c r="H3352" s="72" t="s">
        <v>88</v>
      </c>
    </row>
    <row r="3353" spans="1:8" x14ac:dyDescent="0.25">
      <c r="A3353" s="43" t="s">
        <v>4029</v>
      </c>
      <c r="B3353" s="43" t="s">
        <v>93</v>
      </c>
      <c r="C3353" s="46">
        <v>41</v>
      </c>
      <c r="D3353" s="46">
        <v>1087545.1497569692</v>
      </c>
      <c r="E3353" s="43">
        <v>65252.708985418147</v>
      </c>
      <c r="F3353" s="43" t="s">
        <v>87</v>
      </c>
      <c r="G3353" s="43" t="s">
        <v>71</v>
      </c>
      <c r="H3353" s="43" t="s">
        <v>88</v>
      </c>
    </row>
    <row r="3354" spans="1:8" x14ac:dyDescent="0.25">
      <c r="A3354" s="72" t="s">
        <v>4794</v>
      </c>
      <c r="B3354" s="72" t="s">
        <v>2379</v>
      </c>
      <c r="C3354" s="73">
        <v>41</v>
      </c>
      <c r="D3354" s="73">
        <v>872048.83785025775</v>
      </c>
      <c r="E3354" s="72">
        <v>34881.953514010311</v>
      </c>
      <c r="F3354" s="72" t="s">
        <v>106</v>
      </c>
      <c r="G3354" s="72" t="s">
        <v>71</v>
      </c>
      <c r="H3354" s="72" t="s">
        <v>72</v>
      </c>
    </row>
    <row r="3355" spans="1:8" x14ac:dyDescent="0.25">
      <c r="A3355" s="72" t="s">
        <v>3028</v>
      </c>
      <c r="B3355" s="72" t="s">
        <v>83</v>
      </c>
      <c r="C3355" s="73">
        <v>41</v>
      </c>
      <c r="D3355" s="73">
        <v>1159694.9274858506</v>
      </c>
      <c r="E3355" s="72">
        <v>115969.49274858506</v>
      </c>
      <c r="F3355" s="72" t="s">
        <v>84</v>
      </c>
      <c r="G3355" s="72" t="s">
        <v>71</v>
      </c>
      <c r="H3355" s="72" t="s">
        <v>72</v>
      </c>
    </row>
    <row r="3356" spans="1:8" x14ac:dyDescent="0.25">
      <c r="A3356" s="43" t="s">
        <v>2302</v>
      </c>
      <c r="B3356" s="43" t="s">
        <v>127</v>
      </c>
      <c r="C3356" s="46">
        <v>41</v>
      </c>
      <c r="D3356" s="46">
        <v>1258011.5168021163</v>
      </c>
      <c r="E3356" s="43">
        <v>163541.49718427513</v>
      </c>
      <c r="F3356" s="43" t="s">
        <v>70</v>
      </c>
      <c r="G3356" s="43" t="s">
        <v>71</v>
      </c>
      <c r="H3356" s="43" t="s">
        <v>72</v>
      </c>
    </row>
    <row r="3357" spans="1:8" x14ac:dyDescent="0.25">
      <c r="A3357" s="72" t="s">
        <v>4587</v>
      </c>
      <c r="B3357" s="72" t="s">
        <v>211</v>
      </c>
      <c r="C3357" s="73">
        <v>41</v>
      </c>
      <c r="D3357" s="73">
        <v>885992.32691942644</v>
      </c>
      <c r="E3357" s="72">
        <v>44299.616345971328</v>
      </c>
      <c r="F3357" s="72" t="s">
        <v>70</v>
      </c>
      <c r="G3357" s="72" t="s">
        <v>71</v>
      </c>
      <c r="H3357" s="72" t="s">
        <v>72</v>
      </c>
    </row>
    <row r="3358" spans="1:8" x14ac:dyDescent="0.25">
      <c r="A3358" s="72" t="s">
        <v>4030</v>
      </c>
      <c r="B3358" s="72" t="s">
        <v>75</v>
      </c>
      <c r="C3358" s="73">
        <v>41</v>
      </c>
      <c r="D3358" s="73">
        <v>1087545.1497569692</v>
      </c>
      <c r="E3358" s="72">
        <v>65252.708985418147</v>
      </c>
      <c r="F3358" s="72" t="s">
        <v>87</v>
      </c>
      <c r="G3358" s="72" t="s">
        <v>71</v>
      </c>
      <c r="H3358" s="72" t="s">
        <v>88</v>
      </c>
    </row>
    <row r="3359" spans="1:8" x14ac:dyDescent="0.25">
      <c r="A3359" s="72" t="s">
        <v>3024</v>
      </c>
      <c r="B3359" s="72" t="s">
        <v>112</v>
      </c>
      <c r="C3359" s="73">
        <v>41</v>
      </c>
      <c r="D3359" s="73">
        <v>1162762.2791208874</v>
      </c>
      <c r="E3359" s="72">
        <v>116276.22791208874</v>
      </c>
      <c r="F3359" s="72" t="s">
        <v>70</v>
      </c>
      <c r="G3359" s="72" t="s">
        <v>71</v>
      </c>
      <c r="H3359" s="72" t="s">
        <v>72</v>
      </c>
    </row>
    <row r="3360" spans="1:8" x14ac:dyDescent="0.25">
      <c r="A3360" s="43" t="s">
        <v>3533</v>
      </c>
      <c r="B3360" s="43" t="s">
        <v>112</v>
      </c>
      <c r="C3360" s="46">
        <v>41</v>
      </c>
      <c r="D3360" s="46">
        <v>1081773.4715178418</v>
      </c>
      <c r="E3360" s="43">
        <v>86541.877721427343</v>
      </c>
      <c r="F3360" s="43" t="s">
        <v>70</v>
      </c>
      <c r="G3360" s="43" t="s">
        <v>71</v>
      </c>
      <c r="H3360" s="43" t="s">
        <v>72</v>
      </c>
    </row>
    <row r="3361" spans="1:8" x14ac:dyDescent="0.25">
      <c r="A3361" s="43" t="s">
        <v>4031</v>
      </c>
      <c r="B3361" s="43" t="s">
        <v>73</v>
      </c>
      <c r="C3361" s="46">
        <v>41</v>
      </c>
      <c r="D3361" s="46">
        <v>1087545.1497569692</v>
      </c>
      <c r="E3361" s="43">
        <v>65252.708985418147</v>
      </c>
      <c r="F3361" s="43" t="s">
        <v>87</v>
      </c>
      <c r="G3361" s="43" t="s">
        <v>71</v>
      </c>
      <c r="H3361" s="43" t="s">
        <v>88</v>
      </c>
    </row>
    <row r="3362" spans="1:8" x14ac:dyDescent="0.25">
      <c r="A3362" s="43" t="s">
        <v>2771</v>
      </c>
      <c r="B3362" s="43" t="s">
        <v>102</v>
      </c>
      <c r="C3362" s="46">
        <v>41</v>
      </c>
      <c r="D3362" s="46">
        <v>1197166.9557794195</v>
      </c>
      <c r="E3362" s="43">
        <v>131688.36513573615</v>
      </c>
      <c r="F3362" s="43" t="s">
        <v>70</v>
      </c>
      <c r="G3362" s="43" t="s">
        <v>71</v>
      </c>
      <c r="H3362" s="43" t="s">
        <v>72</v>
      </c>
    </row>
    <row r="3363" spans="1:8" x14ac:dyDescent="0.25">
      <c r="A3363" s="43" t="s">
        <v>4588</v>
      </c>
      <c r="B3363" s="43" t="s">
        <v>85</v>
      </c>
      <c r="C3363" s="46">
        <v>41</v>
      </c>
      <c r="D3363" s="46">
        <v>885992.32691942644</v>
      </c>
      <c r="E3363" s="43">
        <v>44299.616345971328</v>
      </c>
      <c r="F3363" s="43" t="s">
        <v>70</v>
      </c>
      <c r="G3363" s="43" t="s">
        <v>71</v>
      </c>
      <c r="H3363" s="43" t="s">
        <v>72</v>
      </c>
    </row>
    <row r="3364" spans="1:8" x14ac:dyDescent="0.25">
      <c r="A3364" s="43" t="s">
        <v>2529</v>
      </c>
      <c r="B3364" s="43" t="s">
        <v>85</v>
      </c>
      <c r="C3364" s="46">
        <v>41</v>
      </c>
      <c r="D3364" s="46">
        <v>1228733.4236019182</v>
      </c>
      <c r="E3364" s="43">
        <v>147448.01083223021</v>
      </c>
      <c r="F3364" s="43" t="s">
        <v>70</v>
      </c>
      <c r="G3364" s="43" t="s">
        <v>71</v>
      </c>
      <c r="H3364" s="43" t="s">
        <v>72</v>
      </c>
    </row>
    <row r="3365" spans="1:8" x14ac:dyDescent="0.25">
      <c r="A3365" s="43" t="s">
        <v>3859</v>
      </c>
      <c r="B3365" s="43" t="s">
        <v>97</v>
      </c>
      <c r="C3365" s="46">
        <v>41</v>
      </c>
      <c r="D3365" s="46">
        <v>1031776.6932170672</v>
      </c>
      <c r="E3365" s="43">
        <v>72224.368525194688</v>
      </c>
      <c r="F3365" s="43" t="s">
        <v>70</v>
      </c>
      <c r="G3365" s="43" t="s">
        <v>71</v>
      </c>
      <c r="H3365" s="43" t="s">
        <v>72</v>
      </c>
    </row>
    <row r="3366" spans="1:8" x14ac:dyDescent="0.25">
      <c r="A3366" s="72" t="s">
        <v>3262</v>
      </c>
      <c r="B3366" s="72" t="s">
        <v>77</v>
      </c>
      <c r="C3366" s="73">
        <v>41</v>
      </c>
      <c r="D3366" s="73">
        <v>1124716.0261481295</v>
      </c>
      <c r="E3366" s="72">
        <v>101224.44235333164</v>
      </c>
      <c r="F3366" s="72" t="s">
        <v>70</v>
      </c>
      <c r="G3366" s="72" t="s">
        <v>71</v>
      </c>
      <c r="H3366" s="72" t="s">
        <v>72</v>
      </c>
    </row>
    <row r="3367" spans="1:8" x14ac:dyDescent="0.25">
      <c r="A3367" s="43" t="s">
        <v>4297</v>
      </c>
      <c r="B3367" s="43" t="s">
        <v>93</v>
      </c>
      <c r="C3367" s="46">
        <v>41</v>
      </c>
      <c r="D3367" s="46">
        <v>928315.61627283832</v>
      </c>
      <c r="E3367" s="43">
        <v>55698.936976370307</v>
      </c>
      <c r="F3367" s="43" t="s">
        <v>106</v>
      </c>
      <c r="G3367" s="43" t="s">
        <v>71</v>
      </c>
      <c r="H3367" s="43" t="s">
        <v>72</v>
      </c>
    </row>
    <row r="3368" spans="1:8" x14ac:dyDescent="0.25">
      <c r="A3368" s="72" t="s">
        <v>3860</v>
      </c>
      <c r="B3368" s="72" t="s">
        <v>74</v>
      </c>
      <c r="C3368" s="73">
        <v>41</v>
      </c>
      <c r="D3368" s="73">
        <v>1031776.6932170672</v>
      </c>
      <c r="E3368" s="72">
        <v>72224.368525194688</v>
      </c>
      <c r="F3368" s="72" t="s">
        <v>70</v>
      </c>
      <c r="G3368" s="72" t="s">
        <v>71</v>
      </c>
      <c r="H3368" s="72" t="s">
        <v>72</v>
      </c>
    </row>
    <row r="3369" spans="1:8" x14ac:dyDescent="0.25">
      <c r="A3369" s="72" t="s">
        <v>4735</v>
      </c>
      <c r="B3369" s="72" t="s">
        <v>73</v>
      </c>
      <c r="C3369" s="73">
        <v>41</v>
      </c>
      <c r="D3369" s="73">
        <v>959101.53006514057</v>
      </c>
      <c r="E3369" s="72">
        <v>38364.061202605626</v>
      </c>
      <c r="F3369" s="72" t="s">
        <v>87</v>
      </c>
      <c r="G3369" s="72" t="s">
        <v>71</v>
      </c>
      <c r="H3369" s="72" t="s">
        <v>88</v>
      </c>
    </row>
    <row r="3370" spans="1:8" x14ac:dyDescent="0.25">
      <c r="A3370" s="72" t="s">
        <v>4405</v>
      </c>
      <c r="B3370" s="72" t="s">
        <v>93</v>
      </c>
      <c r="C3370" s="73">
        <v>41</v>
      </c>
      <c r="D3370" s="73">
        <v>1035151.3474756504</v>
      </c>
      <c r="E3370" s="72">
        <v>51757.56737378252</v>
      </c>
      <c r="F3370" s="72" t="s">
        <v>87</v>
      </c>
      <c r="G3370" s="72" t="s">
        <v>71</v>
      </c>
      <c r="H3370" s="72" t="s">
        <v>88</v>
      </c>
    </row>
    <row r="3371" spans="1:8" x14ac:dyDescent="0.25">
      <c r="A3371" s="43" t="s">
        <v>4249</v>
      </c>
      <c r="B3371" s="43" t="s">
        <v>102</v>
      </c>
      <c r="C3371" s="46">
        <v>40</v>
      </c>
      <c r="D3371" s="46">
        <v>946169.55344116874</v>
      </c>
      <c r="E3371" s="43">
        <v>56770.173206470135</v>
      </c>
      <c r="F3371" s="43" t="s">
        <v>70</v>
      </c>
      <c r="G3371" s="43" t="s">
        <v>71</v>
      </c>
      <c r="H3371" s="43" t="s">
        <v>72</v>
      </c>
    </row>
    <row r="3372" spans="1:8" x14ac:dyDescent="0.25">
      <c r="A3372" s="72" t="s">
        <v>3036</v>
      </c>
      <c r="B3372" s="72" t="s">
        <v>236</v>
      </c>
      <c r="C3372" s="73">
        <v>40</v>
      </c>
      <c r="D3372" s="73">
        <v>1148997.3262894626</v>
      </c>
      <c r="E3372" s="72">
        <v>114899.73262894627</v>
      </c>
      <c r="F3372" s="72" t="s">
        <v>84</v>
      </c>
      <c r="G3372" s="72" t="s">
        <v>71</v>
      </c>
      <c r="H3372" s="72" t="s">
        <v>72</v>
      </c>
    </row>
    <row r="3373" spans="1:8" x14ac:dyDescent="0.25">
      <c r="A3373" s="43" t="s">
        <v>3057</v>
      </c>
      <c r="B3373" s="43" t="s">
        <v>73</v>
      </c>
      <c r="C3373" s="46">
        <v>40</v>
      </c>
      <c r="D3373" s="46">
        <v>1133841.3823160471</v>
      </c>
      <c r="E3373" s="43">
        <v>113384.13823160471</v>
      </c>
      <c r="F3373" s="43" t="s">
        <v>70</v>
      </c>
      <c r="G3373" s="43" t="s">
        <v>71</v>
      </c>
      <c r="H3373" s="43" t="s">
        <v>72</v>
      </c>
    </row>
    <row r="3374" spans="1:8" x14ac:dyDescent="0.25">
      <c r="A3374" s="43" t="s">
        <v>3441</v>
      </c>
      <c r="B3374" s="43" t="s">
        <v>1247</v>
      </c>
      <c r="C3374" s="46">
        <v>40</v>
      </c>
      <c r="D3374" s="46">
        <v>1134447.2326842991</v>
      </c>
      <c r="E3374" s="43">
        <v>90755.778614743933</v>
      </c>
      <c r="F3374" s="43" t="s">
        <v>87</v>
      </c>
      <c r="G3374" s="43" t="s">
        <v>71</v>
      </c>
      <c r="H3374" s="43" t="s">
        <v>88</v>
      </c>
    </row>
    <row r="3375" spans="1:8" x14ac:dyDescent="0.25">
      <c r="A3375" s="43" t="s">
        <v>4614</v>
      </c>
      <c r="B3375" s="43" t="s">
        <v>73</v>
      </c>
      <c r="C3375" s="46">
        <v>40</v>
      </c>
      <c r="D3375" s="46">
        <v>863821.91675364587</v>
      </c>
      <c r="E3375" s="43">
        <v>43191.095837682296</v>
      </c>
      <c r="F3375" s="43" t="s">
        <v>70</v>
      </c>
      <c r="G3375" s="43" t="s">
        <v>71</v>
      </c>
      <c r="H3375" s="43" t="s">
        <v>72</v>
      </c>
    </row>
    <row r="3376" spans="1:8" x14ac:dyDescent="0.25">
      <c r="A3376" s="43" t="s">
        <v>2833</v>
      </c>
      <c r="B3376" s="43" t="s">
        <v>102</v>
      </c>
      <c r="C3376" s="46">
        <v>40</v>
      </c>
      <c r="D3376" s="46">
        <v>1167406.9205194928</v>
      </c>
      <c r="E3376" s="43">
        <v>128414.76125714423</v>
      </c>
      <c r="F3376" s="43" t="s">
        <v>70</v>
      </c>
      <c r="G3376" s="43" t="s">
        <v>71</v>
      </c>
      <c r="H3376" s="43" t="s">
        <v>72</v>
      </c>
    </row>
    <row r="3377" spans="1:8" x14ac:dyDescent="0.25">
      <c r="A3377" s="43" t="s">
        <v>2577</v>
      </c>
      <c r="B3377" s="43" t="s">
        <v>73</v>
      </c>
      <c r="C3377" s="46">
        <v>40</v>
      </c>
      <c r="D3377" s="46">
        <v>1198203.4744926624</v>
      </c>
      <c r="E3377" s="43">
        <v>143784.41693911952</v>
      </c>
      <c r="F3377" s="43" t="s">
        <v>70</v>
      </c>
      <c r="G3377" s="43" t="s">
        <v>71</v>
      </c>
      <c r="H3377" s="43" t="s">
        <v>72</v>
      </c>
    </row>
    <row r="3378" spans="1:8" x14ac:dyDescent="0.25">
      <c r="A3378" s="43" t="s">
        <v>4592</v>
      </c>
      <c r="B3378" s="43" t="s">
        <v>554</v>
      </c>
      <c r="C3378" s="46">
        <v>40</v>
      </c>
      <c r="D3378" s="46">
        <v>881412.6083364127</v>
      </c>
      <c r="E3378" s="43">
        <v>44070.630416820641</v>
      </c>
      <c r="F3378" s="43" t="s">
        <v>106</v>
      </c>
      <c r="G3378" s="43" t="s">
        <v>71</v>
      </c>
      <c r="H3378" s="43" t="s">
        <v>72</v>
      </c>
    </row>
    <row r="3379" spans="1:8" x14ac:dyDescent="0.25">
      <c r="A3379" s="72" t="s">
        <v>2834</v>
      </c>
      <c r="B3379" s="72" t="s">
        <v>211</v>
      </c>
      <c r="C3379" s="73">
        <v>40</v>
      </c>
      <c r="D3379" s="73">
        <v>1167406.9205194928</v>
      </c>
      <c r="E3379" s="72">
        <v>128414.76125714423</v>
      </c>
      <c r="F3379" s="72" t="s">
        <v>70</v>
      </c>
      <c r="G3379" s="72" t="s">
        <v>71</v>
      </c>
      <c r="H3379" s="72" t="s">
        <v>72</v>
      </c>
    </row>
    <row r="3380" spans="1:8" x14ac:dyDescent="0.25">
      <c r="A3380" s="43" t="s">
        <v>4801</v>
      </c>
      <c r="B3380" s="43" t="s">
        <v>75</v>
      </c>
      <c r="C3380" s="46">
        <v>40</v>
      </c>
      <c r="D3380" s="46">
        <v>850228.47912960593</v>
      </c>
      <c r="E3380" s="43">
        <v>34009.139165184235</v>
      </c>
      <c r="F3380" s="43" t="s">
        <v>106</v>
      </c>
      <c r="G3380" s="43" t="s">
        <v>71</v>
      </c>
      <c r="H3380" s="43" t="s">
        <v>72</v>
      </c>
    </row>
    <row r="3381" spans="1:8" x14ac:dyDescent="0.25">
      <c r="A3381" s="72" t="s">
        <v>3544</v>
      </c>
      <c r="B3381" s="72" t="s">
        <v>75</v>
      </c>
      <c r="C3381" s="73">
        <v>40</v>
      </c>
      <c r="D3381" s="73">
        <v>955343.09675348317</v>
      </c>
      <c r="E3381" s="72">
        <v>85980.878707813477</v>
      </c>
      <c r="F3381" s="72" t="s">
        <v>106</v>
      </c>
      <c r="G3381" s="72" t="s">
        <v>71</v>
      </c>
      <c r="H3381" s="72" t="s">
        <v>72</v>
      </c>
    </row>
    <row r="3382" spans="1:8" x14ac:dyDescent="0.25">
      <c r="A3382" s="72" t="s">
        <v>4049</v>
      </c>
      <c r="B3382" s="72" t="s">
        <v>75</v>
      </c>
      <c r="C3382" s="73">
        <v>40</v>
      </c>
      <c r="D3382" s="73">
        <v>924476.83745092037</v>
      </c>
      <c r="E3382" s="72">
        <v>64713.378621564421</v>
      </c>
      <c r="F3382" s="72" t="s">
        <v>106</v>
      </c>
      <c r="G3382" s="72" t="s">
        <v>71</v>
      </c>
      <c r="H3382" s="72" t="s">
        <v>72</v>
      </c>
    </row>
    <row r="3383" spans="1:8" x14ac:dyDescent="0.25">
      <c r="A3383" s="72" t="s">
        <v>3338</v>
      </c>
      <c r="B3383" s="72" t="s">
        <v>75</v>
      </c>
      <c r="C3383" s="73">
        <v>40</v>
      </c>
      <c r="D3383" s="73">
        <v>968180.02472724649</v>
      </c>
      <c r="E3383" s="72">
        <v>96818.002472724649</v>
      </c>
      <c r="F3383" s="72" t="s">
        <v>106</v>
      </c>
      <c r="G3383" s="72" t="s">
        <v>71</v>
      </c>
      <c r="H3383" s="72" t="s">
        <v>72</v>
      </c>
    </row>
    <row r="3384" spans="1:8" x14ac:dyDescent="0.25">
      <c r="A3384" s="72" t="s">
        <v>4802</v>
      </c>
      <c r="B3384" s="72" t="s">
        <v>75</v>
      </c>
      <c r="C3384" s="73">
        <v>40</v>
      </c>
      <c r="D3384" s="73">
        <v>850228.47912960593</v>
      </c>
      <c r="E3384" s="72">
        <v>34009.139165184235</v>
      </c>
      <c r="F3384" s="72" t="s">
        <v>106</v>
      </c>
      <c r="G3384" s="72" t="s">
        <v>71</v>
      </c>
      <c r="H3384" s="72" t="s">
        <v>72</v>
      </c>
    </row>
    <row r="3385" spans="1:8" x14ac:dyDescent="0.25">
      <c r="A3385" s="43" t="s">
        <v>4803</v>
      </c>
      <c r="B3385" s="43" t="s">
        <v>75</v>
      </c>
      <c r="C3385" s="46">
        <v>40</v>
      </c>
      <c r="D3385" s="46">
        <v>850228.47912960593</v>
      </c>
      <c r="E3385" s="43">
        <v>34009.139165184235</v>
      </c>
      <c r="F3385" s="43" t="s">
        <v>106</v>
      </c>
      <c r="G3385" s="43" t="s">
        <v>71</v>
      </c>
      <c r="H3385" s="43" t="s">
        <v>72</v>
      </c>
    </row>
    <row r="3386" spans="1:8" x14ac:dyDescent="0.25">
      <c r="A3386" s="72" t="s">
        <v>4593</v>
      </c>
      <c r="B3386" s="72" t="s">
        <v>75</v>
      </c>
      <c r="C3386" s="73">
        <v>40</v>
      </c>
      <c r="D3386" s="73">
        <v>881412.6083364127</v>
      </c>
      <c r="E3386" s="72">
        <v>44070.630416820641</v>
      </c>
      <c r="F3386" s="72" t="s">
        <v>106</v>
      </c>
      <c r="G3386" s="72" t="s">
        <v>71</v>
      </c>
      <c r="H3386" s="72" t="s">
        <v>72</v>
      </c>
    </row>
    <row r="3387" spans="1:8" x14ac:dyDescent="0.25">
      <c r="A3387" s="43" t="s">
        <v>4080</v>
      </c>
      <c r="B3387" s="43" t="s">
        <v>73</v>
      </c>
      <c r="C3387" s="46">
        <v>40</v>
      </c>
      <c r="D3387" s="46">
        <v>1060533.7925312307</v>
      </c>
      <c r="E3387" s="43">
        <v>63632.027551873842</v>
      </c>
      <c r="F3387" s="43" t="s">
        <v>87</v>
      </c>
      <c r="G3387" s="43" t="s">
        <v>71</v>
      </c>
      <c r="H3387" s="43" t="s">
        <v>88</v>
      </c>
    </row>
    <row r="3388" spans="1:8" x14ac:dyDescent="0.25">
      <c r="A3388" s="72" t="s">
        <v>3138</v>
      </c>
      <c r="B3388" s="72" t="s">
        <v>176</v>
      </c>
      <c r="C3388" s="73">
        <v>40</v>
      </c>
      <c r="D3388" s="73">
        <v>979791.08960261615</v>
      </c>
      <c r="E3388" s="72">
        <v>107777.01985628779</v>
      </c>
      <c r="F3388" s="72" t="s">
        <v>106</v>
      </c>
      <c r="G3388" s="72" t="s">
        <v>71</v>
      </c>
      <c r="H3388" s="72" t="s">
        <v>72</v>
      </c>
    </row>
    <row r="3389" spans="1:8" x14ac:dyDescent="0.25">
      <c r="A3389" s="72" t="s">
        <v>2976</v>
      </c>
      <c r="B3389" s="72" t="s">
        <v>176</v>
      </c>
      <c r="C3389" s="73">
        <v>40</v>
      </c>
      <c r="D3389" s="73">
        <v>1189700.2462506606</v>
      </c>
      <c r="E3389" s="72">
        <v>118970.02462506607</v>
      </c>
      <c r="F3389" s="72" t="s">
        <v>87</v>
      </c>
      <c r="G3389" s="72" t="s">
        <v>71</v>
      </c>
      <c r="H3389" s="72" t="s">
        <v>88</v>
      </c>
    </row>
    <row r="3390" spans="1:8" x14ac:dyDescent="0.25">
      <c r="A3390" s="72" t="s">
        <v>4443</v>
      </c>
      <c r="B3390" s="72" t="s">
        <v>73</v>
      </c>
      <c r="C3390" s="73">
        <v>40</v>
      </c>
      <c r="D3390" s="73">
        <v>1009417.8878665295</v>
      </c>
      <c r="E3390" s="72">
        <v>50470.894393326482</v>
      </c>
      <c r="F3390" s="72" t="s">
        <v>87</v>
      </c>
      <c r="G3390" s="72" t="s">
        <v>71</v>
      </c>
      <c r="H3390" s="72" t="s">
        <v>88</v>
      </c>
    </row>
    <row r="3391" spans="1:8" x14ac:dyDescent="0.25">
      <c r="A3391" s="43" t="s">
        <v>3193</v>
      </c>
      <c r="B3391" s="43" t="s">
        <v>73</v>
      </c>
      <c r="C3391" s="46">
        <v>40</v>
      </c>
      <c r="D3391" s="46">
        <v>1163693.6389039871</v>
      </c>
      <c r="E3391" s="43">
        <v>104732.42750135883</v>
      </c>
      <c r="F3391" s="43" t="s">
        <v>87</v>
      </c>
      <c r="G3391" s="43" t="s">
        <v>71</v>
      </c>
      <c r="H3391" s="43" t="s">
        <v>88</v>
      </c>
    </row>
    <row r="3392" spans="1:8" x14ac:dyDescent="0.25">
      <c r="A3392" s="43" t="s">
        <v>3608</v>
      </c>
      <c r="B3392" s="43" t="s">
        <v>232</v>
      </c>
      <c r="C3392" s="46">
        <v>40</v>
      </c>
      <c r="D3392" s="46">
        <v>1035181.8399400301</v>
      </c>
      <c r="E3392" s="43">
        <v>82814.547195202409</v>
      </c>
      <c r="F3392" s="43" t="s">
        <v>84</v>
      </c>
      <c r="G3392" s="43" t="s">
        <v>71</v>
      </c>
      <c r="H3392" s="43" t="s">
        <v>72</v>
      </c>
    </row>
    <row r="3393" spans="1:8" x14ac:dyDescent="0.25">
      <c r="A3393" s="72" t="s">
        <v>3574</v>
      </c>
      <c r="B3393" s="72" t="s">
        <v>234</v>
      </c>
      <c r="C3393" s="73">
        <v>40</v>
      </c>
      <c r="D3393" s="73">
        <v>1054827.9114838073</v>
      </c>
      <c r="E3393" s="72">
        <v>84386.232918704583</v>
      </c>
      <c r="F3393" s="72" t="s">
        <v>70</v>
      </c>
      <c r="G3393" s="72" t="s">
        <v>71</v>
      </c>
      <c r="H3393" s="72" t="s">
        <v>72</v>
      </c>
    </row>
    <row r="3394" spans="1:8" x14ac:dyDescent="0.25">
      <c r="A3394" s="72" t="s">
        <v>3312</v>
      </c>
      <c r="B3394" s="72" t="s">
        <v>97</v>
      </c>
      <c r="C3394" s="73">
        <v>40</v>
      </c>
      <c r="D3394" s="73">
        <v>1096723.0867328688</v>
      </c>
      <c r="E3394" s="72">
        <v>98705.077805958193</v>
      </c>
      <c r="F3394" s="72" t="s">
        <v>70</v>
      </c>
      <c r="G3394" s="72" t="s">
        <v>71</v>
      </c>
      <c r="H3394" s="72" t="s">
        <v>72</v>
      </c>
    </row>
    <row r="3395" spans="1:8" x14ac:dyDescent="0.25">
      <c r="A3395" s="72" t="s">
        <v>4615</v>
      </c>
      <c r="B3395" s="72" t="s">
        <v>211</v>
      </c>
      <c r="C3395" s="73">
        <v>40</v>
      </c>
      <c r="D3395" s="73">
        <v>863821.91675364587</v>
      </c>
      <c r="E3395" s="72">
        <v>43191.095837682296</v>
      </c>
      <c r="F3395" s="72" t="s">
        <v>70</v>
      </c>
      <c r="G3395" s="72" t="s">
        <v>71</v>
      </c>
      <c r="H3395" s="72" t="s">
        <v>72</v>
      </c>
    </row>
    <row r="3396" spans="1:8" x14ac:dyDescent="0.25">
      <c r="A3396" s="72" t="s">
        <v>2148</v>
      </c>
      <c r="B3396" s="72" t="s">
        <v>211</v>
      </c>
      <c r="C3396" s="73">
        <v>40</v>
      </c>
      <c r="D3396" s="73">
        <v>1253484.4896570155</v>
      </c>
      <c r="E3396" s="72">
        <v>175487.82855198215</v>
      </c>
      <c r="F3396" s="72" t="s">
        <v>70</v>
      </c>
      <c r="G3396" s="72" t="s">
        <v>71</v>
      </c>
      <c r="H3396" s="72" t="s">
        <v>72</v>
      </c>
    </row>
    <row r="3397" spans="1:8" x14ac:dyDescent="0.25">
      <c r="A3397" s="43" t="s">
        <v>3575</v>
      </c>
      <c r="B3397" s="43" t="s">
        <v>211</v>
      </c>
      <c r="C3397" s="46">
        <v>40</v>
      </c>
      <c r="D3397" s="46">
        <v>1054827.9114838073</v>
      </c>
      <c r="E3397" s="43">
        <v>84386.232918704583</v>
      </c>
      <c r="F3397" s="43" t="s">
        <v>70</v>
      </c>
      <c r="G3397" s="43" t="s">
        <v>71</v>
      </c>
      <c r="H3397" s="43" t="s">
        <v>72</v>
      </c>
    </row>
    <row r="3398" spans="1:8" x14ac:dyDescent="0.25">
      <c r="A3398" s="72" t="s">
        <v>3576</v>
      </c>
      <c r="B3398" s="72" t="s">
        <v>107</v>
      </c>
      <c r="C3398" s="73">
        <v>40</v>
      </c>
      <c r="D3398" s="73">
        <v>1054827.9114838073</v>
      </c>
      <c r="E3398" s="72">
        <v>84386.232918704583</v>
      </c>
      <c r="F3398" s="72" t="s">
        <v>70</v>
      </c>
      <c r="G3398" s="72" t="s">
        <v>71</v>
      </c>
      <c r="H3398" s="72" t="s">
        <v>72</v>
      </c>
    </row>
    <row r="3399" spans="1:8" x14ac:dyDescent="0.25">
      <c r="A3399" s="72" t="s">
        <v>4081</v>
      </c>
      <c r="B3399" s="72" t="s">
        <v>73</v>
      </c>
      <c r="C3399" s="73">
        <v>40</v>
      </c>
      <c r="D3399" s="73">
        <v>1060533.7925312307</v>
      </c>
      <c r="E3399" s="72">
        <v>63632.027551873842</v>
      </c>
      <c r="F3399" s="72" t="s">
        <v>87</v>
      </c>
      <c r="G3399" s="72" t="s">
        <v>71</v>
      </c>
      <c r="H3399" s="72" t="s">
        <v>88</v>
      </c>
    </row>
    <row r="3400" spans="1:8" x14ac:dyDescent="0.25">
      <c r="A3400" s="43" t="s">
        <v>4082</v>
      </c>
      <c r="B3400" s="43" t="s">
        <v>93</v>
      </c>
      <c r="C3400" s="46">
        <v>40</v>
      </c>
      <c r="D3400" s="46">
        <v>1060533.7925312307</v>
      </c>
      <c r="E3400" s="43">
        <v>63632.027551873842</v>
      </c>
      <c r="F3400" s="43" t="s">
        <v>87</v>
      </c>
      <c r="G3400" s="43" t="s">
        <v>71</v>
      </c>
      <c r="H3400" s="43" t="s">
        <v>88</v>
      </c>
    </row>
    <row r="3401" spans="1:8" x14ac:dyDescent="0.25">
      <c r="A3401" s="72" t="s">
        <v>2297</v>
      </c>
      <c r="B3401" s="72" t="s">
        <v>75</v>
      </c>
      <c r="C3401" s="73">
        <v>40</v>
      </c>
      <c r="D3401" s="73">
        <v>1262475.1814504522</v>
      </c>
      <c r="E3401" s="72">
        <v>164121.7735885588</v>
      </c>
      <c r="F3401" s="72" t="s">
        <v>78</v>
      </c>
      <c r="G3401" s="72" t="s">
        <v>71</v>
      </c>
      <c r="H3401" s="72" t="s">
        <v>72</v>
      </c>
    </row>
    <row r="3402" spans="1:8" x14ac:dyDescent="0.25">
      <c r="A3402" s="72" t="s">
        <v>3906</v>
      </c>
      <c r="B3402" s="72" t="s">
        <v>378</v>
      </c>
      <c r="C3402" s="73">
        <v>40</v>
      </c>
      <c r="D3402" s="73">
        <v>1006050.5668001248</v>
      </c>
      <c r="E3402" s="72">
        <v>70423.539676008731</v>
      </c>
      <c r="F3402" s="72" t="s">
        <v>70</v>
      </c>
      <c r="G3402" s="72" t="s">
        <v>71</v>
      </c>
      <c r="H3402" s="72" t="s">
        <v>72</v>
      </c>
    </row>
    <row r="3403" spans="1:8" x14ac:dyDescent="0.25">
      <c r="A3403" s="72" t="s">
        <v>4196</v>
      </c>
      <c r="B3403" s="72" t="s">
        <v>101</v>
      </c>
      <c r="C3403" s="73">
        <v>40</v>
      </c>
      <c r="D3403" s="73">
        <v>735865.10926760314</v>
      </c>
      <c r="E3403" s="72">
        <v>58869.208741408242</v>
      </c>
      <c r="F3403" s="72" t="s">
        <v>95</v>
      </c>
      <c r="G3403" s="72" t="s">
        <v>96</v>
      </c>
      <c r="H3403" s="72" t="s">
        <v>88</v>
      </c>
    </row>
    <row r="3404" spans="1:8" x14ac:dyDescent="0.25">
      <c r="A3404" s="43" t="s">
        <v>2835</v>
      </c>
      <c r="B3404" s="43" t="s">
        <v>102</v>
      </c>
      <c r="C3404" s="46">
        <v>40</v>
      </c>
      <c r="D3404" s="46">
        <v>1167406.9205194928</v>
      </c>
      <c r="E3404" s="43">
        <v>128414.76125714423</v>
      </c>
      <c r="F3404" s="43" t="s">
        <v>70</v>
      </c>
      <c r="G3404" s="43" t="s">
        <v>71</v>
      </c>
      <c r="H3404" s="43" t="s">
        <v>72</v>
      </c>
    </row>
    <row r="3405" spans="1:8" x14ac:dyDescent="0.25">
      <c r="A3405" s="43" t="s">
        <v>2149</v>
      </c>
      <c r="B3405" s="43" t="s">
        <v>73</v>
      </c>
      <c r="C3405" s="46">
        <v>40</v>
      </c>
      <c r="D3405" s="46">
        <v>1253484.4896570155</v>
      </c>
      <c r="E3405" s="43">
        <v>175487.82855198215</v>
      </c>
      <c r="F3405" s="43" t="s">
        <v>70</v>
      </c>
      <c r="G3405" s="43" t="s">
        <v>71</v>
      </c>
      <c r="H3405" s="43" t="s">
        <v>72</v>
      </c>
    </row>
    <row r="3406" spans="1:8" x14ac:dyDescent="0.25">
      <c r="A3406" s="72" t="s">
        <v>2309</v>
      </c>
      <c r="B3406" s="72" t="s">
        <v>73</v>
      </c>
      <c r="C3406" s="73">
        <v>40</v>
      </c>
      <c r="D3406" s="73">
        <v>1254691.7578195408</v>
      </c>
      <c r="E3406" s="72">
        <v>163109.9285165403</v>
      </c>
      <c r="F3406" s="72" t="s">
        <v>87</v>
      </c>
      <c r="G3406" s="72" t="s">
        <v>71</v>
      </c>
      <c r="H3406" s="72" t="s">
        <v>88</v>
      </c>
    </row>
    <row r="3407" spans="1:8" x14ac:dyDescent="0.25">
      <c r="A3407" s="72" t="s">
        <v>3748</v>
      </c>
      <c r="B3407" s="72" t="s">
        <v>73</v>
      </c>
      <c r="C3407" s="73">
        <v>40</v>
      </c>
      <c r="D3407" s="73">
        <v>1100762.5784429684</v>
      </c>
      <c r="E3407" s="72">
        <v>77053.380491007789</v>
      </c>
      <c r="F3407" s="72" t="s">
        <v>87</v>
      </c>
      <c r="G3407" s="72" t="s">
        <v>71</v>
      </c>
      <c r="H3407" s="72" t="s">
        <v>88</v>
      </c>
    </row>
    <row r="3408" spans="1:8" x14ac:dyDescent="0.25">
      <c r="A3408" s="43" t="s">
        <v>4616</v>
      </c>
      <c r="B3408" s="43" t="s">
        <v>73</v>
      </c>
      <c r="C3408" s="46">
        <v>40</v>
      </c>
      <c r="D3408" s="46">
        <v>863821.91675364587</v>
      </c>
      <c r="E3408" s="43">
        <v>43191.095837682296</v>
      </c>
      <c r="F3408" s="43" t="s">
        <v>70</v>
      </c>
      <c r="G3408" s="43" t="s">
        <v>71</v>
      </c>
      <c r="H3408" s="43" t="s">
        <v>72</v>
      </c>
    </row>
    <row r="3409" spans="1:8" x14ac:dyDescent="0.25">
      <c r="A3409" s="72" t="s">
        <v>2836</v>
      </c>
      <c r="B3409" s="72" t="s">
        <v>267</v>
      </c>
      <c r="C3409" s="73">
        <v>40</v>
      </c>
      <c r="D3409" s="73">
        <v>1167406.9205194928</v>
      </c>
      <c r="E3409" s="72">
        <v>128414.76125714423</v>
      </c>
      <c r="F3409" s="72" t="s">
        <v>70</v>
      </c>
      <c r="G3409" s="72" t="s">
        <v>71</v>
      </c>
      <c r="H3409" s="72" t="s">
        <v>72</v>
      </c>
    </row>
    <row r="3410" spans="1:8" x14ac:dyDescent="0.25">
      <c r="A3410" s="43" t="s">
        <v>4050</v>
      </c>
      <c r="B3410" s="43" t="s">
        <v>73</v>
      </c>
      <c r="C3410" s="46">
        <v>40</v>
      </c>
      <c r="D3410" s="46">
        <v>924476.83745092037</v>
      </c>
      <c r="E3410" s="43">
        <v>64713.378621564421</v>
      </c>
      <c r="F3410" s="43" t="s">
        <v>106</v>
      </c>
      <c r="G3410" s="43" t="s">
        <v>71</v>
      </c>
      <c r="H3410" s="43" t="s">
        <v>72</v>
      </c>
    </row>
    <row r="3411" spans="1:8" x14ac:dyDescent="0.25">
      <c r="A3411" s="43" t="s">
        <v>2837</v>
      </c>
      <c r="B3411" s="43" t="s">
        <v>211</v>
      </c>
      <c r="C3411" s="46">
        <v>40</v>
      </c>
      <c r="D3411" s="46">
        <v>1167406.9205194928</v>
      </c>
      <c r="E3411" s="43">
        <v>128414.76125714423</v>
      </c>
      <c r="F3411" s="43" t="s">
        <v>70</v>
      </c>
      <c r="G3411" s="43" t="s">
        <v>71</v>
      </c>
      <c r="H3411" s="43" t="s">
        <v>72</v>
      </c>
    </row>
    <row r="3412" spans="1:8" x14ac:dyDescent="0.25">
      <c r="A3412" s="43" t="s">
        <v>3139</v>
      </c>
      <c r="B3412" s="43" t="s">
        <v>286</v>
      </c>
      <c r="C3412" s="46">
        <v>40</v>
      </c>
      <c r="D3412" s="46">
        <v>979791.08960261615</v>
      </c>
      <c r="E3412" s="43">
        <v>107777.01985628779</v>
      </c>
      <c r="F3412" s="43" t="s">
        <v>106</v>
      </c>
      <c r="G3412" s="43" t="s">
        <v>71</v>
      </c>
      <c r="H3412" s="43" t="s">
        <v>72</v>
      </c>
    </row>
    <row r="3413" spans="1:8" x14ac:dyDescent="0.25">
      <c r="A3413" s="43" t="s">
        <v>3577</v>
      </c>
      <c r="B3413" s="43" t="s">
        <v>75</v>
      </c>
      <c r="C3413" s="46">
        <v>40</v>
      </c>
      <c r="D3413" s="46">
        <v>1054827.9114838073</v>
      </c>
      <c r="E3413" s="43">
        <v>84386.232918704583</v>
      </c>
      <c r="F3413" s="43" t="s">
        <v>70</v>
      </c>
      <c r="G3413" s="43" t="s">
        <v>71</v>
      </c>
      <c r="H3413" s="43" t="s">
        <v>72</v>
      </c>
    </row>
    <row r="3414" spans="1:8" x14ac:dyDescent="0.25">
      <c r="A3414" s="72" t="s">
        <v>4051</v>
      </c>
      <c r="B3414" s="72" t="s">
        <v>77</v>
      </c>
      <c r="C3414" s="73">
        <v>40</v>
      </c>
      <c r="D3414" s="73">
        <v>924476.83745092037</v>
      </c>
      <c r="E3414" s="72">
        <v>64713.378621564421</v>
      </c>
      <c r="F3414" s="72" t="s">
        <v>106</v>
      </c>
      <c r="G3414" s="72" t="s">
        <v>71</v>
      </c>
      <c r="H3414" s="72" t="s">
        <v>72</v>
      </c>
    </row>
    <row r="3415" spans="1:8" x14ac:dyDescent="0.25">
      <c r="A3415" s="72" t="s">
        <v>4327</v>
      </c>
      <c r="B3415" s="72" t="s">
        <v>73</v>
      </c>
      <c r="C3415" s="73">
        <v>40</v>
      </c>
      <c r="D3415" s="73">
        <v>905122.89710285526</v>
      </c>
      <c r="E3415" s="72">
        <v>54307.37382617133</v>
      </c>
      <c r="F3415" s="72" t="s">
        <v>106</v>
      </c>
      <c r="G3415" s="72" t="s">
        <v>71</v>
      </c>
      <c r="H3415" s="72" t="s">
        <v>72</v>
      </c>
    </row>
    <row r="3416" spans="1:8" x14ac:dyDescent="0.25">
      <c r="A3416" s="72" t="s">
        <v>3790</v>
      </c>
      <c r="B3416" s="72" t="s">
        <v>127</v>
      </c>
      <c r="C3416" s="73">
        <v>40</v>
      </c>
      <c r="D3416" s="73">
        <v>940944.05502472899</v>
      </c>
      <c r="E3416" s="72">
        <v>75275.524401978328</v>
      </c>
      <c r="F3416" s="72" t="s">
        <v>106</v>
      </c>
      <c r="G3416" s="72" t="s">
        <v>71</v>
      </c>
      <c r="H3416" s="72" t="s">
        <v>72</v>
      </c>
    </row>
    <row r="3417" spans="1:8" x14ac:dyDescent="0.25">
      <c r="A3417" s="43" t="s">
        <v>3749</v>
      </c>
      <c r="B3417" s="43" t="s">
        <v>73</v>
      </c>
      <c r="C3417" s="46">
        <v>40</v>
      </c>
      <c r="D3417" s="46">
        <v>1100762.5784429684</v>
      </c>
      <c r="E3417" s="43">
        <v>77053.380491007789</v>
      </c>
      <c r="F3417" s="43" t="s">
        <v>87</v>
      </c>
      <c r="G3417" s="43" t="s">
        <v>71</v>
      </c>
      <c r="H3417" s="43" t="s">
        <v>88</v>
      </c>
    </row>
    <row r="3418" spans="1:8" x14ac:dyDescent="0.25">
      <c r="A3418" s="72" t="s">
        <v>2838</v>
      </c>
      <c r="B3418" s="72" t="s">
        <v>73</v>
      </c>
      <c r="C3418" s="73">
        <v>40</v>
      </c>
      <c r="D3418" s="73">
        <v>1167406.9205194928</v>
      </c>
      <c r="E3418" s="72">
        <v>128414.76125714423</v>
      </c>
      <c r="F3418" s="72" t="s">
        <v>70</v>
      </c>
      <c r="G3418" s="72" t="s">
        <v>71</v>
      </c>
      <c r="H3418" s="72" t="s">
        <v>72</v>
      </c>
    </row>
    <row r="3419" spans="1:8" x14ac:dyDescent="0.25">
      <c r="A3419" s="72" t="s">
        <v>3578</v>
      </c>
      <c r="B3419" s="72" t="s">
        <v>145</v>
      </c>
      <c r="C3419" s="73">
        <v>40</v>
      </c>
      <c r="D3419" s="73">
        <v>1054827.9114838073</v>
      </c>
      <c r="E3419" s="72">
        <v>84386.232918704583</v>
      </c>
      <c r="F3419" s="72" t="s">
        <v>70</v>
      </c>
      <c r="G3419" s="72" t="s">
        <v>71</v>
      </c>
      <c r="H3419" s="72" t="s">
        <v>72</v>
      </c>
    </row>
    <row r="3420" spans="1:8" x14ac:dyDescent="0.25">
      <c r="A3420" s="72" t="s">
        <v>3058</v>
      </c>
      <c r="B3420" s="72" t="s">
        <v>73</v>
      </c>
      <c r="C3420" s="73">
        <v>40</v>
      </c>
      <c r="D3420" s="73">
        <v>1133841.3823160471</v>
      </c>
      <c r="E3420" s="72">
        <v>113384.13823160471</v>
      </c>
      <c r="F3420" s="72" t="s">
        <v>70</v>
      </c>
      <c r="G3420" s="72" t="s">
        <v>71</v>
      </c>
      <c r="H3420" s="72" t="s">
        <v>72</v>
      </c>
    </row>
    <row r="3421" spans="1:8" x14ac:dyDescent="0.25">
      <c r="A3421" s="72" t="s">
        <v>4250</v>
      </c>
      <c r="B3421" s="72" t="s">
        <v>139</v>
      </c>
      <c r="C3421" s="73">
        <v>40</v>
      </c>
      <c r="D3421" s="73">
        <v>946169.55344116874</v>
      </c>
      <c r="E3421" s="72">
        <v>56770.173206470135</v>
      </c>
      <c r="F3421" s="72" t="s">
        <v>70</v>
      </c>
      <c r="G3421" s="72" t="s">
        <v>71</v>
      </c>
      <c r="H3421" s="72" t="s">
        <v>72</v>
      </c>
    </row>
    <row r="3422" spans="1:8" x14ac:dyDescent="0.25">
      <c r="A3422" s="72" t="s">
        <v>4617</v>
      </c>
      <c r="B3422" s="72" t="s">
        <v>73</v>
      </c>
      <c r="C3422" s="73">
        <v>40</v>
      </c>
      <c r="D3422" s="73">
        <v>863821.91675364587</v>
      </c>
      <c r="E3422" s="72">
        <v>43191.095837682296</v>
      </c>
      <c r="F3422" s="72" t="s">
        <v>70</v>
      </c>
      <c r="G3422" s="72" t="s">
        <v>71</v>
      </c>
      <c r="H3422" s="72" t="s">
        <v>72</v>
      </c>
    </row>
    <row r="3423" spans="1:8" x14ac:dyDescent="0.25">
      <c r="A3423" s="43" t="s">
        <v>3579</v>
      </c>
      <c r="B3423" s="43" t="s">
        <v>439</v>
      </c>
      <c r="C3423" s="46">
        <v>40</v>
      </c>
      <c r="D3423" s="46">
        <v>1054827.9114838073</v>
      </c>
      <c r="E3423" s="43">
        <v>84386.232918704583</v>
      </c>
      <c r="F3423" s="43" t="s">
        <v>70</v>
      </c>
      <c r="G3423" s="43" t="s">
        <v>71</v>
      </c>
      <c r="H3423" s="43" t="s">
        <v>72</v>
      </c>
    </row>
    <row r="3424" spans="1:8" x14ac:dyDescent="0.25">
      <c r="A3424" s="43" t="s">
        <v>2839</v>
      </c>
      <c r="B3424" s="43" t="s">
        <v>73</v>
      </c>
      <c r="C3424" s="46">
        <v>40</v>
      </c>
      <c r="D3424" s="46">
        <v>1167406.9205194928</v>
      </c>
      <c r="E3424" s="43">
        <v>128414.76125714423</v>
      </c>
      <c r="F3424" s="43" t="s">
        <v>70</v>
      </c>
      <c r="G3424" s="43" t="s">
        <v>71</v>
      </c>
      <c r="H3424" s="43" t="s">
        <v>72</v>
      </c>
    </row>
    <row r="3425" spans="1:8" x14ac:dyDescent="0.25">
      <c r="A3425" s="72" t="s">
        <v>2840</v>
      </c>
      <c r="B3425" s="72" t="s">
        <v>77</v>
      </c>
      <c r="C3425" s="73">
        <v>40</v>
      </c>
      <c r="D3425" s="73">
        <v>1167406.9205194928</v>
      </c>
      <c r="E3425" s="72">
        <v>128414.76125714423</v>
      </c>
      <c r="F3425" s="72" t="s">
        <v>70</v>
      </c>
      <c r="G3425" s="72" t="s">
        <v>71</v>
      </c>
      <c r="H3425" s="72" t="s">
        <v>72</v>
      </c>
    </row>
    <row r="3426" spans="1:8" x14ac:dyDescent="0.25">
      <c r="A3426" s="72" t="s">
        <v>2039</v>
      </c>
      <c r="B3426" s="72" t="s">
        <v>73</v>
      </c>
      <c r="C3426" s="73">
        <v>40</v>
      </c>
      <c r="D3426" s="73">
        <v>1321505.9229523209</v>
      </c>
      <c r="E3426" s="72">
        <v>185010.82921332491</v>
      </c>
      <c r="F3426" s="72" t="s">
        <v>84</v>
      </c>
      <c r="G3426" s="72" t="s">
        <v>71</v>
      </c>
      <c r="H3426" s="72" t="s">
        <v>72</v>
      </c>
    </row>
    <row r="3427" spans="1:8" x14ac:dyDescent="0.25">
      <c r="A3427" s="72" t="s">
        <v>3194</v>
      </c>
      <c r="B3427" s="72" t="s">
        <v>127</v>
      </c>
      <c r="C3427" s="73">
        <v>40</v>
      </c>
      <c r="D3427" s="73">
        <v>1163693.6389039871</v>
      </c>
      <c r="E3427" s="72">
        <v>104732.42750135883</v>
      </c>
      <c r="F3427" s="72" t="s">
        <v>87</v>
      </c>
      <c r="G3427" s="72" t="s">
        <v>71</v>
      </c>
      <c r="H3427" s="72" t="s">
        <v>88</v>
      </c>
    </row>
    <row r="3428" spans="1:8" x14ac:dyDescent="0.25">
      <c r="A3428" s="72" t="s">
        <v>2508</v>
      </c>
      <c r="B3428" s="72" t="s">
        <v>73</v>
      </c>
      <c r="C3428" s="73">
        <v>40</v>
      </c>
      <c r="D3428" s="73">
        <v>1234764.6391806887</v>
      </c>
      <c r="E3428" s="72">
        <v>148171.75670168264</v>
      </c>
      <c r="F3428" s="72" t="s">
        <v>87</v>
      </c>
      <c r="G3428" s="72" t="s">
        <v>71</v>
      </c>
      <c r="H3428" s="72" t="s">
        <v>88</v>
      </c>
    </row>
    <row r="3429" spans="1:8" x14ac:dyDescent="0.25">
      <c r="A3429" s="72" t="s">
        <v>2578</v>
      </c>
      <c r="B3429" s="72" t="s">
        <v>102</v>
      </c>
      <c r="C3429" s="73">
        <v>40</v>
      </c>
      <c r="D3429" s="73">
        <v>1198203.4744926624</v>
      </c>
      <c r="E3429" s="72">
        <v>143784.41693911952</v>
      </c>
      <c r="F3429" s="72" t="s">
        <v>70</v>
      </c>
      <c r="G3429" s="72" t="s">
        <v>71</v>
      </c>
      <c r="H3429" s="72" t="s">
        <v>72</v>
      </c>
    </row>
    <row r="3430" spans="1:8" x14ac:dyDescent="0.25">
      <c r="A3430" s="72" t="s">
        <v>2494</v>
      </c>
      <c r="B3430" s="72" t="s">
        <v>83</v>
      </c>
      <c r="C3430" s="73">
        <v>40</v>
      </c>
      <c r="D3430" s="73">
        <v>1241510.6584549644</v>
      </c>
      <c r="E3430" s="72">
        <v>148981.27901459573</v>
      </c>
      <c r="F3430" s="72" t="s">
        <v>84</v>
      </c>
      <c r="G3430" s="72" t="s">
        <v>71</v>
      </c>
      <c r="H3430" s="72" t="s">
        <v>72</v>
      </c>
    </row>
    <row r="3431" spans="1:8" x14ac:dyDescent="0.25">
      <c r="A3431" s="43" t="s">
        <v>2747</v>
      </c>
      <c r="B3431" s="43" t="s">
        <v>202</v>
      </c>
      <c r="C3431" s="46">
        <v>40</v>
      </c>
      <c r="D3431" s="46">
        <v>1213221.0839348715</v>
      </c>
      <c r="E3431" s="43">
        <v>133454.31923283587</v>
      </c>
      <c r="F3431" s="43" t="s">
        <v>87</v>
      </c>
      <c r="G3431" s="43" t="s">
        <v>71</v>
      </c>
      <c r="H3431" s="43" t="s">
        <v>88</v>
      </c>
    </row>
    <row r="3432" spans="1:8" x14ac:dyDescent="0.25">
      <c r="A3432" s="43" t="s">
        <v>2977</v>
      </c>
      <c r="B3432" s="43" t="s">
        <v>93</v>
      </c>
      <c r="C3432" s="46">
        <v>40</v>
      </c>
      <c r="D3432" s="46">
        <v>1189700.2462506606</v>
      </c>
      <c r="E3432" s="43">
        <v>118970.02462506607</v>
      </c>
      <c r="F3432" s="43" t="s">
        <v>87</v>
      </c>
      <c r="G3432" s="43" t="s">
        <v>71</v>
      </c>
      <c r="H3432" s="43" t="s">
        <v>88</v>
      </c>
    </row>
    <row r="3433" spans="1:8" x14ac:dyDescent="0.25">
      <c r="A3433" s="43" t="s">
        <v>2841</v>
      </c>
      <c r="B3433" s="43" t="s">
        <v>97</v>
      </c>
      <c r="C3433" s="46">
        <v>40</v>
      </c>
      <c r="D3433" s="46">
        <v>1167406.9205194928</v>
      </c>
      <c r="E3433" s="43">
        <v>128414.76125714423</v>
      </c>
      <c r="F3433" s="43" t="s">
        <v>70</v>
      </c>
      <c r="G3433" s="43" t="s">
        <v>71</v>
      </c>
      <c r="H3433" s="43" t="s">
        <v>72</v>
      </c>
    </row>
    <row r="3434" spans="1:8" x14ac:dyDescent="0.25">
      <c r="A3434" s="43" t="s">
        <v>3503</v>
      </c>
      <c r="B3434" s="43" t="s">
        <v>89</v>
      </c>
      <c r="C3434" s="46">
        <v>40</v>
      </c>
      <c r="D3434" s="46">
        <v>882585.27223971568</v>
      </c>
      <c r="E3434" s="43">
        <v>88258.52722397157</v>
      </c>
      <c r="F3434" s="43" t="s">
        <v>95</v>
      </c>
      <c r="G3434" s="43" t="s">
        <v>96</v>
      </c>
      <c r="H3434" s="43" t="s">
        <v>88</v>
      </c>
    </row>
    <row r="3435" spans="1:8" x14ac:dyDescent="0.25">
      <c r="A3435" s="72" t="s">
        <v>3140</v>
      </c>
      <c r="B3435" s="72" t="s">
        <v>93</v>
      </c>
      <c r="C3435" s="73">
        <v>40</v>
      </c>
      <c r="D3435" s="73">
        <v>979791.08960261615</v>
      </c>
      <c r="E3435" s="72">
        <v>107777.01985628779</v>
      </c>
      <c r="F3435" s="72" t="s">
        <v>106</v>
      </c>
      <c r="G3435" s="72" t="s">
        <v>71</v>
      </c>
      <c r="H3435" s="72" t="s">
        <v>72</v>
      </c>
    </row>
    <row r="3436" spans="1:8" x14ac:dyDescent="0.25">
      <c r="A3436" s="43" t="s">
        <v>3059</v>
      </c>
      <c r="B3436" s="43" t="s">
        <v>211</v>
      </c>
      <c r="C3436" s="46">
        <v>40</v>
      </c>
      <c r="D3436" s="46">
        <v>1133841.3823160471</v>
      </c>
      <c r="E3436" s="43">
        <v>113384.13823160471</v>
      </c>
      <c r="F3436" s="43" t="s">
        <v>70</v>
      </c>
      <c r="G3436" s="43" t="s">
        <v>71</v>
      </c>
      <c r="H3436" s="43" t="s">
        <v>72</v>
      </c>
    </row>
    <row r="3437" spans="1:8" x14ac:dyDescent="0.25">
      <c r="A3437" s="72" t="s">
        <v>2978</v>
      </c>
      <c r="B3437" s="72" t="s">
        <v>93</v>
      </c>
      <c r="C3437" s="73">
        <v>40</v>
      </c>
      <c r="D3437" s="73">
        <v>1189700.2462506606</v>
      </c>
      <c r="E3437" s="72">
        <v>118970.02462506607</v>
      </c>
      <c r="F3437" s="72" t="s">
        <v>87</v>
      </c>
      <c r="G3437" s="72" t="s">
        <v>71</v>
      </c>
      <c r="H3437" s="72" t="s">
        <v>88</v>
      </c>
    </row>
    <row r="3438" spans="1:8" x14ac:dyDescent="0.25">
      <c r="A3438" s="72" t="s">
        <v>2748</v>
      </c>
      <c r="B3438" s="72" t="s">
        <v>73</v>
      </c>
      <c r="C3438" s="73">
        <v>40</v>
      </c>
      <c r="D3438" s="73">
        <v>1213221.0839348715</v>
      </c>
      <c r="E3438" s="72">
        <v>133454.31923283587</v>
      </c>
      <c r="F3438" s="72" t="s">
        <v>87</v>
      </c>
      <c r="G3438" s="72" t="s">
        <v>71</v>
      </c>
      <c r="H3438" s="72" t="s">
        <v>88</v>
      </c>
    </row>
    <row r="3439" spans="1:8" x14ac:dyDescent="0.25">
      <c r="A3439" s="43" t="s">
        <v>2579</v>
      </c>
      <c r="B3439" s="43" t="s">
        <v>73</v>
      </c>
      <c r="C3439" s="46">
        <v>40</v>
      </c>
      <c r="D3439" s="46">
        <v>1198203.4744926624</v>
      </c>
      <c r="E3439" s="43">
        <v>143784.41693911952</v>
      </c>
      <c r="F3439" s="43" t="s">
        <v>70</v>
      </c>
      <c r="G3439" s="43" t="s">
        <v>71</v>
      </c>
      <c r="H3439" s="43" t="s">
        <v>72</v>
      </c>
    </row>
    <row r="3440" spans="1:8" x14ac:dyDescent="0.25">
      <c r="A3440" s="43" t="s">
        <v>3313</v>
      </c>
      <c r="B3440" s="43" t="s">
        <v>112</v>
      </c>
      <c r="C3440" s="46">
        <v>40</v>
      </c>
      <c r="D3440" s="46">
        <v>1096723.0867328688</v>
      </c>
      <c r="E3440" s="43">
        <v>98705.077805958193</v>
      </c>
      <c r="F3440" s="43" t="s">
        <v>70</v>
      </c>
      <c r="G3440" s="43" t="s">
        <v>71</v>
      </c>
      <c r="H3440" s="43" t="s">
        <v>72</v>
      </c>
    </row>
    <row r="3441" spans="1:8" x14ac:dyDescent="0.25">
      <c r="A3441" s="43" t="s">
        <v>3907</v>
      </c>
      <c r="B3441" s="43" t="s">
        <v>85</v>
      </c>
      <c r="C3441" s="46">
        <v>40</v>
      </c>
      <c r="D3441" s="46">
        <v>1006050.5668001248</v>
      </c>
      <c r="E3441" s="43">
        <v>70423.539676008731</v>
      </c>
      <c r="F3441" s="43" t="s">
        <v>70</v>
      </c>
      <c r="G3441" s="43" t="s">
        <v>71</v>
      </c>
      <c r="H3441" s="43" t="s">
        <v>72</v>
      </c>
    </row>
    <row r="3442" spans="1:8" x14ac:dyDescent="0.25">
      <c r="A3442" s="43" t="s">
        <v>4444</v>
      </c>
      <c r="B3442" s="43" t="s">
        <v>73</v>
      </c>
      <c r="C3442" s="46">
        <v>40</v>
      </c>
      <c r="D3442" s="46">
        <v>1009417.8878665295</v>
      </c>
      <c r="E3442" s="43">
        <v>50470.894393326482</v>
      </c>
      <c r="F3442" s="43" t="s">
        <v>87</v>
      </c>
      <c r="G3442" s="43" t="s">
        <v>71</v>
      </c>
      <c r="H3442" s="43" t="s">
        <v>88</v>
      </c>
    </row>
    <row r="3443" spans="1:8" x14ac:dyDescent="0.25">
      <c r="A3443" s="43" t="s">
        <v>4754</v>
      </c>
      <c r="B3443" s="43" t="s">
        <v>267</v>
      </c>
      <c r="C3443" s="46">
        <v>40</v>
      </c>
      <c r="D3443" s="46">
        <v>935222.94405139796</v>
      </c>
      <c r="E3443" s="43">
        <v>37408.91776205592</v>
      </c>
      <c r="F3443" s="43" t="s">
        <v>87</v>
      </c>
      <c r="G3443" s="43" t="s">
        <v>71</v>
      </c>
      <c r="H3443" s="43" t="s">
        <v>88</v>
      </c>
    </row>
    <row r="3444" spans="1:8" x14ac:dyDescent="0.25">
      <c r="A3444" s="43" t="s">
        <v>4251</v>
      </c>
      <c r="B3444" s="43" t="s">
        <v>102</v>
      </c>
      <c r="C3444" s="46">
        <v>40</v>
      </c>
      <c r="D3444" s="46">
        <v>946169.55344116874</v>
      </c>
      <c r="E3444" s="43">
        <v>56770.173206470135</v>
      </c>
      <c r="F3444" s="43" t="s">
        <v>70</v>
      </c>
      <c r="G3444" s="43" t="s">
        <v>71</v>
      </c>
      <c r="H3444" s="43" t="s">
        <v>72</v>
      </c>
    </row>
    <row r="3445" spans="1:8" x14ac:dyDescent="0.25">
      <c r="A3445" s="72" t="s">
        <v>3908</v>
      </c>
      <c r="B3445" s="72" t="s">
        <v>102</v>
      </c>
      <c r="C3445" s="73">
        <v>40</v>
      </c>
      <c r="D3445" s="73">
        <v>1006050.5668001248</v>
      </c>
      <c r="E3445" s="72">
        <v>70423.539676008731</v>
      </c>
      <c r="F3445" s="72" t="s">
        <v>70</v>
      </c>
      <c r="G3445" s="72" t="s">
        <v>71</v>
      </c>
      <c r="H3445" s="72" t="s">
        <v>72</v>
      </c>
    </row>
    <row r="3446" spans="1:8" x14ac:dyDescent="0.25">
      <c r="A3446" s="43" t="s">
        <v>3909</v>
      </c>
      <c r="B3446" s="43" t="s">
        <v>102</v>
      </c>
      <c r="C3446" s="46">
        <v>40</v>
      </c>
      <c r="D3446" s="46">
        <v>1006050.5668001248</v>
      </c>
      <c r="E3446" s="43">
        <v>70423.539676008731</v>
      </c>
      <c r="F3446" s="43" t="s">
        <v>70</v>
      </c>
      <c r="G3446" s="43" t="s">
        <v>71</v>
      </c>
      <c r="H3446" s="43" t="s">
        <v>72</v>
      </c>
    </row>
    <row r="3447" spans="1:8" x14ac:dyDescent="0.25">
      <c r="A3447" s="43" t="s">
        <v>2495</v>
      </c>
      <c r="B3447" s="43" t="s">
        <v>83</v>
      </c>
      <c r="C3447" s="46">
        <v>40</v>
      </c>
      <c r="D3447" s="46">
        <v>1241510.6584549644</v>
      </c>
      <c r="E3447" s="43">
        <v>148981.27901459573</v>
      </c>
      <c r="F3447" s="43" t="s">
        <v>84</v>
      </c>
      <c r="G3447" s="43" t="s">
        <v>71</v>
      </c>
      <c r="H3447" s="43" t="s">
        <v>72</v>
      </c>
    </row>
    <row r="3448" spans="1:8" x14ac:dyDescent="0.25">
      <c r="A3448" s="43" t="s">
        <v>2749</v>
      </c>
      <c r="B3448" s="43" t="s">
        <v>93</v>
      </c>
      <c r="C3448" s="46">
        <v>40</v>
      </c>
      <c r="D3448" s="46">
        <v>1213221.0839348715</v>
      </c>
      <c r="E3448" s="43">
        <v>133454.31923283587</v>
      </c>
      <c r="F3448" s="43" t="s">
        <v>87</v>
      </c>
      <c r="G3448" s="43" t="s">
        <v>71</v>
      </c>
      <c r="H3448" s="43" t="s">
        <v>88</v>
      </c>
    </row>
    <row r="3449" spans="1:8" x14ac:dyDescent="0.25">
      <c r="A3449" s="72" t="s">
        <v>3910</v>
      </c>
      <c r="B3449" s="72" t="s">
        <v>85</v>
      </c>
      <c r="C3449" s="73">
        <v>40</v>
      </c>
      <c r="D3449" s="73">
        <v>1006050.5668001248</v>
      </c>
      <c r="E3449" s="72">
        <v>70423.539676008731</v>
      </c>
      <c r="F3449" s="72" t="s">
        <v>70</v>
      </c>
      <c r="G3449" s="72" t="s">
        <v>71</v>
      </c>
      <c r="H3449" s="72" t="s">
        <v>72</v>
      </c>
    </row>
    <row r="3450" spans="1:8" x14ac:dyDescent="0.25">
      <c r="A3450" s="72" t="s">
        <v>3060</v>
      </c>
      <c r="B3450" s="72" t="s">
        <v>97</v>
      </c>
      <c r="C3450" s="73">
        <v>40</v>
      </c>
      <c r="D3450" s="73">
        <v>1133841.3823160471</v>
      </c>
      <c r="E3450" s="72">
        <v>113384.13823160471</v>
      </c>
      <c r="F3450" s="72" t="s">
        <v>70</v>
      </c>
      <c r="G3450" s="72" t="s">
        <v>71</v>
      </c>
      <c r="H3450" s="72" t="s">
        <v>72</v>
      </c>
    </row>
    <row r="3451" spans="1:8" x14ac:dyDescent="0.25">
      <c r="A3451" s="72" t="s">
        <v>4252</v>
      </c>
      <c r="B3451" s="72" t="s">
        <v>97</v>
      </c>
      <c r="C3451" s="73">
        <v>40</v>
      </c>
      <c r="D3451" s="73">
        <v>946169.55344116874</v>
      </c>
      <c r="E3451" s="72">
        <v>56770.173206470135</v>
      </c>
      <c r="F3451" s="72" t="s">
        <v>70</v>
      </c>
      <c r="G3451" s="72" t="s">
        <v>71</v>
      </c>
      <c r="H3451" s="72" t="s">
        <v>72</v>
      </c>
    </row>
    <row r="3452" spans="1:8" x14ac:dyDescent="0.25">
      <c r="A3452" s="43" t="s">
        <v>3061</v>
      </c>
      <c r="B3452" s="43" t="s">
        <v>367</v>
      </c>
      <c r="C3452" s="46">
        <v>40</v>
      </c>
      <c r="D3452" s="46">
        <v>1133841.3823160471</v>
      </c>
      <c r="E3452" s="43">
        <v>113384.13823160471</v>
      </c>
      <c r="F3452" s="43" t="s">
        <v>70</v>
      </c>
      <c r="G3452" s="43" t="s">
        <v>71</v>
      </c>
      <c r="H3452" s="43" t="s">
        <v>72</v>
      </c>
    </row>
    <row r="3453" spans="1:8" x14ac:dyDescent="0.25">
      <c r="A3453" s="43" t="s">
        <v>2981</v>
      </c>
      <c r="B3453" s="43" t="s">
        <v>93</v>
      </c>
      <c r="C3453" s="46">
        <v>40</v>
      </c>
      <c r="D3453" s="46">
        <v>990411.86416777957</v>
      </c>
      <c r="E3453" s="43">
        <v>118849.42370013354</v>
      </c>
      <c r="F3453" s="43" t="s">
        <v>106</v>
      </c>
      <c r="G3453" s="43" t="s">
        <v>71</v>
      </c>
      <c r="H3453" s="43" t="s">
        <v>72</v>
      </c>
    </row>
    <row r="3454" spans="1:8" x14ac:dyDescent="0.25">
      <c r="A3454" s="72" t="s">
        <v>3062</v>
      </c>
      <c r="B3454" s="72" t="s">
        <v>107</v>
      </c>
      <c r="C3454" s="73">
        <v>40</v>
      </c>
      <c r="D3454" s="73">
        <v>1133841.3823160471</v>
      </c>
      <c r="E3454" s="72">
        <v>113384.13823160471</v>
      </c>
      <c r="F3454" s="72" t="s">
        <v>70</v>
      </c>
      <c r="G3454" s="72" t="s">
        <v>71</v>
      </c>
      <c r="H3454" s="72" t="s">
        <v>72</v>
      </c>
    </row>
    <row r="3455" spans="1:8" x14ac:dyDescent="0.25">
      <c r="A3455" s="43" t="s">
        <v>2310</v>
      </c>
      <c r="B3455" s="43" t="s">
        <v>93</v>
      </c>
      <c r="C3455" s="46">
        <v>40</v>
      </c>
      <c r="D3455" s="46">
        <v>1254691.7578195408</v>
      </c>
      <c r="E3455" s="43">
        <v>163109.9285165403</v>
      </c>
      <c r="F3455" s="43" t="s">
        <v>87</v>
      </c>
      <c r="G3455" s="43" t="s">
        <v>71</v>
      </c>
      <c r="H3455" s="43" t="s">
        <v>88</v>
      </c>
    </row>
    <row r="3456" spans="1:8" x14ac:dyDescent="0.25">
      <c r="A3456" s="72" t="s">
        <v>3850</v>
      </c>
      <c r="B3456" s="72" t="s">
        <v>75</v>
      </c>
      <c r="C3456" s="73">
        <v>40</v>
      </c>
      <c r="D3456" s="73">
        <v>1036031.6064411335</v>
      </c>
      <c r="E3456" s="72">
        <v>72522.212450879335</v>
      </c>
      <c r="F3456" s="72" t="s">
        <v>78</v>
      </c>
      <c r="G3456" s="72" t="s">
        <v>71</v>
      </c>
      <c r="H3456" s="72" t="s">
        <v>72</v>
      </c>
    </row>
    <row r="3457" spans="1:8" x14ac:dyDescent="0.25">
      <c r="A3457" s="72" t="s">
        <v>3609</v>
      </c>
      <c r="B3457" s="72" t="s">
        <v>83</v>
      </c>
      <c r="C3457" s="73">
        <v>40</v>
      </c>
      <c r="D3457" s="73">
        <v>1035181.8399400301</v>
      </c>
      <c r="E3457" s="72">
        <v>82814.547195202409</v>
      </c>
      <c r="F3457" s="72" t="s">
        <v>84</v>
      </c>
      <c r="G3457" s="72" t="s">
        <v>71</v>
      </c>
      <c r="H3457" s="72" t="s">
        <v>72</v>
      </c>
    </row>
    <row r="3458" spans="1:8" x14ac:dyDescent="0.25">
      <c r="A3458" s="43" t="s">
        <v>2979</v>
      </c>
      <c r="B3458" s="43" t="s">
        <v>202</v>
      </c>
      <c r="C3458" s="46">
        <v>40</v>
      </c>
      <c r="D3458" s="46">
        <v>1189700.2462506606</v>
      </c>
      <c r="E3458" s="43">
        <v>118970.02462506607</v>
      </c>
      <c r="F3458" s="43" t="s">
        <v>87</v>
      </c>
      <c r="G3458" s="43" t="s">
        <v>71</v>
      </c>
      <c r="H3458" s="43" t="s">
        <v>88</v>
      </c>
    </row>
    <row r="3459" spans="1:8" x14ac:dyDescent="0.25">
      <c r="A3459" s="72" t="s">
        <v>2150</v>
      </c>
      <c r="B3459" s="72" t="s">
        <v>145</v>
      </c>
      <c r="C3459" s="73">
        <v>40</v>
      </c>
      <c r="D3459" s="73">
        <v>1253484.4896570155</v>
      </c>
      <c r="E3459" s="72">
        <v>175487.82855198215</v>
      </c>
      <c r="F3459" s="72" t="s">
        <v>70</v>
      </c>
      <c r="G3459" s="72" t="s">
        <v>71</v>
      </c>
      <c r="H3459" s="72" t="s">
        <v>72</v>
      </c>
    </row>
    <row r="3460" spans="1:8" x14ac:dyDescent="0.25">
      <c r="A3460" s="43" t="s">
        <v>3911</v>
      </c>
      <c r="B3460" s="43" t="s">
        <v>74</v>
      </c>
      <c r="C3460" s="46">
        <v>40</v>
      </c>
      <c r="D3460" s="46">
        <v>1006050.5668001248</v>
      </c>
      <c r="E3460" s="43">
        <v>70423.539676008731</v>
      </c>
      <c r="F3460" s="43" t="s">
        <v>70</v>
      </c>
      <c r="G3460" s="43" t="s">
        <v>71</v>
      </c>
      <c r="H3460" s="43" t="s">
        <v>72</v>
      </c>
    </row>
    <row r="3461" spans="1:8" x14ac:dyDescent="0.25">
      <c r="A3461" s="43" t="s">
        <v>2509</v>
      </c>
      <c r="B3461" s="43" t="s">
        <v>73</v>
      </c>
      <c r="C3461" s="46">
        <v>40</v>
      </c>
      <c r="D3461" s="46">
        <v>1234764.6391806887</v>
      </c>
      <c r="E3461" s="43">
        <v>148171.75670168264</v>
      </c>
      <c r="F3461" s="43" t="s">
        <v>87</v>
      </c>
      <c r="G3461" s="43" t="s">
        <v>71</v>
      </c>
      <c r="H3461" s="43" t="s">
        <v>88</v>
      </c>
    </row>
    <row r="3462" spans="1:8" x14ac:dyDescent="0.25">
      <c r="A3462" s="43" t="s">
        <v>4253</v>
      </c>
      <c r="B3462" s="43" t="s">
        <v>103</v>
      </c>
      <c r="C3462" s="46">
        <v>40</v>
      </c>
      <c r="D3462" s="46">
        <v>946169.55344116874</v>
      </c>
      <c r="E3462" s="43">
        <v>56770.173206470135</v>
      </c>
      <c r="F3462" s="43" t="s">
        <v>70</v>
      </c>
      <c r="G3462" s="43" t="s">
        <v>71</v>
      </c>
      <c r="H3462" s="43" t="s">
        <v>72</v>
      </c>
    </row>
    <row r="3463" spans="1:8" x14ac:dyDescent="0.25">
      <c r="A3463" s="43" t="s">
        <v>4328</v>
      </c>
      <c r="B3463" s="43" t="s">
        <v>113</v>
      </c>
      <c r="C3463" s="46">
        <v>40</v>
      </c>
      <c r="D3463" s="46">
        <v>905122.89710285526</v>
      </c>
      <c r="E3463" s="43">
        <v>54307.37382617133</v>
      </c>
      <c r="F3463" s="43" t="s">
        <v>106</v>
      </c>
      <c r="G3463" s="43" t="s">
        <v>71</v>
      </c>
      <c r="H3463" s="43" t="s">
        <v>72</v>
      </c>
    </row>
    <row r="3464" spans="1:8" x14ac:dyDescent="0.25">
      <c r="A3464" s="72" t="s">
        <v>4329</v>
      </c>
      <c r="B3464" s="72" t="s">
        <v>378</v>
      </c>
      <c r="C3464" s="73">
        <v>40</v>
      </c>
      <c r="D3464" s="73">
        <v>905122.89710285526</v>
      </c>
      <c r="E3464" s="72">
        <v>54307.37382617133</v>
      </c>
      <c r="F3464" s="72" t="s">
        <v>106</v>
      </c>
      <c r="G3464" s="72" t="s">
        <v>71</v>
      </c>
      <c r="H3464" s="72" t="s">
        <v>72</v>
      </c>
    </row>
    <row r="3465" spans="1:8" x14ac:dyDescent="0.25">
      <c r="A3465" s="43" t="s">
        <v>2363</v>
      </c>
      <c r="B3465" s="43" t="s">
        <v>97</v>
      </c>
      <c r="C3465" s="46">
        <v>40</v>
      </c>
      <c r="D3465" s="46">
        <v>1226767.4678587094</v>
      </c>
      <c r="E3465" s="43">
        <v>159479.77082163224</v>
      </c>
      <c r="F3465" s="43" t="s">
        <v>70</v>
      </c>
      <c r="G3465" s="43" t="s">
        <v>71</v>
      </c>
      <c r="H3465" s="43" t="s">
        <v>72</v>
      </c>
    </row>
    <row r="3466" spans="1:8" x14ac:dyDescent="0.25">
      <c r="A3466" s="43" t="s">
        <v>4618</v>
      </c>
      <c r="B3466" s="43" t="s">
        <v>162</v>
      </c>
      <c r="C3466" s="46">
        <v>40</v>
      </c>
      <c r="D3466" s="46">
        <v>863821.91675364587</v>
      </c>
      <c r="E3466" s="43">
        <v>43191.095837682296</v>
      </c>
      <c r="F3466" s="43" t="s">
        <v>70</v>
      </c>
      <c r="G3466" s="43" t="s">
        <v>71</v>
      </c>
      <c r="H3466" s="43" t="s">
        <v>72</v>
      </c>
    </row>
    <row r="3467" spans="1:8" x14ac:dyDescent="0.25">
      <c r="A3467" s="72" t="s">
        <v>3314</v>
      </c>
      <c r="B3467" s="72" t="s">
        <v>97</v>
      </c>
      <c r="C3467" s="73">
        <v>40</v>
      </c>
      <c r="D3467" s="73">
        <v>1096723.0867328688</v>
      </c>
      <c r="E3467" s="72">
        <v>98705.077805958193</v>
      </c>
      <c r="F3467" s="72" t="s">
        <v>70</v>
      </c>
      <c r="G3467" s="72" t="s">
        <v>71</v>
      </c>
      <c r="H3467" s="72" t="s">
        <v>72</v>
      </c>
    </row>
    <row r="3468" spans="1:8" x14ac:dyDescent="0.25">
      <c r="A3468" s="43" t="s">
        <v>3195</v>
      </c>
      <c r="B3468" s="43" t="s">
        <v>73</v>
      </c>
      <c r="C3468" s="46">
        <v>40</v>
      </c>
      <c r="D3468" s="46">
        <v>1163693.6389039871</v>
      </c>
      <c r="E3468" s="43">
        <v>104732.42750135883</v>
      </c>
      <c r="F3468" s="43" t="s">
        <v>87</v>
      </c>
      <c r="G3468" s="43" t="s">
        <v>71</v>
      </c>
      <c r="H3468" s="43" t="s">
        <v>88</v>
      </c>
    </row>
    <row r="3469" spans="1:8" x14ac:dyDescent="0.25">
      <c r="A3469" s="43" t="s">
        <v>4594</v>
      </c>
      <c r="B3469" s="43" t="s">
        <v>127</v>
      </c>
      <c r="C3469" s="46">
        <v>40</v>
      </c>
      <c r="D3469" s="46">
        <v>881412.6083364127</v>
      </c>
      <c r="E3469" s="43">
        <v>44070.630416820641</v>
      </c>
      <c r="F3469" s="43" t="s">
        <v>106</v>
      </c>
      <c r="G3469" s="43" t="s">
        <v>71</v>
      </c>
      <c r="H3469" s="43" t="s">
        <v>72</v>
      </c>
    </row>
    <row r="3470" spans="1:8" x14ac:dyDescent="0.25">
      <c r="A3470" s="72" t="s">
        <v>4083</v>
      </c>
      <c r="B3470" s="72" t="s">
        <v>93</v>
      </c>
      <c r="C3470" s="73">
        <v>40</v>
      </c>
      <c r="D3470" s="73">
        <v>1060533.7925312307</v>
      </c>
      <c r="E3470" s="72">
        <v>63632.027551873842</v>
      </c>
      <c r="F3470" s="72" t="s">
        <v>87</v>
      </c>
      <c r="G3470" s="72" t="s">
        <v>71</v>
      </c>
      <c r="H3470" s="72" t="s">
        <v>88</v>
      </c>
    </row>
    <row r="3471" spans="1:8" x14ac:dyDescent="0.25">
      <c r="A3471" s="72" t="s">
        <v>2842</v>
      </c>
      <c r="B3471" s="72" t="s">
        <v>211</v>
      </c>
      <c r="C3471" s="73">
        <v>40</v>
      </c>
      <c r="D3471" s="73">
        <v>1167406.9205194928</v>
      </c>
      <c r="E3471" s="72">
        <v>128414.76125714423</v>
      </c>
      <c r="F3471" s="72" t="s">
        <v>70</v>
      </c>
      <c r="G3471" s="72" t="s">
        <v>71</v>
      </c>
      <c r="H3471" s="72" t="s">
        <v>72</v>
      </c>
    </row>
    <row r="3472" spans="1:8" x14ac:dyDescent="0.25">
      <c r="A3472" s="43" t="s">
        <v>3791</v>
      </c>
      <c r="B3472" s="43" t="s">
        <v>75</v>
      </c>
      <c r="C3472" s="46">
        <v>40</v>
      </c>
      <c r="D3472" s="46">
        <v>940944.05502472899</v>
      </c>
      <c r="E3472" s="43">
        <v>75275.524401978328</v>
      </c>
      <c r="F3472" s="43" t="s">
        <v>106</v>
      </c>
      <c r="G3472" s="43" t="s">
        <v>71</v>
      </c>
      <c r="H3472" s="43" t="s">
        <v>72</v>
      </c>
    </row>
    <row r="3473" spans="1:8" x14ac:dyDescent="0.25">
      <c r="A3473" s="43" t="s">
        <v>4084</v>
      </c>
      <c r="B3473" s="43" t="s">
        <v>73</v>
      </c>
      <c r="C3473" s="46">
        <v>40</v>
      </c>
      <c r="D3473" s="46">
        <v>1060533.7925312307</v>
      </c>
      <c r="E3473" s="43">
        <v>63632.027551873842</v>
      </c>
      <c r="F3473" s="43" t="s">
        <v>87</v>
      </c>
      <c r="G3473" s="43" t="s">
        <v>71</v>
      </c>
      <c r="H3473" s="43" t="s">
        <v>88</v>
      </c>
    </row>
    <row r="3474" spans="1:8" x14ac:dyDescent="0.25">
      <c r="A3474" s="72" t="s">
        <v>2640</v>
      </c>
      <c r="B3474" s="72" t="s">
        <v>119</v>
      </c>
      <c r="C3474" s="73">
        <v>39</v>
      </c>
      <c r="D3474" s="73">
        <v>1167702.0729734001</v>
      </c>
      <c r="E3474" s="72">
        <v>140124.24875680805</v>
      </c>
      <c r="F3474" s="72" t="s">
        <v>70</v>
      </c>
      <c r="G3474" s="72" t="s">
        <v>71</v>
      </c>
      <c r="H3474" s="72" t="s">
        <v>72</v>
      </c>
    </row>
    <row r="3475" spans="1:8" x14ac:dyDescent="0.25">
      <c r="A3475" s="72" t="s">
        <v>4767</v>
      </c>
      <c r="B3475" s="72" t="s">
        <v>93</v>
      </c>
      <c r="C3475" s="73">
        <v>39</v>
      </c>
      <c r="D3475" s="73">
        <v>911369.02574724751</v>
      </c>
      <c r="E3475" s="72">
        <v>36454.761029889902</v>
      </c>
      <c r="F3475" s="72" t="s">
        <v>87</v>
      </c>
      <c r="G3475" s="72" t="s">
        <v>71</v>
      </c>
      <c r="H3475" s="72" t="s">
        <v>88</v>
      </c>
    </row>
    <row r="3476" spans="1:8" x14ac:dyDescent="0.25">
      <c r="A3476" s="72" t="s">
        <v>4642</v>
      </c>
      <c r="B3476" s="72" t="s">
        <v>102</v>
      </c>
      <c r="C3476" s="73">
        <v>39</v>
      </c>
      <c r="D3476" s="73">
        <v>841680.0541778591</v>
      </c>
      <c r="E3476" s="72">
        <v>42084.002708892956</v>
      </c>
      <c r="F3476" s="72" t="s">
        <v>70</v>
      </c>
      <c r="G3476" s="72" t="s">
        <v>71</v>
      </c>
      <c r="H3476" s="72" t="s">
        <v>72</v>
      </c>
    </row>
    <row r="3477" spans="1:8" x14ac:dyDescent="0.25">
      <c r="A3477" s="43" t="s">
        <v>2641</v>
      </c>
      <c r="B3477" s="43" t="s">
        <v>107</v>
      </c>
      <c r="C3477" s="46">
        <v>39</v>
      </c>
      <c r="D3477" s="46">
        <v>1167702.0729734001</v>
      </c>
      <c r="E3477" s="43">
        <v>140124.24875680805</v>
      </c>
      <c r="F3477" s="43" t="s">
        <v>70</v>
      </c>
      <c r="G3477" s="43" t="s">
        <v>71</v>
      </c>
      <c r="H3477" s="43" t="s">
        <v>72</v>
      </c>
    </row>
    <row r="3478" spans="1:8" x14ac:dyDescent="0.25">
      <c r="A3478" s="43" t="s">
        <v>4303</v>
      </c>
      <c r="B3478" s="43" t="s">
        <v>102</v>
      </c>
      <c r="C3478" s="46">
        <v>39</v>
      </c>
      <c r="D3478" s="46">
        <v>921968.9999481939</v>
      </c>
      <c r="E3478" s="43">
        <v>55318.139996891645</v>
      </c>
      <c r="F3478" s="43" t="s">
        <v>70</v>
      </c>
      <c r="G3478" s="43" t="s">
        <v>71</v>
      </c>
      <c r="H3478" s="43" t="s">
        <v>72</v>
      </c>
    </row>
    <row r="3479" spans="1:8" x14ac:dyDescent="0.25">
      <c r="A3479" s="43" t="s">
        <v>3049</v>
      </c>
      <c r="B3479" s="43" t="s">
        <v>1247</v>
      </c>
      <c r="C3479" s="46">
        <v>39</v>
      </c>
      <c r="D3479" s="46">
        <v>1137494.1627985416</v>
      </c>
      <c r="E3479" s="43">
        <v>113749.41627985417</v>
      </c>
      <c r="F3479" s="43" t="s">
        <v>84</v>
      </c>
      <c r="G3479" s="43" t="s">
        <v>71</v>
      </c>
      <c r="H3479" s="43" t="s">
        <v>72</v>
      </c>
    </row>
    <row r="3480" spans="1:8" x14ac:dyDescent="0.25">
      <c r="A3480" s="72" t="s">
        <v>4113</v>
      </c>
      <c r="B3480" s="72" t="s">
        <v>176</v>
      </c>
      <c r="C3480" s="73">
        <v>39</v>
      </c>
      <c r="D3480" s="73">
        <v>900828.42786068225</v>
      </c>
      <c r="E3480" s="72">
        <v>63057.989950247749</v>
      </c>
      <c r="F3480" s="72" t="s">
        <v>106</v>
      </c>
      <c r="G3480" s="72" t="s">
        <v>71</v>
      </c>
      <c r="H3480" s="72" t="s">
        <v>72</v>
      </c>
    </row>
    <row r="3481" spans="1:8" x14ac:dyDescent="0.25">
      <c r="A3481" s="43" t="s">
        <v>2827</v>
      </c>
      <c r="B3481" s="43" t="s">
        <v>176</v>
      </c>
      <c r="C3481" s="46">
        <v>39</v>
      </c>
      <c r="D3481" s="46">
        <v>1170902.2579273311</v>
      </c>
      <c r="E3481" s="43">
        <v>128799.24837200645</v>
      </c>
      <c r="F3481" s="43" t="s">
        <v>78</v>
      </c>
      <c r="G3481" s="43" t="s">
        <v>71</v>
      </c>
      <c r="H3481" s="43" t="s">
        <v>72</v>
      </c>
    </row>
    <row r="3482" spans="1:8" x14ac:dyDescent="0.25">
      <c r="A3482" s="72" t="s">
        <v>2198</v>
      </c>
      <c r="B3482" s="72" t="s">
        <v>102</v>
      </c>
      <c r="C3482" s="73">
        <v>39</v>
      </c>
      <c r="D3482" s="73">
        <v>1221601.0627586443</v>
      </c>
      <c r="E3482" s="72">
        <v>171024.14878621019</v>
      </c>
      <c r="F3482" s="72" t="s">
        <v>70</v>
      </c>
      <c r="G3482" s="72" t="s">
        <v>71</v>
      </c>
      <c r="H3482" s="72" t="s">
        <v>72</v>
      </c>
    </row>
    <row r="3483" spans="1:8" x14ac:dyDescent="0.25">
      <c r="A3483" s="43" t="s">
        <v>4768</v>
      </c>
      <c r="B3483" s="43" t="s">
        <v>77</v>
      </c>
      <c r="C3483" s="46">
        <v>39</v>
      </c>
      <c r="D3483" s="46">
        <v>911369.02574724751</v>
      </c>
      <c r="E3483" s="43">
        <v>36454.761029889902</v>
      </c>
      <c r="F3483" s="43" t="s">
        <v>87</v>
      </c>
      <c r="G3483" s="43" t="s">
        <v>71</v>
      </c>
      <c r="H3483" s="43" t="s">
        <v>88</v>
      </c>
    </row>
    <row r="3484" spans="1:8" x14ac:dyDescent="0.25">
      <c r="A3484" s="43" t="s">
        <v>3099</v>
      </c>
      <c r="B3484" s="43" t="s">
        <v>269</v>
      </c>
      <c r="C3484" s="46">
        <v>39</v>
      </c>
      <c r="D3484" s="46">
        <v>1104949.0331012001</v>
      </c>
      <c r="E3484" s="43">
        <v>110494.90331012002</v>
      </c>
      <c r="F3484" s="43" t="s">
        <v>70</v>
      </c>
      <c r="G3484" s="43" t="s">
        <v>71</v>
      </c>
      <c r="H3484" s="43" t="s">
        <v>72</v>
      </c>
    </row>
    <row r="3485" spans="1:8" x14ac:dyDescent="0.25">
      <c r="A3485" s="72" t="s">
        <v>4619</v>
      </c>
      <c r="B3485" s="72" t="s">
        <v>75</v>
      </c>
      <c r="C3485" s="73">
        <v>39</v>
      </c>
      <c r="D3485" s="73">
        <v>858840.80447403702</v>
      </c>
      <c r="E3485" s="72">
        <v>42942.040223701857</v>
      </c>
      <c r="F3485" s="72" t="s">
        <v>106</v>
      </c>
      <c r="G3485" s="72" t="s">
        <v>71</v>
      </c>
      <c r="H3485" s="72" t="s">
        <v>72</v>
      </c>
    </row>
    <row r="3486" spans="1:8" x14ac:dyDescent="0.25">
      <c r="A3486" s="43" t="s">
        <v>3586</v>
      </c>
      <c r="B3486" s="43" t="s">
        <v>554</v>
      </c>
      <c r="C3486" s="46">
        <v>39</v>
      </c>
      <c r="D3486" s="46">
        <v>930923.03068068088</v>
      </c>
      <c r="E3486" s="43">
        <v>83783.072761261283</v>
      </c>
      <c r="F3486" s="43" t="s">
        <v>106</v>
      </c>
      <c r="G3486" s="43" t="s">
        <v>71</v>
      </c>
      <c r="H3486" s="43" t="s">
        <v>72</v>
      </c>
    </row>
    <row r="3487" spans="1:8" x14ac:dyDescent="0.25">
      <c r="A3487" s="72" t="s">
        <v>4364</v>
      </c>
      <c r="B3487" s="72" t="s">
        <v>554</v>
      </c>
      <c r="C3487" s="73">
        <v>39</v>
      </c>
      <c r="D3487" s="73">
        <v>881958.33602131868</v>
      </c>
      <c r="E3487" s="72">
        <v>52917.500161279131</v>
      </c>
      <c r="F3487" s="72" t="s">
        <v>106</v>
      </c>
      <c r="G3487" s="72" t="s">
        <v>71</v>
      </c>
      <c r="H3487" s="72" t="s">
        <v>72</v>
      </c>
    </row>
    <row r="3488" spans="1:8" x14ac:dyDescent="0.25">
      <c r="A3488" s="43" t="s">
        <v>4365</v>
      </c>
      <c r="B3488" s="43" t="s">
        <v>554</v>
      </c>
      <c r="C3488" s="46">
        <v>39</v>
      </c>
      <c r="D3488" s="46">
        <v>881958.33602131868</v>
      </c>
      <c r="E3488" s="43">
        <v>52917.500161279131</v>
      </c>
      <c r="F3488" s="43" t="s">
        <v>106</v>
      </c>
      <c r="G3488" s="43" t="s">
        <v>71</v>
      </c>
      <c r="H3488" s="43" t="s">
        <v>72</v>
      </c>
    </row>
    <row r="3489" spans="1:8" x14ac:dyDescent="0.25">
      <c r="A3489" s="72" t="s">
        <v>4304</v>
      </c>
      <c r="B3489" s="72" t="s">
        <v>102</v>
      </c>
      <c r="C3489" s="73">
        <v>39</v>
      </c>
      <c r="D3489" s="73">
        <v>921968.9999481939</v>
      </c>
      <c r="E3489" s="72">
        <v>55318.139996891645</v>
      </c>
      <c r="F3489" s="72" t="s">
        <v>70</v>
      </c>
      <c r="G3489" s="72" t="s">
        <v>71</v>
      </c>
      <c r="H3489" s="72" t="s">
        <v>72</v>
      </c>
    </row>
    <row r="3490" spans="1:8" x14ac:dyDescent="0.25">
      <c r="A3490" s="72" t="s">
        <v>2642</v>
      </c>
      <c r="B3490" s="72" t="s">
        <v>73</v>
      </c>
      <c r="C3490" s="73">
        <v>39</v>
      </c>
      <c r="D3490" s="73">
        <v>1167702.0729734001</v>
      </c>
      <c r="E3490" s="72">
        <v>140124.24875680805</v>
      </c>
      <c r="F3490" s="72" t="s">
        <v>70</v>
      </c>
      <c r="G3490" s="72" t="s">
        <v>71</v>
      </c>
      <c r="H3490" s="72" t="s">
        <v>72</v>
      </c>
    </row>
    <row r="3491" spans="1:8" x14ac:dyDescent="0.25">
      <c r="A3491" s="43" t="s">
        <v>2199</v>
      </c>
      <c r="B3491" s="43" t="s">
        <v>73</v>
      </c>
      <c r="C3491" s="46">
        <v>39</v>
      </c>
      <c r="D3491" s="46">
        <v>1221601.0627586443</v>
      </c>
      <c r="E3491" s="43">
        <v>171024.14878621019</v>
      </c>
      <c r="F3491" s="43" t="s">
        <v>70</v>
      </c>
      <c r="G3491" s="43" t="s">
        <v>71</v>
      </c>
      <c r="H3491" s="43" t="s">
        <v>72</v>
      </c>
    </row>
    <row r="3492" spans="1:8" x14ac:dyDescent="0.25">
      <c r="A3492" s="43" t="s">
        <v>3620</v>
      </c>
      <c r="B3492" s="43" t="s">
        <v>73</v>
      </c>
      <c r="C3492" s="46">
        <v>39</v>
      </c>
      <c r="D3492" s="46">
        <v>1027910.8990397663</v>
      </c>
      <c r="E3492" s="43">
        <v>82232.871923181301</v>
      </c>
      <c r="F3492" s="43" t="s">
        <v>70</v>
      </c>
      <c r="G3492" s="43" t="s">
        <v>71</v>
      </c>
      <c r="H3492" s="43" t="s">
        <v>72</v>
      </c>
    </row>
    <row r="3493" spans="1:8" x14ac:dyDescent="0.25">
      <c r="A3493" s="43" t="s">
        <v>3827</v>
      </c>
      <c r="B3493" s="43" t="s">
        <v>234</v>
      </c>
      <c r="C3493" s="46">
        <v>39</v>
      </c>
      <c r="D3493" s="46">
        <v>916883.96499514556</v>
      </c>
      <c r="E3493" s="43">
        <v>73350.717199611652</v>
      </c>
      <c r="F3493" s="43" t="s">
        <v>106</v>
      </c>
      <c r="G3493" s="43" t="s">
        <v>71</v>
      </c>
      <c r="H3493" s="43" t="s">
        <v>72</v>
      </c>
    </row>
    <row r="3494" spans="1:8" x14ac:dyDescent="0.25">
      <c r="A3494" s="43" t="s">
        <v>3239</v>
      </c>
      <c r="B3494" s="43" t="s">
        <v>202</v>
      </c>
      <c r="C3494" s="46">
        <v>39</v>
      </c>
      <c r="D3494" s="46">
        <v>1134127.9532285219</v>
      </c>
      <c r="E3494" s="43">
        <v>102071.51579056696</v>
      </c>
      <c r="F3494" s="43" t="s">
        <v>87</v>
      </c>
      <c r="G3494" s="43" t="s">
        <v>71</v>
      </c>
      <c r="H3494" s="43" t="s">
        <v>88</v>
      </c>
    </row>
    <row r="3495" spans="1:8" x14ac:dyDescent="0.25">
      <c r="A3495" s="72" t="s">
        <v>4366</v>
      </c>
      <c r="B3495" s="72" t="s">
        <v>93</v>
      </c>
      <c r="C3495" s="73">
        <v>39</v>
      </c>
      <c r="D3495" s="73">
        <v>881958.33602131868</v>
      </c>
      <c r="E3495" s="72">
        <v>52917.500161279131</v>
      </c>
      <c r="F3495" s="72" t="s">
        <v>106</v>
      </c>
      <c r="G3495" s="72" t="s">
        <v>71</v>
      </c>
      <c r="H3495" s="72" t="s">
        <v>72</v>
      </c>
    </row>
    <row r="3496" spans="1:8" x14ac:dyDescent="0.25">
      <c r="A3496" s="72" t="s">
        <v>2200</v>
      </c>
      <c r="B3496" s="72" t="s">
        <v>2201</v>
      </c>
      <c r="C3496" s="73">
        <v>39</v>
      </c>
      <c r="D3496" s="73">
        <v>1221601.0627586443</v>
      </c>
      <c r="E3496" s="72">
        <v>171024.14878621019</v>
      </c>
      <c r="F3496" s="72" t="s">
        <v>70</v>
      </c>
      <c r="G3496" s="72" t="s">
        <v>71</v>
      </c>
      <c r="H3496" s="72" t="s">
        <v>72</v>
      </c>
    </row>
    <row r="3497" spans="1:8" x14ac:dyDescent="0.25">
      <c r="A3497" s="43" t="s">
        <v>2202</v>
      </c>
      <c r="B3497" s="43" t="s">
        <v>108</v>
      </c>
      <c r="C3497" s="46">
        <v>39</v>
      </c>
      <c r="D3497" s="46">
        <v>1221601.0627586443</v>
      </c>
      <c r="E3497" s="43">
        <v>171024.14878621019</v>
      </c>
      <c r="F3497" s="43" t="s">
        <v>70</v>
      </c>
      <c r="G3497" s="43" t="s">
        <v>71</v>
      </c>
      <c r="H3497" s="43" t="s">
        <v>72</v>
      </c>
    </row>
    <row r="3498" spans="1:8" x14ac:dyDescent="0.25">
      <c r="A3498" s="72" t="s">
        <v>3100</v>
      </c>
      <c r="B3498" s="72" t="s">
        <v>73</v>
      </c>
      <c r="C3498" s="73">
        <v>39</v>
      </c>
      <c r="D3498" s="73">
        <v>1104949.0331012001</v>
      </c>
      <c r="E3498" s="72">
        <v>110494.90331012002</v>
      </c>
      <c r="F3498" s="72" t="s">
        <v>70</v>
      </c>
      <c r="G3498" s="72" t="s">
        <v>71</v>
      </c>
      <c r="H3498" s="72" t="s">
        <v>72</v>
      </c>
    </row>
    <row r="3499" spans="1:8" x14ac:dyDescent="0.25">
      <c r="A3499" s="72" t="s">
        <v>2882</v>
      </c>
      <c r="B3499" s="72" t="s">
        <v>102</v>
      </c>
      <c r="C3499" s="73">
        <v>39</v>
      </c>
      <c r="D3499" s="73">
        <v>1137675.4328495597</v>
      </c>
      <c r="E3499" s="72">
        <v>125144.29761345158</v>
      </c>
      <c r="F3499" s="72" t="s">
        <v>70</v>
      </c>
      <c r="G3499" s="72" t="s">
        <v>71</v>
      </c>
      <c r="H3499" s="72" t="s">
        <v>72</v>
      </c>
    </row>
    <row r="3500" spans="1:8" x14ac:dyDescent="0.25">
      <c r="A3500" s="43" t="s">
        <v>3793</v>
      </c>
      <c r="B3500" s="43" t="s">
        <v>73</v>
      </c>
      <c r="C3500" s="46">
        <v>39</v>
      </c>
      <c r="D3500" s="46">
        <v>1072770.1692790289</v>
      </c>
      <c r="E3500" s="43">
        <v>75093.911849532014</v>
      </c>
      <c r="F3500" s="43" t="s">
        <v>87</v>
      </c>
      <c r="G3500" s="43" t="s">
        <v>71</v>
      </c>
      <c r="H3500" s="43" t="s">
        <v>88</v>
      </c>
    </row>
    <row r="3501" spans="1:8" x14ac:dyDescent="0.25">
      <c r="A3501" s="43" t="s">
        <v>3499</v>
      </c>
      <c r="B3501" s="43" t="s">
        <v>73</v>
      </c>
      <c r="C3501" s="46">
        <v>39</v>
      </c>
      <c r="D3501" s="46">
        <v>1105612.7071643262</v>
      </c>
      <c r="E3501" s="43">
        <v>88449.016573146102</v>
      </c>
      <c r="F3501" s="43" t="s">
        <v>87</v>
      </c>
      <c r="G3501" s="43" t="s">
        <v>71</v>
      </c>
      <c r="H3501" s="43" t="s">
        <v>88</v>
      </c>
    </row>
    <row r="3502" spans="1:8" x14ac:dyDescent="0.25">
      <c r="A3502" s="43" t="s">
        <v>4643</v>
      </c>
      <c r="B3502" s="43" t="s">
        <v>97</v>
      </c>
      <c r="C3502" s="46">
        <v>39</v>
      </c>
      <c r="D3502" s="46">
        <v>841680.0541778591</v>
      </c>
      <c r="E3502" s="43">
        <v>42084.002708892956</v>
      </c>
      <c r="F3502" s="43" t="s">
        <v>70</v>
      </c>
      <c r="G3502" s="43" t="s">
        <v>71</v>
      </c>
      <c r="H3502" s="43" t="s">
        <v>72</v>
      </c>
    </row>
    <row r="3503" spans="1:8" x14ac:dyDescent="0.25">
      <c r="A3503" s="72" t="s">
        <v>2068</v>
      </c>
      <c r="B3503" s="72" t="s">
        <v>83</v>
      </c>
      <c r="C3503" s="73">
        <v>39</v>
      </c>
      <c r="D3503" s="73">
        <v>1308380.8171158254</v>
      </c>
      <c r="E3503" s="72">
        <v>183173.31439621554</v>
      </c>
      <c r="F3503" s="72" t="s">
        <v>84</v>
      </c>
      <c r="G3503" s="72" t="s">
        <v>71</v>
      </c>
      <c r="H3503" s="72" t="s">
        <v>72</v>
      </c>
    </row>
    <row r="3504" spans="1:8" x14ac:dyDescent="0.25">
      <c r="A3504" s="72" t="s">
        <v>3350</v>
      </c>
      <c r="B3504" s="72" t="s">
        <v>211</v>
      </c>
      <c r="C3504" s="73">
        <v>39</v>
      </c>
      <c r="D3504" s="73">
        <v>1068758.6949076012</v>
      </c>
      <c r="E3504" s="72">
        <v>96188.282541684108</v>
      </c>
      <c r="F3504" s="72" t="s">
        <v>70</v>
      </c>
      <c r="G3504" s="72" t="s">
        <v>71</v>
      </c>
      <c r="H3504" s="72" t="s">
        <v>72</v>
      </c>
    </row>
    <row r="3505" spans="1:8" x14ac:dyDescent="0.25">
      <c r="A3505" s="72" t="s">
        <v>3621</v>
      </c>
      <c r="B3505" s="72" t="s">
        <v>2379</v>
      </c>
      <c r="C3505" s="73">
        <v>39</v>
      </c>
      <c r="D3505" s="73">
        <v>1027910.8990397663</v>
      </c>
      <c r="E3505" s="72">
        <v>82232.871923181301</v>
      </c>
      <c r="F3505" s="72" t="s">
        <v>70</v>
      </c>
      <c r="G3505" s="72" t="s">
        <v>71</v>
      </c>
      <c r="H3505" s="72" t="s">
        <v>72</v>
      </c>
    </row>
    <row r="3506" spans="1:8" x14ac:dyDescent="0.25">
      <c r="A3506" s="43" t="s">
        <v>4367</v>
      </c>
      <c r="B3506" s="43" t="s">
        <v>75</v>
      </c>
      <c r="C3506" s="46">
        <v>39</v>
      </c>
      <c r="D3506" s="46">
        <v>881958.33602131868</v>
      </c>
      <c r="E3506" s="43">
        <v>52917.500161279131</v>
      </c>
      <c r="F3506" s="43" t="s">
        <v>106</v>
      </c>
      <c r="G3506" s="43" t="s">
        <v>71</v>
      </c>
      <c r="H3506" s="43" t="s">
        <v>72</v>
      </c>
    </row>
    <row r="3507" spans="1:8" x14ac:dyDescent="0.25">
      <c r="A3507" s="72" t="s">
        <v>4644</v>
      </c>
      <c r="B3507" s="72" t="s">
        <v>102</v>
      </c>
      <c r="C3507" s="73">
        <v>39</v>
      </c>
      <c r="D3507" s="73">
        <v>841680.0541778591</v>
      </c>
      <c r="E3507" s="72">
        <v>42084.002708892956</v>
      </c>
      <c r="F3507" s="72" t="s">
        <v>70</v>
      </c>
      <c r="G3507" s="72" t="s">
        <v>71</v>
      </c>
      <c r="H3507" s="72" t="s">
        <v>72</v>
      </c>
    </row>
    <row r="3508" spans="1:8" x14ac:dyDescent="0.25">
      <c r="A3508" s="43" t="s">
        <v>4305</v>
      </c>
      <c r="B3508" s="43" t="s">
        <v>102</v>
      </c>
      <c r="C3508" s="46">
        <v>39</v>
      </c>
      <c r="D3508" s="46">
        <v>921968.9999481939</v>
      </c>
      <c r="E3508" s="43">
        <v>55318.139996891645</v>
      </c>
      <c r="F3508" s="43" t="s">
        <v>70</v>
      </c>
      <c r="G3508" s="43" t="s">
        <v>71</v>
      </c>
      <c r="H3508" s="43" t="s">
        <v>72</v>
      </c>
    </row>
    <row r="3509" spans="1:8" x14ac:dyDescent="0.25">
      <c r="A3509" s="43" t="s">
        <v>3351</v>
      </c>
      <c r="B3509" s="43" t="s">
        <v>102</v>
      </c>
      <c r="C3509" s="46">
        <v>39</v>
      </c>
      <c r="D3509" s="46">
        <v>1068758.6949076012</v>
      </c>
      <c r="E3509" s="43">
        <v>96188.282541684108</v>
      </c>
      <c r="F3509" s="43" t="s">
        <v>70</v>
      </c>
      <c r="G3509" s="43" t="s">
        <v>71</v>
      </c>
      <c r="H3509" s="43" t="s">
        <v>72</v>
      </c>
    </row>
    <row r="3510" spans="1:8" x14ac:dyDescent="0.25">
      <c r="A3510" s="43" t="s">
        <v>3957</v>
      </c>
      <c r="B3510" s="43" t="s">
        <v>211</v>
      </c>
      <c r="C3510" s="46">
        <v>39</v>
      </c>
      <c r="D3510" s="46">
        <v>980352.98797317571</v>
      </c>
      <c r="E3510" s="43">
        <v>68624.709158122292</v>
      </c>
      <c r="F3510" s="43" t="s">
        <v>70</v>
      </c>
      <c r="G3510" s="43" t="s">
        <v>71</v>
      </c>
      <c r="H3510" s="43" t="s">
        <v>72</v>
      </c>
    </row>
    <row r="3511" spans="1:8" x14ac:dyDescent="0.25">
      <c r="A3511" s="43" t="s">
        <v>4610</v>
      </c>
      <c r="B3511" s="43" t="s">
        <v>83</v>
      </c>
      <c r="C3511" s="46">
        <v>39</v>
      </c>
      <c r="D3511" s="46">
        <v>867227.04587428505</v>
      </c>
      <c r="E3511" s="43">
        <v>43361.352293714255</v>
      </c>
      <c r="F3511" s="43" t="s">
        <v>78</v>
      </c>
      <c r="G3511" s="43" t="s">
        <v>71</v>
      </c>
      <c r="H3511" s="43" t="s">
        <v>72</v>
      </c>
    </row>
    <row r="3512" spans="1:8" x14ac:dyDescent="0.25">
      <c r="A3512" s="72" t="s">
        <v>3352</v>
      </c>
      <c r="B3512" s="72" t="s">
        <v>93</v>
      </c>
      <c r="C3512" s="73">
        <v>39</v>
      </c>
      <c r="D3512" s="73">
        <v>1068758.6949076012</v>
      </c>
      <c r="E3512" s="72">
        <v>96188.282541684108</v>
      </c>
      <c r="F3512" s="72" t="s">
        <v>70</v>
      </c>
      <c r="G3512" s="72" t="s">
        <v>71</v>
      </c>
      <c r="H3512" s="72" t="s">
        <v>72</v>
      </c>
    </row>
    <row r="3513" spans="1:8" x14ac:dyDescent="0.25">
      <c r="A3513" s="43" t="s">
        <v>3618</v>
      </c>
      <c r="B3513" s="43" t="s">
        <v>75</v>
      </c>
      <c r="C3513" s="46">
        <v>38</v>
      </c>
      <c r="D3513" s="46">
        <v>1030538.1697271548</v>
      </c>
      <c r="E3513" s="43">
        <v>82443.053578172388</v>
      </c>
      <c r="F3513" s="43" t="s">
        <v>78</v>
      </c>
      <c r="G3513" s="43" t="s">
        <v>71</v>
      </c>
      <c r="H3513" s="43" t="s">
        <v>72</v>
      </c>
    </row>
    <row r="3514" spans="1:8" x14ac:dyDescent="0.25">
      <c r="A3514" s="43" t="s">
        <v>2464</v>
      </c>
      <c r="B3514" s="43" t="s">
        <v>211</v>
      </c>
      <c r="C3514" s="46">
        <v>38</v>
      </c>
      <c r="D3514" s="46">
        <v>1164364.9733996445</v>
      </c>
      <c r="E3514" s="43">
        <v>151367.44654195377</v>
      </c>
      <c r="F3514" s="43" t="s">
        <v>70</v>
      </c>
      <c r="G3514" s="43" t="s">
        <v>71</v>
      </c>
      <c r="H3514" s="43" t="s">
        <v>72</v>
      </c>
    </row>
    <row r="3515" spans="1:8" x14ac:dyDescent="0.25">
      <c r="A3515" s="43" t="s">
        <v>2191</v>
      </c>
      <c r="B3515" s="43" t="s">
        <v>75</v>
      </c>
      <c r="C3515" s="46">
        <v>38</v>
      </c>
      <c r="D3515" s="46">
        <v>1224158.5054044996</v>
      </c>
      <c r="E3515" s="43">
        <v>171382.19075662992</v>
      </c>
      <c r="F3515" s="43" t="s">
        <v>78</v>
      </c>
      <c r="G3515" s="43" t="s">
        <v>71</v>
      </c>
      <c r="H3515" s="43" t="s">
        <v>72</v>
      </c>
    </row>
    <row r="3516" spans="1:8" x14ac:dyDescent="0.25">
      <c r="A3516" s="43" t="s">
        <v>3069</v>
      </c>
      <c r="B3516" s="43" t="s">
        <v>176</v>
      </c>
      <c r="C3516" s="46">
        <v>38</v>
      </c>
      <c r="D3516" s="46">
        <v>939846.40379792824</v>
      </c>
      <c r="E3516" s="43">
        <v>112781.56845575139</v>
      </c>
      <c r="F3516" s="43" t="s">
        <v>106</v>
      </c>
      <c r="G3516" s="43" t="s">
        <v>71</v>
      </c>
      <c r="H3516" s="43" t="s">
        <v>72</v>
      </c>
    </row>
    <row r="3517" spans="1:8" x14ac:dyDescent="0.25">
      <c r="A3517" s="72" t="s">
        <v>4654</v>
      </c>
      <c r="B3517" s="72" t="s">
        <v>176</v>
      </c>
      <c r="C3517" s="73">
        <v>38</v>
      </c>
      <c r="D3517" s="73">
        <v>836297.11075812974</v>
      </c>
      <c r="E3517" s="72">
        <v>41814.855537906493</v>
      </c>
      <c r="F3517" s="72" t="s">
        <v>106</v>
      </c>
      <c r="G3517" s="72" t="s">
        <v>71</v>
      </c>
      <c r="H3517" s="72" t="s">
        <v>72</v>
      </c>
    </row>
    <row r="3518" spans="1:8" x14ac:dyDescent="0.25">
      <c r="A3518" s="43" t="s">
        <v>2699</v>
      </c>
      <c r="B3518" s="43" t="s">
        <v>179</v>
      </c>
      <c r="C3518" s="46">
        <v>38</v>
      </c>
      <c r="D3518" s="46">
        <v>1137229.1797018999</v>
      </c>
      <c r="E3518" s="43">
        <v>136467.50156422801</v>
      </c>
      <c r="F3518" s="43" t="s">
        <v>70</v>
      </c>
      <c r="G3518" s="43" t="s">
        <v>71</v>
      </c>
      <c r="H3518" s="43" t="s">
        <v>72</v>
      </c>
    </row>
    <row r="3519" spans="1:8" x14ac:dyDescent="0.25">
      <c r="A3519" s="72" t="s">
        <v>4840</v>
      </c>
      <c r="B3519" s="72" t="s">
        <v>73</v>
      </c>
      <c r="C3519" s="73">
        <v>38</v>
      </c>
      <c r="D3519" s="73">
        <v>806672.18801166315</v>
      </c>
      <c r="E3519" s="72">
        <v>32266.887520466527</v>
      </c>
      <c r="F3519" s="72" t="s">
        <v>106</v>
      </c>
      <c r="G3519" s="72" t="s">
        <v>71</v>
      </c>
      <c r="H3519" s="72" t="s">
        <v>72</v>
      </c>
    </row>
    <row r="3520" spans="1:8" x14ac:dyDescent="0.25">
      <c r="A3520" s="43" t="s">
        <v>2629</v>
      </c>
      <c r="B3520" s="43" t="s">
        <v>75</v>
      </c>
      <c r="C3520" s="46">
        <v>38</v>
      </c>
      <c r="D3520" s="46">
        <v>1170278.9469668521</v>
      </c>
      <c r="E3520" s="43">
        <v>140433.47363602227</v>
      </c>
      <c r="F3520" s="43" t="s">
        <v>78</v>
      </c>
      <c r="G3520" s="43" t="s">
        <v>71</v>
      </c>
      <c r="H3520" s="43" t="s">
        <v>72</v>
      </c>
    </row>
    <row r="3521" spans="1:8" x14ac:dyDescent="0.25">
      <c r="A3521" s="43" t="s">
        <v>4003</v>
      </c>
      <c r="B3521" s="43" t="s">
        <v>2379</v>
      </c>
      <c r="C3521" s="46">
        <v>38</v>
      </c>
      <c r="D3521" s="46">
        <v>954683.91739398905</v>
      </c>
      <c r="E3521" s="43">
        <v>66827.874217579229</v>
      </c>
      <c r="F3521" s="43" t="s">
        <v>70</v>
      </c>
      <c r="G3521" s="43" t="s">
        <v>71</v>
      </c>
      <c r="H3521" s="43" t="s">
        <v>72</v>
      </c>
    </row>
    <row r="3522" spans="1:8" x14ac:dyDescent="0.25">
      <c r="A3522" s="72" t="s">
        <v>2465</v>
      </c>
      <c r="B3522" s="72" t="s">
        <v>75</v>
      </c>
      <c r="C3522" s="73">
        <v>38</v>
      </c>
      <c r="D3522" s="73">
        <v>1164364.9733996445</v>
      </c>
      <c r="E3522" s="72">
        <v>151367.44654195377</v>
      </c>
      <c r="F3522" s="72" t="s">
        <v>70</v>
      </c>
      <c r="G3522" s="72" t="s">
        <v>71</v>
      </c>
      <c r="H3522" s="72" t="s">
        <v>72</v>
      </c>
    </row>
    <row r="3523" spans="1:8" x14ac:dyDescent="0.25">
      <c r="A3523" s="43" t="s">
        <v>3299</v>
      </c>
      <c r="B3523" s="43" t="s">
        <v>73</v>
      </c>
      <c r="C3523" s="46">
        <v>38</v>
      </c>
      <c r="D3523" s="46">
        <v>1104586.9061726704</v>
      </c>
      <c r="E3523" s="43">
        <v>99412.821555540329</v>
      </c>
      <c r="F3523" s="43" t="s">
        <v>87</v>
      </c>
      <c r="G3523" s="43" t="s">
        <v>71</v>
      </c>
      <c r="H3523" s="43" t="s">
        <v>88</v>
      </c>
    </row>
    <row r="3524" spans="1:8" x14ac:dyDescent="0.25">
      <c r="A3524" s="72" t="s">
        <v>4004</v>
      </c>
      <c r="B3524" s="72" t="s">
        <v>267</v>
      </c>
      <c r="C3524" s="73">
        <v>38</v>
      </c>
      <c r="D3524" s="73">
        <v>954683.91739398905</v>
      </c>
      <c r="E3524" s="72">
        <v>66827.874217579229</v>
      </c>
      <c r="F3524" s="72" t="s">
        <v>70</v>
      </c>
      <c r="G3524" s="72" t="s">
        <v>71</v>
      </c>
      <c r="H3524" s="72" t="s">
        <v>72</v>
      </c>
    </row>
    <row r="3525" spans="1:8" x14ac:dyDescent="0.25">
      <c r="A3525" s="72" t="s">
        <v>3663</v>
      </c>
      <c r="B3525" s="72" t="s">
        <v>73</v>
      </c>
      <c r="C3525" s="73">
        <v>38</v>
      </c>
      <c r="D3525" s="73">
        <v>1001022.3948434875</v>
      </c>
      <c r="E3525" s="72">
        <v>80081.791587479005</v>
      </c>
      <c r="F3525" s="72" t="s">
        <v>70</v>
      </c>
      <c r="G3525" s="72" t="s">
        <v>71</v>
      </c>
      <c r="H3525" s="72" t="s">
        <v>72</v>
      </c>
    </row>
    <row r="3526" spans="1:8" x14ac:dyDescent="0.25">
      <c r="A3526" s="43" t="s">
        <v>4655</v>
      </c>
      <c r="B3526" s="43" t="s">
        <v>77</v>
      </c>
      <c r="C3526" s="46">
        <v>38</v>
      </c>
      <c r="D3526" s="46">
        <v>836297.11075812974</v>
      </c>
      <c r="E3526" s="43">
        <v>41814.855537906493</v>
      </c>
      <c r="F3526" s="43" t="s">
        <v>106</v>
      </c>
      <c r="G3526" s="43" t="s">
        <v>71</v>
      </c>
      <c r="H3526" s="43" t="s">
        <v>72</v>
      </c>
    </row>
    <row r="3527" spans="1:8" x14ac:dyDescent="0.25">
      <c r="A3527" s="72" t="s">
        <v>2930</v>
      </c>
      <c r="B3527" s="72" t="s">
        <v>103</v>
      </c>
      <c r="C3527" s="73">
        <v>38</v>
      </c>
      <c r="D3527" s="73">
        <v>1107972.4534273888</v>
      </c>
      <c r="E3527" s="72">
        <v>121876.96987701279</v>
      </c>
      <c r="F3527" s="72" t="s">
        <v>70</v>
      </c>
      <c r="G3527" s="72" t="s">
        <v>71</v>
      </c>
      <c r="H3527" s="72" t="s">
        <v>72</v>
      </c>
    </row>
    <row r="3528" spans="1:8" x14ac:dyDescent="0.25">
      <c r="A3528" s="43" t="s">
        <v>4005</v>
      </c>
      <c r="B3528" s="43" t="s">
        <v>1247</v>
      </c>
      <c r="C3528" s="46">
        <v>38</v>
      </c>
      <c r="D3528" s="46">
        <v>954683.91739398905</v>
      </c>
      <c r="E3528" s="43">
        <v>66827.874217579229</v>
      </c>
      <c r="F3528" s="43" t="s">
        <v>70</v>
      </c>
      <c r="G3528" s="43" t="s">
        <v>71</v>
      </c>
      <c r="H3528" s="43" t="s">
        <v>72</v>
      </c>
    </row>
    <row r="3529" spans="1:8" x14ac:dyDescent="0.25">
      <c r="A3529" s="43" t="s">
        <v>4841</v>
      </c>
      <c r="B3529" s="43" t="s">
        <v>73</v>
      </c>
      <c r="C3529" s="46">
        <v>38</v>
      </c>
      <c r="D3529" s="46">
        <v>806672.18801166315</v>
      </c>
      <c r="E3529" s="43">
        <v>32266.887520466527</v>
      </c>
      <c r="F3529" s="43" t="s">
        <v>106</v>
      </c>
      <c r="G3529" s="43" t="s">
        <v>71</v>
      </c>
      <c r="H3529" s="43" t="s">
        <v>72</v>
      </c>
    </row>
    <row r="3530" spans="1:8" x14ac:dyDescent="0.25">
      <c r="A3530" s="72" t="s">
        <v>2262</v>
      </c>
      <c r="B3530" s="72" t="s">
        <v>2263</v>
      </c>
      <c r="C3530" s="73">
        <v>38</v>
      </c>
      <c r="D3530" s="73">
        <v>1189746.1441080354</v>
      </c>
      <c r="E3530" s="72">
        <v>166564.46017512493</v>
      </c>
      <c r="F3530" s="72" t="s">
        <v>70</v>
      </c>
      <c r="G3530" s="72" t="s">
        <v>71</v>
      </c>
      <c r="H3530" s="72" t="s">
        <v>72</v>
      </c>
    </row>
    <row r="3531" spans="1:8" x14ac:dyDescent="0.25">
      <c r="A3531" s="43" t="s">
        <v>4410</v>
      </c>
      <c r="B3531" s="43" t="s">
        <v>73</v>
      </c>
      <c r="C3531" s="46">
        <v>38</v>
      </c>
      <c r="D3531" s="46">
        <v>858821.88508625003</v>
      </c>
      <c r="E3531" s="43">
        <v>51529.31310517501</v>
      </c>
      <c r="F3531" s="43" t="s">
        <v>106</v>
      </c>
      <c r="G3531" s="43" t="s">
        <v>71</v>
      </c>
      <c r="H3531" s="43" t="s">
        <v>72</v>
      </c>
    </row>
    <row r="3532" spans="1:8" x14ac:dyDescent="0.25">
      <c r="A3532" s="72" t="s">
        <v>4006</v>
      </c>
      <c r="B3532" s="72" t="s">
        <v>73</v>
      </c>
      <c r="C3532" s="73">
        <v>38</v>
      </c>
      <c r="D3532" s="73">
        <v>954683.91739398905</v>
      </c>
      <c r="E3532" s="72">
        <v>66827.874217579229</v>
      </c>
      <c r="F3532" s="72" t="s">
        <v>70</v>
      </c>
      <c r="G3532" s="72" t="s">
        <v>71</v>
      </c>
      <c r="H3532" s="72" t="s">
        <v>72</v>
      </c>
    </row>
    <row r="3533" spans="1:8" x14ac:dyDescent="0.25">
      <c r="A3533" s="43" t="s">
        <v>4007</v>
      </c>
      <c r="B3533" s="43" t="s">
        <v>439</v>
      </c>
      <c r="C3533" s="46">
        <v>38</v>
      </c>
      <c r="D3533" s="46">
        <v>954683.91739398905</v>
      </c>
      <c r="E3533" s="43">
        <v>66827.874217579229</v>
      </c>
      <c r="F3533" s="43" t="s">
        <v>70</v>
      </c>
      <c r="G3533" s="43" t="s">
        <v>71</v>
      </c>
      <c r="H3533" s="43" t="s">
        <v>72</v>
      </c>
    </row>
    <row r="3534" spans="1:8" x14ac:dyDescent="0.25">
      <c r="A3534" s="72" t="s">
        <v>3300</v>
      </c>
      <c r="B3534" s="72" t="s">
        <v>73</v>
      </c>
      <c r="C3534" s="73">
        <v>38</v>
      </c>
      <c r="D3534" s="73">
        <v>1104586.9061726704</v>
      </c>
      <c r="E3534" s="72">
        <v>99412.821555540329</v>
      </c>
      <c r="F3534" s="72" t="s">
        <v>87</v>
      </c>
      <c r="G3534" s="72" t="s">
        <v>71</v>
      </c>
      <c r="H3534" s="72" t="s">
        <v>88</v>
      </c>
    </row>
    <row r="3535" spans="1:8" x14ac:dyDescent="0.25">
      <c r="A3535" s="72" t="s">
        <v>3631</v>
      </c>
      <c r="B3535" s="72" t="s">
        <v>291</v>
      </c>
      <c r="C3535" s="73">
        <v>38</v>
      </c>
      <c r="D3535" s="73">
        <v>906531.07475434674</v>
      </c>
      <c r="E3535" s="72">
        <v>81587.796727891211</v>
      </c>
      <c r="F3535" s="72" t="s">
        <v>106</v>
      </c>
      <c r="G3535" s="72" t="s">
        <v>71</v>
      </c>
      <c r="H3535" s="72" t="s">
        <v>72</v>
      </c>
    </row>
    <row r="3536" spans="1:8" x14ac:dyDescent="0.25">
      <c r="A3536" s="43" t="s">
        <v>3141</v>
      </c>
      <c r="B3536" s="43" t="s">
        <v>97</v>
      </c>
      <c r="C3536" s="46">
        <v>38</v>
      </c>
      <c r="D3536" s="46">
        <v>1076085.1921341151</v>
      </c>
      <c r="E3536" s="43">
        <v>107608.51921341152</v>
      </c>
      <c r="F3536" s="43" t="s">
        <v>70</v>
      </c>
      <c r="G3536" s="43" t="s">
        <v>71</v>
      </c>
      <c r="H3536" s="43" t="s">
        <v>72</v>
      </c>
    </row>
    <row r="3537" spans="1:8" x14ac:dyDescent="0.25">
      <c r="A3537" s="72" t="s">
        <v>2857</v>
      </c>
      <c r="B3537" s="72" t="s">
        <v>93</v>
      </c>
      <c r="C3537" s="73">
        <v>38</v>
      </c>
      <c r="D3537" s="73">
        <v>1151637.9789520104</v>
      </c>
      <c r="E3537" s="72">
        <v>126680.17768472116</v>
      </c>
      <c r="F3537" s="72" t="s">
        <v>87</v>
      </c>
      <c r="G3537" s="72" t="s">
        <v>71</v>
      </c>
      <c r="H3537" s="72" t="s">
        <v>88</v>
      </c>
    </row>
    <row r="3538" spans="1:8" x14ac:dyDescent="0.25">
      <c r="A3538" s="43" t="s">
        <v>4336</v>
      </c>
      <c r="B3538" s="43" t="s">
        <v>112</v>
      </c>
      <c r="C3538" s="46">
        <v>38</v>
      </c>
      <c r="D3538" s="46">
        <v>897796.95470298093</v>
      </c>
      <c r="E3538" s="43">
        <v>53867.817282178868</v>
      </c>
      <c r="F3538" s="43" t="s">
        <v>70</v>
      </c>
      <c r="G3538" s="43" t="s">
        <v>71</v>
      </c>
      <c r="H3538" s="43" t="s">
        <v>72</v>
      </c>
    </row>
    <row r="3539" spans="1:8" x14ac:dyDescent="0.25">
      <c r="A3539" s="72" t="s">
        <v>3068</v>
      </c>
      <c r="B3539" s="72" t="s">
        <v>127</v>
      </c>
      <c r="C3539" s="73">
        <v>38</v>
      </c>
      <c r="D3539" s="73">
        <v>1129293.1831520104</v>
      </c>
      <c r="E3539" s="72">
        <v>112929.31831520105</v>
      </c>
      <c r="F3539" s="72" t="s">
        <v>87</v>
      </c>
      <c r="G3539" s="72" t="s">
        <v>71</v>
      </c>
      <c r="H3539" s="72" t="s">
        <v>88</v>
      </c>
    </row>
    <row r="3540" spans="1:8" x14ac:dyDescent="0.25">
      <c r="A3540" s="43" t="s">
        <v>2931</v>
      </c>
      <c r="B3540" s="43" t="s">
        <v>102</v>
      </c>
      <c r="C3540" s="46">
        <v>38</v>
      </c>
      <c r="D3540" s="46">
        <v>1107972.4534273888</v>
      </c>
      <c r="E3540" s="43">
        <v>121876.96987701279</v>
      </c>
      <c r="F3540" s="43" t="s">
        <v>70</v>
      </c>
      <c r="G3540" s="43" t="s">
        <v>71</v>
      </c>
      <c r="H3540" s="43" t="s">
        <v>72</v>
      </c>
    </row>
    <row r="3541" spans="1:8" x14ac:dyDescent="0.25">
      <c r="A3541" s="72" t="s">
        <v>4337</v>
      </c>
      <c r="B3541" s="72" t="s">
        <v>102</v>
      </c>
      <c r="C3541" s="73">
        <v>38</v>
      </c>
      <c r="D3541" s="73">
        <v>897796.95470298093</v>
      </c>
      <c r="E3541" s="72">
        <v>53867.817282178868</v>
      </c>
      <c r="F3541" s="72" t="s">
        <v>70</v>
      </c>
      <c r="G3541" s="72" t="s">
        <v>71</v>
      </c>
      <c r="H3541" s="72" t="s">
        <v>72</v>
      </c>
    </row>
    <row r="3542" spans="1:8" x14ac:dyDescent="0.25">
      <c r="A3542" s="43" t="s">
        <v>2264</v>
      </c>
      <c r="B3542" s="43" t="s">
        <v>102</v>
      </c>
      <c r="C3542" s="46">
        <v>38</v>
      </c>
      <c r="D3542" s="46">
        <v>1189746.1441080354</v>
      </c>
      <c r="E3542" s="43">
        <v>166564.46017512493</v>
      </c>
      <c r="F3542" s="43" t="s">
        <v>70</v>
      </c>
      <c r="G3542" s="43" t="s">
        <v>71</v>
      </c>
      <c r="H3542" s="43" t="s">
        <v>72</v>
      </c>
    </row>
    <row r="3543" spans="1:8" x14ac:dyDescent="0.25">
      <c r="A3543" s="43" t="s">
        <v>4338</v>
      </c>
      <c r="B3543" s="43" t="s">
        <v>97</v>
      </c>
      <c r="C3543" s="46">
        <v>38</v>
      </c>
      <c r="D3543" s="46">
        <v>897796.95470298093</v>
      </c>
      <c r="E3543" s="43">
        <v>53867.817282178868</v>
      </c>
      <c r="F3543" s="43" t="s">
        <v>70</v>
      </c>
      <c r="G3543" s="43" t="s">
        <v>71</v>
      </c>
      <c r="H3543" s="43" t="s">
        <v>72</v>
      </c>
    </row>
    <row r="3544" spans="1:8" x14ac:dyDescent="0.25">
      <c r="A3544" s="72" t="s">
        <v>3950</v>
      </c>
      <c r="B3544" s="72" t="s">
        <v>75</v>
      </c>
      <c r="C3544" s="73">
        <v>38</v>
      </c>
      <c r="D3544" s="73">
        <v>982997.40395966161</v>
      </c>
      <c r="E3544" s="72">
        <v>68809.818277176309</v>
      </c>
      <c r="F3544" s="72" t="s">
        <v>78</v>
      </c>
      <c r="G3544" s="72" t="s">
        <v>71</v>
      </c>
      <c r="H3544" s="72" t="s">
        <v>72</v>
      </c>
    </row>
    <row r="3545" spans="1:8" x14ac:dyDescent="0.25">
      <c r="A3545" s="72" t="s">
        <v>3834</v>
      </c>
      <c r="B3545" s="72" t="s">
        <v>73</v>
      </c>
      <c r="C3545" s="73">
        <v>38</v>
      </c>
      <c r="D3545" s="73">
        <v>1044802.3987347027</v>
      </c>
      <c r="E3545" s="72">
        <v>73136.167911429176</v>
      </c>
      <c r="F3545" s="72" t="s">
        <v>87</v>
      </c>
      <c r="G3545" s="72" t="s">
        <v>71</v>
      </c>
      <c r="H3545" s="72" t="s">
        <v>88</v>
      </c>
    </row>
    <row r="3546" spans="1:8" x14ac:dyDescent="0.25">
      <c r="A3546" s="72" t="s">
        <v>4339</v>
      </c>
      <c r="B3546" s="72" t="s">
        <v>77</v>
      </c>
      <c r="C3546" s="73">
        <v>38</v>
      </c>
      <c r="D3546" s="73">
        <v>897796.95470298093</v>
      </c>
      <c r="E3546" s="72">
        <v>53867.817282178868</v>
      </c>
      <c r="F3546" s="72" t="s">
        <v>70</v>
      </c>
      <c r="G3546" s="72" t="s">
        <v>71</v>
      </c>
      <c r="H3546" s="72" t="s">
        <v>72</v>
      </c>
    </row>
    <row r="3547" spans="1:8" x14ac:dyDescent="0.25">
      <c r="A3547" s="72" t="s">
        <v>3142</v>
      </c>
      <c r="B3547" s="72" t="s">
        <v>74</v>
      </c>
      <c r="C3547" s="73">
        <v>38</v>
      </c>
      <c r="D3547" s="73">
        <v>1076085.1921341151</v>
      </c>
      <c r="E3547" s="72">
        <v>107608.51921341152</v>
      </c>
      <c r="F3547" s="72" t="s">
        <v>70</v>
      </c>
      <c r="G3547" s="72" t="s">
        <v>71</v>
      </c>
      <c r="H3547" s="72" t="s">
        <v>72</v>
      </c>
    </row>
    <row r="3548" spans="1:8" x14ac:dyDescent="0.25">
      <c r="A3548" s="43" t="s">
        <v>4497</v>
      </c>
      <c r="B3548" s="43" t="s">
        <v>93</v>
      </c>
      <c r="C3548" s="46">
        <v>38</v>
      </c>
      <c r="D3548" s="46">
        <v>958024.9426870856</v>
      </c>
      <c r="E3548" s="43">
        <v>47901.247134354286</v>
      </c>
      <c r="F3548" s="43" t="s">
        <v>87</v>
      </c>
      <c r="G3548" s="43" t="s">
        <v>71</v>
      </c>
      <c r="H3548" s="43" t="s">
        <v>88</v>
      </c>
    </row>
    <row r="3549" spans="1:8" x14ac:dyDescent="0.25">
      <c r="A3549" s="72" t="s">
        <v>2630</v>
      </c>
      <c r="B3549" s="72" t="s">
        <v>75</v>
      </c>
      <c r="C3549" s="73">
        <v>38</v>
      </c>
      <c r="D3549" s="73">
        <v>1170278.9469668521</v>
      </c>
      <c r="E3549" s="72">
        <v>140433.47363602227</v>
      </c>
      <c r="F3549" s="72" t="s">
        <v>78</v>
      </c>
      <c r="G3549" s="72" t="s">
        <v>71</v>
      </c>
      <c r="H3549" s="72" t="s">
        <v>72</v>
      </c>
    </row>
    <row r="3550" spans="1:8" x14ac:dyDescent="0.25">
      <c r="A3550" s="72" t="s">
        <v>2628</v>
      </c>
      <c r="B3550" s="72" t="s">
        <v>202</v>
      </c>
      <c r="C3550" s="73">
        <v>38</v>
      </c>
      <c r="D3550" s="73">
        <v>1172104.3564355366</v>
      </c>
      <c r="E3550" s="72">
        <v>140652.5227722644</v>
      </c>
      <c r="F3550" s="72" t="s">
        <v>87</v>
      </c>
      <c r="G3550" s="72" t="s">
        <v>71</v>
      </c>
      <c r="H3550" s="72" t="s">
        <v>88</v>
      </c>
    </row>
    <row r="3551" spans="1:8" x14ac:dyDescent="0.25">
      <c r="A3551" s="43" t="s">
        <v>3095</v>
      </c>
      <c r="B3551" s="43" t="s">
        <v>75</v>
      </c>
      <c r="C3551" s="46">
        <v>38</v>
      </c>
      <c r="D3551" s="46">
        <v>1107548.5304524438</v>
      </c>
      <c r="E3551" s="43">
        <v>110754.85304524438</v>
      </c>
      <c r="F3551" s="43" t="s">
        <v>78</v>
      </c>
      <c r="G3551" s="43" t="s">
        <v>71</v>
      </c>
      <c r="H3551" s="43" t="s">
        <v>72</v>
      </c>
    </row>
    <row r="3552" spans="1:8" x14ac:dyDescent="0.25">
      <c r="A3552" s="72" t="s">
        <v>2700</v>
      </c>
      <c r="B3552" s="72" t="s">
        <v>162</v>
      </c>
      <c r="C3552" s="73">
        <v>38</v>
      </c>
      <c r="D3552" s="73">
        <v>1137229.1797018999</v>
      </c>
      <c r="E3552" s="72">
        <v>136467.50156422801</v>
      </c>
      <c r="F3552" s="72" t="s">
        <v>70</v>
      </c>
      <c r="G3552" s="72" t="s">
        <v>71</v>
      </c>
      <c r="H3552" s="72" t="s">
        <v>72</v>
      </c>
    </row>
    <row r="3553" spans="1:8" x14ac:dyDescent="0.25">
      <c r="A3553" s="43" t="s">
        <v>3632</v>
      </c>
      <c r="B3553" s="43" t="s">
        <v>75</v>
      </c>
      <c r="C3553" s="46">
        <v>38</v>
      </c>
      <c r="D3553" s="46">
        <v>906531.07475434674</v>
      </c>
      <c r="E3553" s="43">
        <v>81587.796727891211</v>
      </c>
      <c r="F3553" s="43" t="s">
        <v>106</v>
      </c>
      <c r="G3553" s="43" t="s">
        <v>71</v>
      </c>
      <c r="H3553" s="43" t="s">
        <v>72</v>
      </c>
    </row>
    <row r="3554" spans="1:8" x14ac:dyDescent="0.25">
      <c r="A3554" s="72" t="s">
        <v>4041</v>
      </c>
      <c r="B3554" s="72" t="s">
        <v>229</v>
      </c>
      <c r="C3554" s="73">
        <v>37</v>
      </c>
      <c r="D3554" s="73">
        <v>929043.31576867646</v>
      </c>
      <c r="E3554" s="72">
        <v>65033.032103807345</v>
      </c>
      <c r="F3554" s="72" t="s">
        <v>70</v>
      </c>
      <c r="G3554" s="72" t="s">
        <v>71</v>
      </c>
      <c r="H3554" s="72" t="s">
        <v>72</v>
      </c>
    </row>
    <row r="3555" spans="1:8" x14ac:dyDescent="0.25">
      <c r="A3555" s="43" t="s">
        <v>2470</v>
      </c>
      <c r="B3555" s="43" t="s">
        <v>93</v>
      </c>
      <c r="C3555" s="46">
        <v>37</v>
      </c>
      <c r="D3555" s="46">
        <v>1159243.7286739156</v>
      </c>
      <c r="E3555" s="43">
        <v>150701.68472760904</v>
      </c>
      <c r="F3555" s="43" t="s">
        <v>87</v>
      </c>
      <c r="G3555" s="43" t="s">
        <v>71</v>
      </c>
      <c r="H3555" s="43" t="s">
        <v>88</v>
      </c>
    </row>
    <row r="3556" spans="1:8" x14ac:dyDescent="0.25">
      <c r="A3556" s="72" t="s">
        <v>3464</v>
      </c>
      <c r="B3556" s="72" t="s">
        <v>93</v>
      </c>
      <c r="C3556" s="73">
        <v>37</v>
      </c>
      <c r="D3556" s="73">
        <v>894041.3394810668</v>
      </c>
      <c r="E3556" s="72">
        <v>89404.133948106683</v>
      </c>
      <c r="F3556" s="72" t="s">
        <v>106</v>
      </c>
      <c r="G3556" s="72" t="s">
        <v>71</v>
      </c>
      <c r="H3556" s="72" t="s">
        <v>72</v>
      </c>
    </row>
    <row r="3557" spans="1:8" x14ac:dyDescent="0.25">
      <c r="A3557" s="72" t="s">
        <v>3932</v>
      </c>
      <c r="B3557" s="72" t="s">
        <v>75</v>
      </c>
      <c r="C3557" s="73">
        <v>37</v>
      </c>
      <c r="D3557" s="73">
        <v>868848.06750623824</v>
      </c>
      <c r="E3557" s="72">
        <v>69507.845400499064</v>
      </c>
      <c r="F3557" s="72" t="s">
        <v>106</v>
      </c>
      <c r="G3557" s="72" t="s">
        <v>71</v>
      </c>
      <c r="H3557" s="72" t="s">
        <v>72</v>
      </c>
    </row>
    <row r="3558" spans="1:8" x14ac:dyDescent="0.25">
      <c r="A3558" s="43" t="s">
        <v>2689</v>
      </c>
      <c r="B3558" s="43" t="s">
        <v>93</v>
      </c>
      <c r="C3558" s="46">
        <v>37</v>
      </c>
      <c r="D3558" s="46">
        <v>1140811.1439329772</v>
      </c>
      <c r="E3558" s="43">
        <v>136897.33727195725</v>
      </c>
      <c r="F3558" s="43" t="s">
        <v>87</v>
      </c>
      <c r="G3558" s="43" t="s">
        <v>71</v>
      </c>
      <c r="H3558" s="43" t="s">
        <v>88</v>
      </c>
    </row>
    <row r="3559" spans="1:8" x14ac:dyDescent="0.25">
      <c r="A3559" s="72" t="s">
        <v>3196</v>
      </c>
      <c r="B3559" s="72" t="s">
        <v>85</v>
      </c>
      <c r="C3559" s="73">
        <v>37</v>
      </c>
      <c r="D3559" s="73">
        <v>1047249.8201209047</v>
      </c>
      <c r="E3559" s="72">
        <v>104724.98201209048</v>
      </c>
      <c r="F3559" s="72" t="s">
        <v>70</v>
      </c>
      <c r="G3559" s="72" t="s">
        <v>71</v>
      </c>
      <c r="H3559" s="72" t="s">
        <v>72</v>
      </c>
    </row>
    <row r="3560" spans="1:8" x14ac:dyDescent="0.25">
      <c r="A3560" s="72" t="s">
        <v>4180</v>
      </c>
      <c r="B3560" s="72" t="s">
        <v>554</v>
      </c>
      <c r="C3560" s="73">
        <v>37</v>
      </c>
      <c r="D3560" s="73">
        <v>853615.89125046507</v>
      </c>
      <c r="E3560" s="72">
        <v>59753.11238753255</v>
      </c>
      <c r="F3560" s="72" t="s">
        <v>106</v>
      </c>
      <c r="G3560" s="72" t="s">
        <v>71</v>
      </c>
      <c r="H3560" s="72" t="s">
        <v>72</v>
      </c>
    </row>
    <row r="3561" spans="1:8" x14ac:dyDescent="0.25">
      <c r="A3561" s="43" t="s">
        <v>3295</v>
      </c>
      <c r="B3561" s="43" t="s">
        <v>554</v>
      </c>
      <c r="C3561" s="46">
        <v>37</v>
      </c>
      <c r="D3561" s="46">
        <v>904781.57449078374</v>
      </c>
      <c r="E3561" s="43">
        <v>99525.973193986225</v>
      </c>
      <c r="F3561" s="43" t="s">
        <v>106</v>
      </c>
      <c r="G3561" s="43" t="s">
        <v>71</v>
      </c>
      <c r="H3561" s="43" t="s">
        <v>72</v>
      </c>
    </row>
    <row r="3562" spans="1:8" x14ac:dyDescent="0.25">
      <c r="A3562" s="72" t="s">
        <v>3724</v>
      </c>
      <c r="B3562" s="72" t="s">
        <v>102</v>
      </c>
      <c r="C3562" s="73">
        <v>37</v>
      </c>
      <c r="D3562" s="73">
        <v>974162.35960108286</v>
      </c>
      <c r="E3562" s="72">
        <v>77932.988768086638</v>
      </c>
      <c r="F3562" s="72" t="s">
        <v>70</v>
      </c>
      <c r="G3562" s="72" t="s">
        <v>71</v>
      </c>
      <c r="H3562" s="72" t="s">
        <v>72</v>
      </c>
    </row>
    <row r="3563" spans="1:8" x14ac:dyDescent="0.25">
      <c r="A3563" s="43" t="s">
        <v>4381</v>
      </c>
      <c r="B3563" s="43" t="s">
        <v>97</v>
      </c>
      <c r="C3563" s="46">
        <v>37</v>
      </c>
      <c r="D3563" s="46">
        <v>873653.37841164228</v>
      </c>
      <c r="E3563" s="43">
        <v>52419.202704698546</v>
      </c>
      <c r="F3563" s="43" t="s">
        <v>70</v>
      </c>
      <c r="G3563" s="43" t="s">
        <v>71</v>
      </c>
      <c r="H3563" s="43" t="s">
        <v>72</v>
      </c>
    </row>
    <row r="3564" spans="1:8" x14ac:dyDescent="0.25">
      <c r="A3564" s="72" t="s">
        <v>2984</v>
      </c>
      <c r="B3564" s="72" t="s">
        <v>97</v>
      </c>
      <c r="C3564" s="73">
        <v>37</v>
      </c>
      <c r="D3564" s="73">
        <v>1078297.9429590919</v>
      </c>
      <c r="E3564" s="72">
        <v>118612.77372550013</v>
      </c>
      <c r="F3564" s="72" t="s">
        <v>70</v>
      </c>
      <c r="G3564" s="72" t="s">
        <v>71</v>
      </c>
      <c r="H3564" s="72" t="s">
        <v>72</v>
      </c>
    </row>
    <row r="3565" spans="1:8" x14ac:dyDescent="0.25">
      <c r="A3565" s="72" t="s">
        <v>2754</v>
      </c>
      <c r="B3565" s="72" t="s">
        <v>234</v>
      </c>
      <c r="C3565" s="73">
        <v>37</v>
      </c>
      <c r="D3565" s="73">
        <v>1106784.7553842741</v>
      </c>
      <c r="E3565" s="72">
        <v>132814.17064611291</v>
      </c>
      <c r="F3565" s="72" t="s">
        <v>70</v>
      </c>
      <c r="G3565" s="72" t="s">
        <v>71</v>
      </c>
      <c r="H3565" s="72" t="s">
        <v>72</v>
      </c>
    </row>
    <row r="3566" spans="1:8" x14ac:dyDescent="0.25">
      <c r="A3566" s="43" t="s">
        <v>2329</v>
      </c>
      <c r="B3566" s="43" t="s">
        <v>102</v>
      </c>
      <c r="C3566" s="46">
        <v>37</v>
      </c>
      <c r="D3566" s="46">
        <v>1157919.6944113004</v>
      </c>
      <c r="E3566" s="43">
        <v>162108.75721758202</v>
      </c>
      <c r="F3566" s="43" t="s">
        <v>70</v>
      </c>
      <c r="G3566" s="43" t="s">
        <v>71</v>
      </c>
      <c r="H3566" s="43" t="s">
        <v>72</v>
      </c>
    </row>
    <row r="3567" spans="1:8" x14ac:dyDescent="0.25">
      <c r="A3567" s="43" t="s">
        <v>2755</v>
      </c>
      <c r="B3567" s="43" t="s">
        <v>73</v>
      </c>
      <c r="C3567" s="46">
        <v>37</v>
      </c>
      <c r="D3567" s="46">
        <v>1106784.7553842741</v>
      </c>
      <c r="E3567" s="43">
        <v>132814.17064611291</v>
      </c>
      <c r="F3567" s="43" t="s">
        <v>70</v>
      </c>
      <c r="G3567" s="43" t="s">
        <v>71</v>
      </c>
      <c r="H3567" s="43" t="s">
        <v>72</v>
      </c>
    </row>
    <row r="3568" spans="1:8" x14ac:dyDescent="0.25">
      <c r="A3568" s="43" t="s">
        <v>3662</v>
      </c>
      <c r="B3568" s="43" t="s">
        <v>265</v>
      </c>
      <c r="C3568" s="46">
        <v>37</v>
      </c>
      <c r="D3568" s="46">
        <v>1001687.3439586734</v>
      </c>
      <c r="E3568" s="43">
        <v>80134.987516693873</v>
      </c>
      <c r="F3568" s="43" t="s">
        <v>84</v>
      </c>
      <c r="G3568" s="43" t="s">
        <v>71</v>
      </c>
      <c r="H3568" s="43" t="s">
        <v>72</v>
      </c>
    </row>
    <row r="3569" spans="1:8" x14ac:dyDescent="0.25">
      <c r="A3569" s="43" t="s">
        <v>3584</v>
      </c>
      <c r="B3569" s="43" t="s">
        <v>93</v>
      </c>
      <c r="C3569" s="46">
        <v>37</v>
      </c>
      <c r="D3569" s="46">
        <v>1048017.5429238171</v>
      </c>
      <c r="E3569" s="43">
        <v>83841.403433905361</v>
      </c>
      <c r="F3569" s="43" t="s">
        <v>87</v>
      </c>
      <c r="G3569" s="43" t="s">
        <v>71</v>
      </c>
      <c r="H3569" s="43" t="s">
        <v>88</v>
      </c>
    </row>
    <row r="3570" spans="1:8" x14ac:dyDescent="0.25">
      <c r="A3570" s="43" t="s">
        <v>3725</v>
      </c>
      <c r="B3570" s="43" t="s">
        <v>85</v>
      </c>
      <c r="C3570" s="46">
        <v>37</v>
      </c>
      <c r="D3570" s="46">
        <v>974162.35960108286</v>
      </c>
      <c r="E3570" s="43">
        <v>77932.988768086638</v>
      </c>
      <c r="F3570" s="43" t="s">
        <v>70</v>
      </c>
      <c r="G3570" s="43" t="s">
        <v>71</v>
      </c>
      <c r="H3570" s="43" t="s">
        <v>72</v>
      </c>
    </row>
    <row r="3571" spans="1:8" x14ac:dyDescent="0.25">
      <c r="A3571" s="43" t="s">
        <v>3197</v>
      </c>
      <c r="B3571" s="43" t="s">
        <v>102</v>
      </c>
      <c r="C3571" s="46">
        <v>37</v>
      </c>
      <c r="D3571" s="46">
        <v>1047249.8201209047</v>
      </c>
      <c r="E3571" s="43">
        <v>104724.98201209048</v>
      </c>
      <c r="F3571" s="43" t="s">
        <v>70</v>
      </c>
      <c r="G3571" s="43" t="s">
        <v>71</v>
      </c>
      <c r="H3571" s="43" t="s">
        <v>72</v>
      </c>
    </row>
    <row r="3572" spans="1:8" x14ac:dyDescent="0.25">
      <c r="A3572" s="72" t="s">
        <v>4382</v>
      </c>
      <c r="B3572" s="72" t="s">
        <v>102</v>
      </c>
      <c r="C3572" s="73">
        <v>37</v>
      </c>
      <c r="D3572" s="73">
        <v>873653.37841164228</v>
      </c>
      <c r="E3572" s="72">
        <v>52419.202704698546</v>
      </c>
      <c r="F3572" s="72" t="s">
        <v>70</v>
      </c>
      <c r="G3572" s="72" t="s">
        <v>71</v>
      </c>
      <c r="H3572" s="72" t="s">
        <v>72</v>
      </c>
    </row>
    <row r="3573" spans="1:8" x14ac:dyDescent="0.25">
      <c r="A3573" s="43" t="s">
        <v>2985</v>
      </c>
      <c r="B3573" s="43" t="s">
        <v>439</v>
      </c>
      <c r="C3573" s="46">
        <v>37</v>
      </c>
      <c r="D3573" s="46">
        <v>1078297.9429590919</v>
      </c>
      <c r="E3573" s="43">
        <v>118612.77372550013</v>
      </c>
      <c r="F3573" s="43" t="s">
        <v>70</v>
      </c>
      <c r="G3573" s="43" t="s">
        <v>71</v>
      </c>
      <c r="H3573" s="43" t="s">
        <v>72</v>
      </c>
    </row>
    <row r="3574" spans="1:8" x14ac:dyDescent="0.25">
      <c r="A3574" s="72" t="s">
        <v>2330</v>
      </c>
      <c r="B3574" s="72" t="s">
        <v>97</v>
      </c>
      <c r="C3574" s="73">
        <v>37</v>
      </c>
      <c r="D3574" s="73">
        <v>1157919.6944113004</v>
      </c>
      <c r="E3574" s="72">
        <v>162108.75721758202</v>
      </c>
      <c r="F3574" s="72" t="s">
        <v>70</v>
      </c>
      <c r="G3574" s="72" t="s">
        <v>71</v>
      </c>
      <c r="H3574" s="72" t="s">
        <v>72</v>
      </c>
    </row>
    <row r="3575" spans="1:8" x14ac:dyDescent="0.25">
      <c r="A3575" s="43" t="s">
        <v>4857</v>
      </c>
      <c r="B3575" s="43" t="s">
        <v>202</v>
      </c>
      <c r="C3575" s="46">
        <v>37</v>
      </c>
      <c r="D3575" s="46">
        <v>784936.15980324929</v>
      </c>
      <c r="E3575" s="43">
        <v>31397.446392129972</v>
      </c>
      <c r="F3575" s="43" t="s">
        <v>106</v>
      </c>
      <c r="G3575" s="43" t="s">
        <v>71</v>
      </c>
      <c r="H3575" s="43" t="s">
        <v>72</v>
      </c>
    </row>
    <row r="3576" spans="1:8" x14ac:dyDescent="0.25">
      <c r="A3576" s="72" t="s">
        <v>4455</v>
      </c>
      <c r="B3576" s="72" t="s">
        <v>202</v>
      </c>
      <c r="C3576" s="73">
        <v>37</v>
      </c>
      <c r="D3576" s="73">
        <v>835713.49642850494</v>
      </c>
      <c r="E3576" s="72">
        <v>50142.809785710306</v>
      </c>
      <c r="F3576" s="72" t="s">
        <v>106</v>
      </c>
      <c r="G3576" s="72" t="s">
        <v>71</v>
      </c>
      <c r="H3576" s="72" t="s">
        <v>72</v>
      </c>
    </row>
    <row r="3577" spans="1:8" x14ac:dyDescent="0.25">
      <c r="A3577" s="72" t="s">
        <v>3585</v>
      </c>
      <c r="B3577" s="72" t="s">
        <v>93</v>
      </c>
      <c r="C3577" s="73">
        <v>37</v>
      </c>
      <c r="D3577" s="73">
        <v>1048017.5429238171</v>
      </c>
      <c r="E3577" s="72">
        <v>83841.403433905361</v>
      </c>
      <c r="F3577" s="72" t="s">
        <v>87</v>
      </c>
      <c r="G3577" s="72" t="s">
        <v>71</v>
      </c>
      <c r="H3577" s="72" t="s">
        <v>88</v>
      </c>
    </row>
    <row r="3578" spans="1:8" x14ac:dyDescent="0.25">
      <c r="A3578" s="43" t="s">
        <v>3169</v>
      </c>
      <c r="B3578" s="43" t="s">
        <v>97</v>
      </c>
      <c r="C3578" s="46">
        <v>36</v>
      </c>
      <c r="D3578" s="46">
        <v>889393.19261010061</v>
      </c>
      <c r="E3578" s="43">
        <v>106727.18311321207</v>
      </c>
      <c r="F3578" s="43" t="s">
        <v>106</v>
      </c>
      <c r="G3578" s="43" t="s">
        <v>71</v>
      </c>
      <c r="H3578" s="43" t="s">
        <v>72</v>
      </c>
    </row>
    <row r="3579" spans="1:8" x14ac:dyDescent="0.25">
      <c r="A3579" s="72" t="s">
        <v>2588</v>
      </c>
      <c r="B3579" s="72" t="s">
        <v>119</v>
      </c>
      <c r="C3579" s="73">
        <v>36</v>
      </c>
      <c r="D3579" s="73">
        <v>1102076.354804365</v>
      </c>
      <c r="E3579" s="72">
        <v>143269.92612456746</v>
      </c>
      <c r="F3579" s="72" t="s">
        <v>70</v>
      </c>
      <c r="G3579" s="72" t="s">
        <v>71</v>
      </c>
      <c r="H3579" s="72" t="s">
        <v>72</v>
      </c>
    </row>
    <row r="3580" spans="1:8" x14ac:dyDescent="0.25">
      <c r="A3580" s="43" t="s">
        <v>2543</v>
      </c>
      <c r="B3580" s="43" t="s">
        <v>93</v>
      </c>
      <c r="C3580" s="46">
        <v>36</v>
      </c>
      <c r="D3580" s="46">
        <v>1127476.9187367349</v>
      </c>
      <c r="E3580" s="43">
        <v>146571.99943577553</v>
      </c>
      <c r="F3580" s="43" t="s">
        <v>87</v>
      </c>
      <c r="G3580" s="43" t="s">
        <v>71</v>
      </c>
      <c r="H3580" s="43" t="s">
        <v>88</v>
      </c>
    </row>
    <row r="3581" spans="1:8" x14ac:dyDescent="0.25">
      <c r="A3581" s="72" t="s">
        <v>2818</v>
      </c>
      <c r="B3581" s="72" t="s">
        <v>107</v>
      </c>
      <c r="C3581" s="73">
        <v>36</v>
      </c>
      <c r="D3581" s="73">
        <v>1076368.7607749226</v>
      </c>
      <c r="E3581" s="72">
        <v>129164.25129299074</v>
      </c>
      <c r="F3581" s="72" t="s">
        <v>70</v>
      </c>
      <c r="G3581" s="72" t="s">
        <v>71</v>
      </c>
      <c r="H3581" s="72" t="s">
        <v>72</v>
      </c>
    </row>
    <row r="3582" spans="1:8" x14ac:dyDescent="0.25">
      <c r="A3582" s="43" t="s">
        <v>3159</v>
      </c>
      <c r="B3582" s="43" t="s">
        <v>83</v>
      </c>
      <c r="C3582" s="46">
        <v>36</v>
      </c>
      <c r="D3582" s="46">
        <v>1068984.5583247426</v>
      </c>
      <c r="E3582" s="43">
        <v>106898.45583247427</v>
      </c>
      <c r="F3582" s="43" t="s">
        <v>87</v>
      </c>
      <c r="G3582" s="43" t="s">
        <v>71</v>
      </c>
      <c r="H3582" s="43" t="s">
        <v>88</v>
      </c>
    </row>
    <row r="3583" spans="1:8" x14ac:dyDescent="0.25">
      <c r="A3583" s="72" t="s">
        <v>3782</v>
      </c>
      <c r="B3583" s="72" t="s">
        <v>97</v>
      </c>
      <c r="C3583" s="73">
        <v>36</v>
      </c>
      <c r="D3583" s="73">
        <v>947330.75406695309</v>
      </c>
      <c r="E3583" s="72">
        <v>75786.460325356253</v>
      </c>
      <c r="F3583" s="72" t="s">
        <v>70</v>
      </c>
      <c r="G3583" s="72" t="s">
        <v>71</v>
      </c>
      <c r="H3583" s="72" t="s">
        <v>72</v>
      </c>
    </row>
    <row r="3584" spans="1:8" x14ac:dyDescent="0.25">
      <c r="A3584" s="43" t="s">
        <v>2819</v>
      </c>
      <c r="B3584" s="43" t="s">
        <v>93</v>
      </c>
      <c r="C3584" s="46">
        <v>36</v>
      </c>
      <c r="D3584" s="46">
        <v>1076368.7607749226</v>
      </c>
      <c r="E3584" s="43">
        <v>129164.25129299074</v>
      </c>
      <c r="F3584" s="43" t="s">
        <v>70</v>
      </c>
      <c r="G3584" s="43" t="s">
        <v>71</v>
      </c>
      <c r="H3584" s="43" t="s">
        <v>72</v>
      </c>
    </row>
    <row r="3585" spans="1:8" x14ac:dyDescent="0.25">
      <c r="A3585" s="43" t="s">
        <v>3941</v>
      </c>
      <c r="B3585" s="43" t="s">
        <v>73</v>
      </c>
      <c r="C3585" s="46">
        <v>36</v>
      </c>
      <c r="D3585" s="46">
        <v>988940.6572978195</v>
      </c>
      <c r="E3585" s="43">
        <v>69225.846010847352</v>
      </c>
      <c r="F3585" s="43" t="s">
        <v>87</v>
      </c>
      <c r="G3585" s="43" t="s">
        <v>71</v>
      </c>
      <c r="H3585" s="43" t="s">
        <v>88</v>
      </c>
    </row>
    <row r="3586" spans="1:8" x14ac:dyDescent="0.25">
      <c r="A3586" s="43" t="s">
        <v>4868</v>
      </c>
      <c r="B3586" s="43" t="s">
        <v>89</v>
      </c>
      <c r="C3586" s="46">
        <v>36</v>
      </c>
      <c r="D3586" s="46">
        <v>763228.14607574418</v>
      </c>
      <c r="E3586" s="43">
        <v>30529.125843029768</v>
      </c>
      <c r="F3586" s="43" t="s">
        <v>106</v>
      </c>
      <c r="G3586" s="43" t="s">
        <v>71</v>
      </c>
      <c r="H3586" s="43" t="s">
        <v>72</v>
      </c>
    </row>
    <row r="3587" spans="1:8" x14ac:dyDescent="0.25">
      <c r="A3587" s="72" t="s">
        <v>2544</v>
      </c>
      <c r="B3587" s="72" t="s">
        <v>73</v>
      </c>
      <c r="C3587" s="73">
        <v>36</v>
      </c>
      <c r="D3587" s="73">
        <v>1127476.9187367349</v>
      </c>
      <c r="E3587" s="72">
        <v>146571.99943577553</v>
      </c>
      <c r="F3587" s="72" t="s">
        <v>87</v>
      </c>
      <c r="G3587" s="72" t="s">
        <v>71</v>
      </c>
      <c r="H3587" s="72" t="s">
        <v>88</v>
      </c>
    </row>
    <row r="3588" spans="1:8" x14ac:dyDescent="0.25">
      <c r="A3588" s="43" t="s">
        <v>3384</v>
      </c>
      <c r="B3588" s="43" t="s">
        <v>73</v>
      </c>
      <c r="C3588" s="46">
        <v>36</v>
      </c>
      <c r="D3588" s="46">
        <v>1045578.6117127363</v>
      </c>
      <c r="E3588" s="43">
        <v>94102.075054146262</v>
      </c>
      <c r="F3588" s="43" t="s">
        <v>87</v>
      </c>
      <c r="G3588" s="43" t="s">
        <v>71</v>
      </c>
      <c r="H3588" s="43" t="s">
        <v>88</v>
      </c>
    </row>
    <row r="3589" spans="1:8" x14ac:dyDescent="0.25">
      <c r="A3589" s="72" t="s">
        <v>4422</v>
      </c>
      <c r="B3589" s="72" t="s">
        <v>1247</v>
      </c>
      <c r="C3589" s="73">
        <v>36</v>
      </c>
      <c r="D3589" s="73">
        <v>849538.2318285784</v>
      </c>
      <c r="E3589" s="72">
        <v>50972.293909714717</v>
      </c>
      <c r="F3589" s="72" t="s">
        <v>70</v>
      </c>
      <c r="G3589" s="72" t="s">
        <v>71</v>
      </c>
      <c r="H3589" s="72" t="s">
        <v>72</v>
      </c>
    </row>
    <row r="3590" spans="1:8" x14ac:dyDescent="0.25">
      <c r="A3590" s="72" t="s">
        <v>3693</v>
      </c>
      <c r="B3590" s="72" t="s">
        <v>236</v>
      </c>
      <c r="C3590" s="73">
        <v>36</v>
      </c>
      <c r="D3590" s="73">
        <v>989048.11157452955</v>
      </c>
      <c r="E3590" s="72">
        <v>79123.84892596236</v>
      </c>
      <c r="F3590" s="72" t="s">
        <v>84</v>
      </c>
      <c r="G3590" s="72" t="s">
        <v>71</v>
      </c>
      <c r="H3590" s="72" t="s">
        <v>72</v>
      </c>
    </row>
    <row r="3591" spans="1:8" x14ac:dyDescent="0.25">
      <c r="A3591" s="72" t="s">
        <v>4485</v>
      </c>
      <c r="B3591" s="72" t="s">
        <v>73</v>
      </c>
      <c r="C3591" s="73">
        <v>36</v>
      </c>
      <c r="D3591" s="73">
        <v>812633.1222516686</v>
      </c>
      <c r="E3591" s="72">
        <v>48757.987335100122</v>
      </c>
      <c r="F3591" s="72" t="s">
        <v>106</v>
      </c>
      <c r="G3591" s="72" t="s">
        <v>71</v>
      </c>
      <c r="H3591" s="72" t="s">
        <v>72</v>
      </c>
    </row>
    <row r="3592" spans="1:8" x14ac:dyDescent="0.25">
      <c r="A3592" s="72" t="s">
        <v>3240</v>
      </c>
      <c r="B3592" s="72" t="s">
        <v>211</v>
      </c>
      <c r="C3592" s="73">
        <v>36</v>
      </c>
      <c r="D3592" s="73">
        <v>1018442.8778159689</v>
      </c>
      <c r="E3592" s="72">
        <v>101844.2877815969</v>
      </c>
      <c r="F3592" s="72" t="s">
        <v>70</v>
      </c>
      <c r="G3592" s="72" t="s">
        <v>71</v>
      </c>
      <c r="H3592" s="72" t="s">
        <v>72</v>
      </c>
    </row>
    <row r="3593" spans="1:8" x14ac:dyDescent="0.25">
      <c r="A3593" s="43" t="s">
        <v>4423</v>
      </c>
      <c r="B3593" s="43" t="s">
        <v>97</v>
      </c>
      <c r="C3593" s="46">
        <v>36</v>
      </c>
      <c r="D3593" s="46">
        <v>849538.2318285784</v>
      </c>
      <c r="E3593" s="43">
        <v>50972.293909714717</v>
      </c>
      <c r="F3593" s="43" t="s">
        <v>70</v>
      </c>
      <c r="G3593" s="43" t="s">
        <v>71</v>
      </c>
      <c r="H3593" s="43" t="s">
        <v>72</v>
      </c>
    </row>
    <row r="3594" spans="1:8" x14ac:dyDescent="0.25">
      <c r="A3594" s="72" t="s">
        <v>3170</v>
      </c>
      <c r="B3594" s="72" t="s">
        <v>75</v>
      </c>
      <c r="C3594" s="73">
        <v>36</v>
      </c>
      <c r="D3594" s="73">
        <v>889393.19261010061</v>
      </c>
      <c r="E3594" s="72">
        <v>106727.18311321207</v>
      </c>
      <c r="F3594" s="72" t="s">
        <v>106</v>
      </c>
      <c r="G3594" s="72" t="s">
        <v>71</v>
      </c>
      <c r="H3594" s="72" t="s">
        <v>72</v>
      </c>
    </row>
    <row r="3595" spans="1:8" x14ac:dyDescent="0.25">
      <c r="A3595" s="43" t="s">
        <v>4486</v>
      </c>
      <c r="B3595" s="43" t="s">
        <v>75</v>
      </c>
      <c r="C3595" s="46">
        <v>36</v>
      </c>
      <c r="D3595" s="46">
        <v>812633.1222516686</v>
      </c>
      <c r="E3595" s="43">
        <v>48757.987335100122</v>
      </c>
      <c r="F3595" s="43" t="s">
        <v>106</v>
      </c>
      <c r="G3595" s="43" t="s">
        <v>71</v>
      </c>
      <c r="H3595" s="43" t="s">
        <v>72</v>
      </c>
    </row>
    <row r="3596" spans="1:8" x14ac:dyDescent="0.25">
      <c r="A3596" s="43" t="s">
        <v>3523</v>
      </c>
      <c r="B3596" s="43" t="s">
        <v>75</v>
      </c>
      <c r="C3596" s="46">
        <v>36</v>
      </c>
      <c r="D3596" s="46">
        <v>869384.53711362067</v>
      </c>
      <c r="E3596" s="43">
        <v>86938.453711362075</v>
      </c>
      <c r="F3596" s="43" t="s">
        <v>106</v>
      </c>
      <c r="G3596" s="43" t="s">
        <v>71</v>
      </c>
      <c r="H3596" s="43" t="s">
        <v>72</v>
      </c>
    </row>
    <row r="3597" spans="1:8" x14ac:dyDescent="0.25">
      <c r="A3597" s="72" t="s">
        <v>3385</v>
      </c>
      <c r="B3597" s="72" t="s">
        <v>73</v>
      </c>
      <c r="C3597" s="73">
        <v>36</v>
      </c>
      <c r="D3597" s="73">
        <v>1045578.6117127363</v>
      </c>
      <c r="E3597" s="72">
        <v>94102.075054146262</v>
      </c>
      <c r="F3597" s="72" t="s">
        <v>87</v>
      </c>
      <c r="G3597" s="72" t="s">
        <v>71</v>
      </c>
      <c r="H3597" s="72" t="s">
        <v>88</v>
      </c>
    </row>
    <row r="3598" spans="1:8" x14ac:dyDescent="0.25">
      <c r="A3598" s="72" t="s">
        <v>4811</v>
      </c>
      <c r="B3598" s="72" t="s">
        <v>93</v>
      </c>
      <c r="C3598" s="73">
        <v>36</v>
      </c>
      <c r="D3598" s="73">
        <v>839954.98634540616</v>
      </c>
      <c r="E3598" s="72">
        <v>33598.199453816247</v>
      </c>
      <c r="F3598" s="72" t="s">
        <v>87</v>
      </c>
      <c r="G3598" s="72" t="s">
        <v>71</v>
      </c>
      <c r="H3598" s="72" t="s">
        <v>88</v>
      </c>
    </row>
    <row r="3599" spans="1:8" x14ac:dyDescent="0.25">
      <c r="A3599" s="72" t="s">
        <v>3160</v>
      </c>
      <c r="B3599" s="72" t="s">
        <v>73</v>
      </c>
      <c r="C3599" s="73">
        <v>36</v>
      </c>
      <c r="D3599" s="73">
        <v>1068984.5583247426</v>
      </c>
      <c r="E3599" s="72">
        <v>106898.45583247427</v>
      </c>
      <c r="F3599" s="72" t="s">
        <v>87</v>
      </c>
      <c r="G3599" s="72" t="s">
        <v>71</v>
      </c>
      <c r="H3599" s="72" t="s">
        <v>88</v>
      </c>
    </row>
    <row r="3600" spans="1:8" x14ac:dyDescent="0.25">
      <c r="A3600" s="43" t="s">
        <v>2589</v>
      </c>
      <c r="B3600" s="43" t="s">
        <v>107</v>
      </c>
      <c r="C3600" s="46">
        <v>36</v>
      </c>
      <c r="D3600" s="46">
        <v>1102076.354804365</v>
      </c>
      <c r="E3600" s="43">
        <v>143269.92612456746</v>
      </c>
      <c r="F3600" s="43" t="s">
        <v>70</v>
      </c>
      <c r="G3600" s="43" t="s">
        <v>71</v>
      </c>
      <c r="H3600" s="43" t="s">
        <v>72</v>
      </c>
    </row>
    <row r="3601" spans="1:8" x14ac:dyDescent="0.25">
      <c r="A3601" s="43" t="s">
        <v>4106</v>
      </c>
      <c r="B3601" s="43" t="s">
        <v>139</v>
      </c>
      <c r="C3601" s="46">
        <v>36</v>
      </c>
      <c r="D3601" s="46">
        <v>903431.14385163889</v>
      </c>
      <c r="E3601" s="43">
        <v>63240.180069614718</v>
      </c>
      <c r="F3601" s="43" t="s">
        <v>70</v>
      </c>
      <c r="G3601" s="43" t="s">
        <v>71</v>
      </c>
      <c r="H3601" s="43" t="s">
        <v>72</v>
      </c>
    </row>
    <row r="3602" spans="1:8" x14ac:dyDescent="0.25">
      <c r="A3602" s="43" t="s">
        <v>4221</v>
      </c>
      <c r="B3602" s="43" t="s">
        <v>93</v>
      </c>
      <c r="C3602" s="46">
        <v>36</v>
      </c>
      <c r="D3602" s="46">
        <v>830051.6685649273</v>
      </c>
      <c r="E3602" s="43">
        <v>58103.616799544907</v>
      </c>
      <c r="F3602" s="43" t="s">
        <v>106</v>
      </c>
      <c r="G3602" s="43" t="s">
        <v>71</v>
      </c>
      <c r="H3602" s="43" t="s">
        <v>72</v>
      </c>
    </row>
    <row r="3603" spans="1:8" x14ac:dyDescent="0.25">
      <c r="A3603" s="72" t="s">
        <v>4563</v>
      </c>
      <c r="B3603" s="72" t="s">
        <v>93</v>
      </c>
      <c r="C3603" s="73">
        <v>36</v>
      </c>
      <c r="D3603" s="73">
        <v>906730.43577902438</v>
      </c>
      <c r="E3603" s="72">
        <v>45336.521788951221</v>
      </c>
      <c r="F3603" s="72" t="s">
        <v>87</v>
      </c>
      <c r="G3603" s="72" t="s">
        <v>71</v>
      </c>
      <c r="H3603" s="72" t="s">
        <v>88</v>
      </c>
    </row>
    <row r="3604" spans="1:8" x14ac:dyDescent="0.25">
      <c r="A3604" s="72" t="s">
        <v>3524</v>
      </c>
      <c r="B3604" s="72" t="s">
        <v>73</v>
      </c>
      <c r="C3604" s="73">
        <v>36</v>
      </c>
      <c r="D3604" s="73">
        <v>869384.53711362067</v>
      </c>
      <c r="E3604" s="72">
        <v>86938.453711362075</v>
      </c>
      <c r="F3604" s="72" t="s">
        <v>106</v>
      </c>
      <c r="G3604" s="72" t="s">
        <v>71</v>
      </c>
      <c r="H3604" s="72" t="s">
        <v>72</v>
      </c>
    </row>
    <row r="3605" spans="1:8" x14ac:dyDescent="0.25">
      <c r="A3605" s="43" t="s">
        <v>4722</v>
      </c>
      <c r="B3605" s="43" t="s">
        <v>554</v>
      </c>
      <c r="C3605" s="46">
        <v>36</v>
      </c>
      <c r="D3605" s="46">
        <v>791293.86236187024</v>
      </c>
      <c r="E3605" s="43">
        <v>39564.693118093513</v>
      </c>
      <c r="F3605" s="43" t="s">
        <v>106</v>
      </c>
      <c r="G3605" s="43" t="s">
        <v>71</v>
      </c>
      <c r="H3605" s="43" t="s">
        <v>72</v>
      </c>
    </row>
    <row r="3606" spans="1:8" x14ac:dyDescent="0.25">
      <c r="A3606" s="43" t="s">
        <v>3783</v>
      </c>
      <c r="B3606" s="43" t="s">
        <v>234</v>
      </c>
      <c r="C3606" s="46">
        <v>36</v>
      </c>
      <c r="D3606" s="46">
        <v>947330.75406695309</v>
      </c>
      <c r="E3606" s="43">
        <v>75786.460325356253</v>
      </c>
      <c r="F3606" s="43" t="s">
        <v>70</v>
      </c>
      <c r="G3606" s="43" t="s">
        <v>71</v>
      </c>
      <c r="H3606" s="43" t="s">
        <v>72</v>
      </c>
    </row>
    <row r="3607" spans="1:8" x14ac:dyDescent="0.25">
      <c r="A3607" s="72" t="s">
        <v>4424</v>
      </c>
      <c r="B3607" s="72" t="s">
        <v>73</v>
      </c>
      <c r="C3607" s="73">
        <v>36</v>
      </c>
      <c r="D3607" s="73">
        <v>849538.2318285784</v>
      </c>
      <c r="E3607" s="72">
        <v>50972.293909714717</v>
      </c>
      <c r="F3607" s="72" t="s">
        <v>70</v>
      </c>
      <c r="G3607" s="72" t="s">
        <v>71</v>
      </c>
      <c r="H3607" s="72" t="s">
        <v>72</v>
      </c>
    </row>
    <row r="3608" spans="1:8" x14ac:dyDescent="0.25">
      <c r="A3608" s="43" t="s">
        <v>4245</v>
      </c>
      <c r="B3608" s="43" t="s">
        <v>73</v>
      </c>
      <c r="C3608" s="46">
        <v>36</v>
      </c>
      <c r="D3608" s="46">
        <v>952734.74997725582</v>
      </c>
      <c r="E3608" s="43">
        <v>57164.08499863535</v>
      </c>
      <c r="F3608" s="43" t="s">
        <v>87</v>
      </c>
      <c r="G3608" s="43" t="s">
        <v>71</v>
      </c>
      <c r="H3608" s="43" t="s">
        <v>88</v>
      </c>
    </row>
    <row r="3609" spans="1:8" x14ac:dyDescent="0.25">
      <c r="A3609" s="43" t="s">
        <v>3241</v>
      </c>
      <c r="B3609" s="43" t="s">
        <v>73</v>
      </c>
      <c r="C3609" s="46">
        <v>36</v>
      </c>
      <c r="D3609" s="46">
        <v>1018442.8778159689</v>
      </c>
      <c r="E3609" s="43">
        <v>101844.2877815969</v>
      </c>
      <c r="F3609" s="43" t="s">
        <v>70</v>
      </c>
      <c r="G3609" s="43" t="s">
        <v>71</v>
      </c>
      <c r="H3609" s="43" t="s">
        <v>72</v>
      </c>
    </row>
    <row r="3610" spans="1:8" x14ac:dyDescent="0.25">
      <c r="A3610" s="43" t="s">
        <v>2751</v>
      </c>
      <c r="B3610" s="43" t="s">
        <v>73</v>
      </c>
      <c r="C3610" s="46">
        <v>36</v>
      </c>
      <c r="D3610" s="46">
        <v>1109542.5119617674</v>
      </c>
      <c r="E3610" s="43">
        <v>133145.1014354121</v>
      </c>
      <c r="F3610" s="43" t="s">
        <v>87</v>
      </c>
      <c r="G3610" s="43" t="s">
        <v>71</v>
      </c>
      <c r="H3610" s="43" t="s">
        <v>88</v>
      </c>
    </row>
    <row r="3611" spans="1:8" x14ac:dyDescent="0.25">
      <c r="A3611" s="43" t="s">
        <v>2545</v>
      </c>
      <c r="B3611" s="43" t="s">
        <v>73</v>
      </c>
      <c r="C3611" s="46">
        <v>36</v>
      </c>
      <c r="D3611" s="46">
        <v>1127476.9187367349</v>
      </c>
      <c r="E3611" s="43">
        <v>146571.99943577553</v>
      </c>
      <c r="F3611" s="43" t="s">
        <v>87</v>
      </c>
      <c r="G3611" s="43" t="s">
        <v>71</v>
      </c>
      <c r="H3611" s="43" t="s">
        <v>88</v>
      </c>
    </row>
    <row r="3612" spans="1:8" x14ac:dyDescent="0.25">
      <c r="A3612" s="72" t="s">
        <v>3784</v>
      </c>
      <c r="B3612" s="72" t="s">
        <v>73</v>
      </c>
      <c r="C3612" s="73">
        <v>36</v>
      </c>
      <c r="D3612" s="73">
        <v>947330.75406695309</v>
      </c>
      <c r="E3612" s="72">
        <v>75786.460325356253</v>
      </c>
      <c r="F3612" s="72" t="s">
        <v>70</v>
      </c>
      <c r="G3612" s="72" t="s">
        <v>71</v>
      </c>
      <c r="H3612" s="72" t="s">
        <v>72</v>
      </c>
    </row>
    <row r="3613" spans="1:8" x14ac:dyDescent="0.25">
      <c r="A3613" s="72" t="s">
        <v>2590</v>
      </c>
      <c r="B3613" s="72" t="s">
        <v>73</v>
      </c>
      <c r="C3613" s="73">
        <v>36</v>
      </c>
      <c r="D3613" s="73">
        <v>1102076.354804365</v>
      </c>
      <c r="E3613" s="72">
        <v>143269.92612456746</v>
      </c>
      <c r="F3613" s="72" t="s">
        <v>70</v>
      </c>
      <c r="G3613" s="72" t="s">
        <v>71</v>
      </c>
      <c r="H3613" s="72" t="s">
        <v>72</v>
      </c>
    </row>
    <row r="3614" spans="1:8" x14ac:dyDescent="0.25">
      <c r="A3614" s="43" t="s">
        <v>2983</v>
      </c>
      <c r="B3614" s="43" t="s">
        <v>75</v>
      </c>
      <c r="C3614" s="46">
        <v>36</v>
      </c>
      <c r="D3614" s="46">
        <v>1079083.9570694147</v>
      </c>
      <c r="E3614" s="43">
        <v>118699.23527763563</v>
      </c>
      <c r="F3614" s="43" t="s">
        <v>78</v>
      </c>
      <c r="G3614" s="43" t="s">
        <v>71</v>
      </c>
      <c r="H3614" s="43" t="s">
        <v>72</v>
      </c>
    </row>
    <row r="3615" spans="1:8" x14ac:dyDescent="0.25">
      <c r="A3615" s="72" t="s">
        <v>3496</v>
      </c>
      <c r="B3615" s="72" t="s">
        <v>73</v>
      </c>
      <c r="C3615" s="73">
        <v>36</v>
      </c>
      <c r="D3615" s="73">
        <v>985036.4117911082</v>
      </c>
      <c r="E3615" s="72">
        <v>88653.27706119974</v>
      </c>
      <c r="F3615" s="72" t="s">
        <v>70</v>
      </c>
      <c r="G3615" s="72" t="s">
        <v>71</v>
      </c>
      <c r="H3615" s="72" t="s">
        <v>72</v>
      </c>
    </row>
    <row r="3616" spans="1:8" x14ac:dyDescent="0.25">
      <c r="A3616" s="43" t="s">
        <v>3161</v>
      </c>
      <c r="B3616" s="43" t="s">
        <v>93</v>
      </c>
      <c r="C3616" s="46">
        <v>36</v>
      </c>
      <c r="D3616" s="46">
        <v>1068984.5583247426</v>
      </c>
      <c r="E3616" s="43">
        <v>106898.45583247427</v>
      </c>
      <c r="F3616" s="43" t="s">
        <v>87</v>
      </c>
      <c r="G3616" s="43" t="s">
        <v>71</v>
      </c>
      <c r="H3616" s="43" t="s">
        <v>88</v>
      </c>
    </row>
    <row r="3617" spans="1:8" x14ac:dyDescent="0.25">
      <c r="A3617" s="72" t="s">
        <v>4487</v>
      </c>
      <c r="B3617" s="72" t="s">
        <v>554</v>
      </c>
      <c r="C3617" s="73">
        <v>36</v>
      </c>
      <c r="D3617" s="73">
        <v>812633.1222516686</v>
      </c>
      <c r="E3617" s="72">
        <v>48757.987335100122</v>
      </c>
      <c r="F3617" s="72" t="s">
        <v>106</v>
      </c>
      <c r="G3617" s="72" t="s">
        <v>71</v>
      </c>
      <c r="H3617" s="72" t="s">
        <v>72</v>
      </c>
    </row>
    <row r="3618" spans="1:8" x14ac:dyDescent="0.25">
      <c r="A3618" s="43" t="s">
        <v>3694</v>
      </c>
      <c r="B3618" s="43" t="s">
        <v>236</v>
      </c>
      <c r="C3618" s="46">
        <v>36</v>
      </c>
      <c r="D3618" s="46">
        <v>989048.11157452955</v>
      </c>
      <c r="E3618" s="43">
        <v>79123.84892596236</v>
      </c>
      <c r="F3618" s="43" t="s">
        <v>84</v>
      </c>
      <c r="G3618" s="43" t="s">
        <v>71</v>
      </c>
      <c r="H3618" s="43" t="s">
        <v>72</v>
      </c>
    </row>
    <row r="3619" spans="1:8" x14ac:dyDescent="0.25">
      <c r="A3619" s="72" t="s">
        <v>3942</v>
      </c>
      <c r="B3619" s="72" t="s">
        <v>73</v>
      </c>
      <c r="C3619" s="73">
        <v>36</v>
      </c>
      <c r="D3619" s="73">
        <v>988940.6572978195</v>
      </c>
      <c r="E3619" s="72">
        <v>69225.846010847352</v>
      </c>
      <c r="F3619" s="72" t="s">
        <v>87</v>
      </c>
      <c r="G3619" s="72" t="s">
        <v>71</v>
      </c>
      <c r="H3619" s="72" t="s">
        <v>88</v>
      </c>
    </row>
    <row r="3620" spans="1:8" x14ac:dyDescent="0.25">
      <c r="A3620" s="72" t="s">
        <v>3242</v>
      </c>
      <c r="B3620" s="72" t="s">
        <v>97</v>
      </c>
      <c r="C3620" s="73">
        <v>36</v>
      </c>
      <c r="D3620" s="73">
        <v>1018442.8778159689</v>
      </c>
      <c r="E3620" s="72">
        <v>101844.2877815969</v>
      </c>
      <c r="F3620" s="72" t="s">
        <v>70</v>
      </c>
      <c r="G3620" s="72" t="s">
        <v>71</v>
      </c>
      <c r="H3620" s="72" t="s">
        <v>72</v>
      </c>
    </row>
    <row r="3621" spans="1:8" x14ac:dyDescent="0.25">
      <c r="A3621" s="43" t="s">
        <v>4425</v>
      </c>
      <c r="B3621" s="43" t="s">
        <v>112</v>
      </c>
      <c r="C3621" s="46">
        <v>36</v>
      </c>
      <c r="D3621" s="46">
        <v>849538.2318285784</v>
      </c>
      <c r="E3621" s="43">
        <v>50972.293909714717</v>
      </c>
      <c r="F3621" s="43" t="s">
        <v>70</v>
      </c>
      <c r="G3621" s="43" t="s">
        <v>71</v>
      </c>
      <c r="H3621" s="43" t="s">
        <v>72</v>
      </c>
    </row>
    <row r="3622" spans="1:8" x14ac:dyDescent="0.25">
      <c r="A3622" s="43" t="s">
        <v>3031</v>
      </c>
      <c r="B3622" s="43" t="s">
        <v>112</v>
      </c>
      <c r="C3622" s="46">
        <v>36</v>
      </c>
      <c r="D3622" s="46">
        <v>1048651.8621990702</v>
      </c>
      <c r="E3622" s="43">
        <v>115351.70484189774</v>
      </c>
      <c r="F3622" s="43" t="s">
        <v>70</v>
      </c>
      <c r="G3622" s="43" t="s">
        <v>71</v>
      </c>
      <c r="H3622" s="43" t="s">
        <v>72</v>
      </c>
    </row>
    <row r="3623" spans="1:8" x14ac:dyDescent="0.25">
      <c r="A3623" s="72" t="s">
        <v>4107</v>
      </c>
      <c r="B3623" s="72" t="s">
        <v>102</v>
      </c>
      <c r="C3623" s="73">
        <v>36</v>
      </c>
      <c r="D3623" s="73">
        <v>903431.14385163889</v>
      </c>
      <c r="E3623" s="72">
        <v>63240.180069614718</v>
      </c>
      <c r="F3623" s="72" t="s">
        <v>70</v>
      </c>
      <c r="G3623" s="72" t="s">
        <v>71</v>
      </c>
      <c r="H3623" s="72" t="s">
        <v>72</v>
      </c>
    </row>
    <row r="3624" spans="1:8" x14ac:dyDescent="0.25">
      <c r="A3624" s="72" t="s">
        <v>2386</v>
      </c>
      <c r="B3624" s="72" t="s">
        <v>102</v>
      </c>
      <c r="C3624" s="73">
        <v>36</v>
      </c>
      <c r="D3624" s="73">
        <v>1126121.6744228404</v>
      </c>
      <c r="E3624" s="72">
        <v>157657.03441919765</v>
      </c>
      <c r="F3624" s="72" t="s">
        <v>70</v>
      </c>
      <c r="G3624" s="72" t="s">
        <v>71</v>
      </c>
      <c r="H3624" s="72" t="s">
        <v>72</v>
      </c>
    </row>
    <row r="3625" spans="1:8" x14ac:dyDescent="0.25">
      <c r="A3625" s="43" t="s">
        <v>3943</v>
      </c>
      <c r="B3625" s="43" t="s">
        <v>73</v>
      </c>
      <c r="C3625" s="46">
        <v>36</v>
      </c>
      <c r="D3625" s="46">
        <v>988940.6572978195</v>
      </c>
      <c r="E3625" s="43">
        <v>69225.846010847352</v>
      </c>
      <c r="F3625" s="43" t="s">
        <v>87</v>
      </c>
      <c r="G3625" s="43" t="s">
        <v>71</v>
      </c>
      <c r="H3625" s="43" t="s">
        <v>88</v>
      </c>
    </row>
    <row r="3626" spans="1:8" x14ac:dyDescent="0.25">
      <c r="A3626" s="72" t="s">
        <v>3032</v>
      </c>
      <c r="B3626" s="72" t="s">
        <v>77</v>
      </c>
      <c r="C3626" s="73">
        <v>36</v>
      </c>
      <c r="D3626" s="73">
        <v>1048651.8621990702</v>
      </c>
      <c r="E3626" s="72">
        <v>115351.70484189774</v>
      </c>
      <c r="F3626" s="72" t="s">
        <v>70</v>
      </c>
      <c r="G3626" s="72" t="s">
        <v>71</v>
      </c>
      <c r="H3626" s="72" t="s">
        <v>72</v>
      </c>
    </row>
    <row r="3627" spans="1:8" x14ac:dyDescent="0.25">
      <c r="A3627" s="43" t="s">
        <v>3243</v>
      </c>
      <c r="B3627" s="43" t="s">
        <v>83</v>
      </c>
      <c r="C3627" s="46">
        <v>36</v>
      </c>
      <c r="D3627" s="46">
        <v>1018442.8778159689</v>
      </c>
      <c r="E3627" s="43">
        <v>101844.2877815969</v>
      </c>
      <c r="F3627" s="43" t="s">
        <v>70</v>
      </c>
      <c r="G3627" s="43" t="s">
        <v>71</v>
      </c>
      <c r="H3627" s="43" t="s">
        <v>72</v>
      </c>
    </row>
    <row r="3628" spans="1:8" x14ac:dyDescent="0.25">
      <c r="A3628" s="43" t="s">
        <v>4564</v>
      </c>
      <c r="B3628" s="43" t="s">
        <v>75</v>
      </c>
      <c r="C3628" s="46">
        <v>36</v>
      </c>
      <c r="D3628" s="46">
        <v>906730.43577902438</v>
      </c>
      <c r="E3628" s="43">
        <v>45336.521788951221</v>
      </c>
      <c r="F3628" s="43" t="s">
        <v>87</v>
      </c>
      <c r="G3628" s="43" t="s">
        <v>71</v>
      </c>
      <c r="H3628" s="43" t="s">
        <v>88</v>
      </c>
    </row>
    <row r="3629" spans="1:8" x14ac:dyDescent="0.25">
      <c r="A3629" s="72" t="s">
        <v>3162</v>
      </c>
      <c r="B3629" s="72" t="s">
        <v>73</v>
      </c>
      <c r="C3629" s="73">
        <v>36</v>
      </c>
      <c r="D3629" s="73">
        <v>1068984.5583247426</v>
      </c>
      <c r="E3629" s="72">
        <v>106898.45583247427</v>
      </c>
      <c r="F3629" s="72" t="s">
        <v>87</v>
      </c>
      <c r="G3629" s="72" t="s">
        <v>71</v>
      </c>
      <c r="H3629" s="72" t="s">
        <v>88</v>
      </c>
    </row>
    <row r="3630" spans="1:8" x14ac:dyDescent="0.25">
      <c r="A3630" s="43" t="s">
        <v>3386</v>
      </c>
      <c r="B3630" s="43" t="s">
        <v>93</v>
      </c>
      <c r="C3630" s="46">
        <v>36</v>
      </c>
      <c r="D3630" s="46">
        <v>1045578.6117127363</v>
      </c>
      <c r="E3630" s="43">
        <v>94102.075054146262</v>
      </c>
      <c r="F3630" s="43" t="s">
        <v>87</v>
      </c>
      <c r="G3630" s="43" t="s">
        <v>71</v>
      </c>
      <c r="H3630" s="43" t="s">
        <v>88</v>
      </c>
    </row>
    <row r="3631" spans="1:8" x14ac:dyDescent="0.25">
      <c r="A3631" s="43" t="s">
        <v>2439</v>
      </c>
      <c r="B3631" s="43" t="s">
        <v>102</v>
      </c>
      <c r="C3631" s="46">
        <v>35</v>
      </c>
      <c r="D3631" s="46">
        <v>1094352.0449452878</v>
      </c>
      <c r="E3631" s="43">
        <v>153209.28629234026</v>
      </c>
      <c r="F3631" s="43" t="s">
        <v>70</v>
      </c>
      <c r="G3631" s="43" t="s">
        <v>71</v>
      </c>
      <c r="H3631" s="43" t="s">
        <v>72</v>
      </c>
    </row>
    <row r="3632" spans="1:8" x14ac:dyDescent="0.25">
      <c r="A3632" s="72" t="s">
        <v>3542</v>
      </c>
      <c r="B3632" s="72" t="s">
        <v>97</v>
      </c>
      <c r="C3632" s="73">
        <v>35</v>
      </c>
      <c r="D3632" s="73">
        <v>957185.81738665921</v>
      </c>
      <c r="E3632" s="72">
        <v>86146.723564799322</v>
      </c>
      <c r="F3632" s="72" t="s">
        <v>70</v>
      </c>
      <c r="G3632" s="72" t="s">
        <v>71</v>
      </c>
      <c r="H3632" s="72" t="s">
        <v>72</v>
      </c>
    </row>
    <row r="3633" spans="1:8" x14ac:dyDescent="0.25">
      <c r="A3633" s="72" t="s">
        <v>2594</v>
      </c>
      <c r="B3633" s="72" t="s">
        <v>73</v>
      </c>
      <c r="C3633" s="73">
        <v>35</v>
      </c>
      <c r="D3633" s="73">
        <v>1095734.6603325577</v>
      </c>
      <c r="E3633" s="72">
        <v>142445.5058432325</v>
      </c>
      <c r="F3633" s="72" t="s">
        <v>87</v>
      </c>
      <c r="G3633" s="72" t="s">
        <v>71</v>
      </c>
      <c r="H3633" s="72" t="s">
        <v>88</v>
      </c>
    </row>
    <row r="3634" spans="1:8" x14ac:dyDescent="0.25">
      <c r="A3634" s="72" t="s">
        <v>3212</v>
      </c>
      <c r="B3634" s="72" t="s">
        <v>202</v>
      </c>
      <c r="C3634" s="73">
        <v>35</v>
      </c>
      <c r="D3634" s="73">
        <v>1038867.0877097878</v>
      </c>
      <c r="E3634" s="72">
        <v>103886.70877097879</v>
      </c>
      <c r="F3634" s="72" t="s">
        <v>87</v>
      </c>
      <c r="G3634" s="72" t="s">
        <v>71</v>
      </c>
      <c r="H3634" s="72" t="s">
        <v>88</v>
      </c>
    </row>
    <row r="3635" spans="1:8" x14ac:dyDescent="0.25">
      <c r="A3635" s="72" t="s">
        <v>3012</v>
      </c>
      <c r="B3635" s="72" t="s">
        <v>176</v>
      </c>
      <c r="C3635" s="73">
        <v>35</v>
      </c>
      <c r="D3635" s="73">
        <v>1059447.8206834721</v>
      </c>
      <c r="E3635" s="72">
        <v>116539.26027518195</v>
      </c>
      <c r="F3635" s="72" t="s">
        <v>87</v>
      </c>
      <c r="G3635" s="72" t="s">
        <v>71</v>
      </c>
      <c r="H3635" s="72" t="s">
        <v>88</v>
      </c>
    </row>
    <row r="3636" spans="1:8" x14ac:dyDescent="0.25">
      <c r="A3636" s="43" t="s">
        <v>2161</v>
      </c>
      <c r="B3636" s="43" t="s">
        <v>176</v>
      </c>
      <c r="C3636" s="46">
        <v>35</v>
      </c>
      <c r="D3636" s="46">
        <v>1246446.6950891821</v>
      </c>
      <c r="E3636" s="43">
        <v>174502.53731248548</v>
      </c>
      <c r="F3636" s="43" t="s">
        <v>84</v>
      </c>
      <c r="G3636" s="43" t="s">
        <v>71</v>
      </c>
      <c r="H3636" s="43" t="s">
        <v>72</v>
      </c>
    </row>
    <row r="3637" spans="1:8" x14ac:dyDescent="0.25">
      <c r="A3637" s="72" t="s">
        <v>3990</v>
      </c>
      <c r="B3637" s="72" t="s">
        <v>108</v>
      </c>
      <c r="C3637" s="73">
        <v>35</v>
      </c>
      <c r="D3637" s="73">
        <v>961046.62837805704</v>
      </c>
      <c r="E3637" s="72">
        <v>67273.263986463979</v>
      </c>
      <c r="F3637" s="72" t="s">
        <v>87</v>
      </c>
      <c r="G3637" s="72" t="s">
        <v>71</v>
      </c>
      <c r="H3637" s="72" t="s">
        <v>88</v>
      </c>
    </row>
    <row r="3638" spans="1:8" x14ac:dyDescent="0.25">
      <c r="A3638" s="72" t="s">
        <v>3387</v>
      </c>
      <c r="B3638" s="72" t="s">
        <v>73</v>
      </c>
      <c r="C3638" s="73">
        <v>35</v>
      </c>
      <c r="D3638" s="73">
        <v>854915.38326924352</v>
      </c>
      <c r="E3638" s="72">
        <v>94040.692159616796</v>
      </c>
      <c r="F3638" s="72" t="s">
        <v>106</v>
      </c>
      <c r="G3638" s="72" t="s">
        <v>71</v>
      </c>
      <c r="H3638" s="72" t="s">
        <v>72</v>
      </c>
    </row>
    <row r="3639" spans="1:8" x14ac:dyDescent="0.25">
      <c r="A3639" s="43" t="s">
        <v>3818</v>
      </c>
      <c r="B3639" s="43" t="s">
        <v>77</v>
      </c>
      <c r="C3639" s="46">
        <v>35</v>
      </c>
      <c r="D3639" s="46">
        <v>920527.53904373059</v>
      </c>
      <c r="E3639" s="43">
        <v>73642.203123498446</v>
      </c>
      <c r="F3639" s="43" t="s">
        <v>70</v>
      </c>
      <c r="G3639" s="43" t="s">
        <v>71</v>
      </c>
      <c r="H3639" s="43" t="s">
        <v>72</v>
      </c>
    </row>
    <row r="3640" spans="1:8" x14ac:dyDescent="0.25">
      <c r="A3640" s="43" t="s">
        <v>4515</v>
      </c>
      <c r="B3640" s="43" t="s">
        <v>75</v>
      </c>
      <c r="C3640" s="46">
        <v>35</v>
      </c>
      <c r="D3640" s="46">
        <v>789580.7148319527</v>
      </c>
      <c r="E3640" s="43">
        <v>47374.84288991717</v>
      </c>
      <c r="F3640" s="43" t="s">
        <v>106</v>
      </c>
      <c r="G3640" s="43" t="s">
        <v>71</v>
      </c>
      <c r="H3640" s="43" t="s">
        <v>72</v>
      </c>
    </row>
    <row r="3641" spans="1:8" x14ac:dyDescent="0.25">
      <c r="A3641" s="72" t="s">
        <v>4516</v>
      </c>
      <c r="B3641" s="72" t="s">
        <v>75</v>
      </c>
      <c r="C3641" s="73">
        <v>35</v>
      </c>
      <c r="D3641" s="73">
        <v>789580.7148319527</v>
      </c>
      <c r="E3641" s="72">
        <v>47374.84288991717</v>
      </c>
      <c r="F3641" s="72" t="s">
        <v>106</v>
      </c>
      <c r="G3641" s="72" t="s">
        <v>71</v>
      </c>
      <c r="H3641" s="72" t="s">
        <v>72</v>
      </c>
    </row>
    <row r="3642" spans="1:8" x14ac:dyDescent="0.25">
      <c r="A3642" s="43" t="s">
        <v>3213</v>
      </c>
      <c r="B3642" s="43" t="s">
        <v>73</v>
      </c>
      <c r="C3642" s="46">
        <v>35</v>
      </c>
      <c r="D3642" s="46">
        <v>1038867.0877097878</v>
      </c>
      <c r="E3642" s="43">
        <v>103886.70877097879</v>
      </c>
      <c r="F3642" s="43" t="s">
        <v>87</v>
      </c>
      <c r="G3642" s="43" t="s">
        <v>71</v>
      </c>
      <c r="H3642" s="43" t="s">
        <v>88</v>
      </c>
    </row>
    <row r="3643" spans="1:8" x14ac:dyDescent="0.25">
      <c r="A3643" s="72" t="s">
        <v>4595</v>
      </c>
      <c r="B3643" s="72" t="s">
        <v>73</v>
      </c>
      <c r="C3643" s="73">
        <v>35</v>
      </c>
      <c r="D3643" s="73">
        <v>881120.02412367298</v>
      </c>
      <c r="E3643" s="72">
        <v>44056.001206183653</v>
      </c>
      <c r="F3643" s="72" t="s">
        <v>87</v>
      </c>
      <c r="G3643" s="72" t="s">
        <v>71</v>
      </c>
      <c r="H3643" s="72" t="s">
        <v>88</v>
      </c>
    </row>
    <row r="3644" spans="1:8" x14ac:dyDescent="0.25">
      <c r="A3644" s="72" t="s">
        <v>3224</v>
      </c>
      <c r="B3644" s="72" t="s">
        <v>554</v>
      </c>
      <c r="C3644" s="73">
        <v>35</v>
      </c>
      <c r="D3644" s="73">
        <v>864208.56101376156</v>
      </c>
      <c r="E3644" s="72">
        <v>103705.02732165139</v>
      </c>
      <c r="F3644" s="72" t="s">
        <v>106</v>
      </c>
      <c r="G3644" s="72" t="s">
        <v>71</v>
      </c>
      <c r="H3644" s="72" t="s">
        <v>72</v>
      </c>
    </row>
    <row r="3645" spans="1:8" x14ac:dyDescent="0.25">
      <c r="A3645" s="72" t="s">
        <v>3819</v>
      </c>
      <c r="B3645" s="72" t="s">
        <v>439</v>
      </c>
      <c r="C3645" s="73">
        <v>35</v>
      </c>
      <c r="D3645" s="73">
        <v>920527.53904373059</v>
      </c>
      <c r="E3645" s="72">
        <v>73642.203123498446</v>
      </c>
      <c r="F3645" s="72" t="s">
        <v>70</v>
      </c>
      <c r="G3645" s="72" t="s">
        <v>71</v>
      </c>
      <c r="H3645" s="72" t="s">
        <v>72</v>
      </c>
    </row>
    <row r="3646" spans="1:8" x14ac:dyDescent="0.25">
      <c r="A3646" s="43" t="s">
        <v>4263</v>
      </c>
      <c r="B3646" s="43" t="s">
        <v>73</v>
      </c>
      <c r="C3646" s="46">
        <v>35</v>
      </c>
      <c r="D3646" s="46">
        <v>806515.41263650975</v>
      </c>
      <c r="E3646" s="43">
        <v>56456.078884555674</v>
      </c>
      <c r="F3646" s="43" t="s">
        <v>106</v>
      </c>
      <c r="G3646" s="43" t="s">
        <v>71</v>
      </c>
      <c r="H3646" s="43" t="s">
        <v>72</v>
      </c>
    </row>
    <row r="3647" spans="1:8" x14ac:dyDescent="0.25">
      <c r="A3647" s="72" t="s">
        <v>4466</v>
      </c>
      <c r="B3647" s="72" t="s">
        <v>73</v>
      </c>
      <c r="C3647" s="73">
        <v>35</v>
      </c>
      <c r="D3647" s="73">
        <v>825451.47575642192</v>
      </c>
      <c r="E3647" s="72">
        <v>49527.088545385326</v>
      </c>
      <c r="F3647" s="72" t="s">
        <v>70</v>
      </c>
      <c r="G3647" s="72" t="s">
        <v>71</v>
      </c>
      <c r="H3647" s="72" t="s">
        <v>72</v>
      </c>
    </row>
    <row r="3648" spans="1:8" x14ac:dyDescent="0.25">
      <c r="A3648" s="72" t="s">
        <v>2814</v>
      </c>
      <c r="B3648" s="72" t="s">
        <v>73</v>
      </c>
      <c r="C3648" s="73">
        <v>35</v>
      </c>
      <c r="D3648" s="73">
        <v>1078298.4315235619</v>
      </c>
      <c r="E3648" s="72">
        <v>129395.81178282743</v>
      </c>
      <c r="F3648" s="72" t="s">
        <v>87</v>
      </c>
      <c r="G3648" s="72" t="s">
        <v>71</v>
      </c>
      <c r="H3648" s="72" t="s">
        <v>88</v>
      </c>
    </row>
    <row r="3649" spans="1:8" x14ac:dyDescent="0.25">
      <c r="A3649" s="72" t="s">
        <v>2162</v>
      </c>
      <c r="B3649" s="72" t="s">
        <v>83</v>
      </c>
      <c r="C3649" s="73">
        <v>35</v>
      </c>
      <c r="D3649" s="73">
        <v>1246446.6950891821</v>
      </c>
      <c r="E3649" s="72">
        <v>174502.53731248548</v>
      </c>
      <c r="F3649" s="72" t="s">
        <v>84</v>
      </c>
      <c r="G3649" s="72" t="s">
        <v>71</v>
      </c>
      <c r="H3649" s="72" t="s">
        <v>72</v>
      </c>
    </row>
    <row r="3650" spans="1:8" x14ac:dyDescent="0.25">
      <c r="A3650" s="72" t="s">
        <v>4826</v>
      </c>
      <c r="B3650" s="72" t="s">
        <v>93</v>
      </c>
      <c r="C3650" s="73">
        <v>35</v>
      </c>
      <c r="D3650" s="73">
        <v>816199.44828543288</v>
      </c>
      <c r="E3650" s="72">
        <v>32647.977931417317</v>
      </c>
      <c r="F3650" s="72" t="s">
        <v>87</v>
      </c>
      <c r="G3650" s="72" t="s">
        <v>71</v>
      </c>
      <c r="H3650" s="72" t="s">
        <v>88</v>
      </c>
    </row>
    <row r="3651" spans="1:8" x14ac:dyDescent="0.25">
      <c r="A3651" s="43" t="s">
        <v>4827</v>
      </c>
      <c r="B3651" s="43" t="s">
        <v>73</v>
      </c>
      <c r="C3651" s="46">
        <v>35</v>
      </c>
      <c r="D3651" s="46">
        <v>816199.44828543288</v>
      </c>
      <c r="E3651" s="43">
        <v>32647.977931417317</v>
      </c>
      <c r="F3651" s="43" t="s">
        <v>87</v>
      </c>
      <c r="G3651" s="43" t="s">
        <v>71</v>
      </c>
      <c r="H3651" s="43" t="s">
        <v>88</v>
      </c>
    </row>
    <row r="3652" spans="1:8" x14ac:dyDescent="0.25">
      <c r="A3652" s="43" t="s">
        <v>3991</v>
      </c>
      <c r="B3652" s="43" t="s">
        <v>73</v>
      </c>
      <c r="C3652" s="46">
        <v>35</v>
      </c>
      <c r="D3652" s="46">
        <v>961046.62837805704</v>
      </c>
      <c r="E3652" s="43">
        <v>67273.263986463979</v>
      </c>
      <c r="F3652" s="43" t="s">
        <v>87</v>
      </c>
      <c r="G3652" s="43" t="s">
        <v>71</v>
      </c>
      <c r="H3652" s="43" t="s">
        <v>88</v>
      </c>
    </row>
    <row r="3653" spans="1:8" x14ac:dyDescent="0.25">
      <c r="A3653" s="72" t="s">
        <v>2658</v>
      </c>
      <c r="B3653" s="72" t="s">
        <v>73</v>
      </c>
      <c r="C3653" s="73">
        <v>35</v>
      </c>
      <c r="D3653" s="73">
        <v>1070974.65087177</v>
      </c>
      <c r="E3653" s="72">
        <v>139226.7046133301</v>
      </c>
      <c r="F3653" s="72" t="s">
        <v>70</v>
      </c>
      <c r="G3653" s="72" t="s">
        <v>71</v>
      </c>
      <c r="H3653" s="72" t="s">
        <v>72</v>
      </c>
    </row>
    <row r="3654" spans="1:8" x14ac:dyDescent="0.25">
      <c r="A3654" s="43" t="s">
        <v>2815</v>
      </c>
      <c r="B3654" s="43" t="s">
        <v>93</v>
      </c>
      <c r="C3654" s="46">
        <v>35</v>
      </c>
      <c r="D3654" s="46">
        <v>1078298.4315235619</v>
      </c>
      <c r="E3654" s="43">
        <v>129395.81178282743</v>
      </c>
      <c r="F3654" s="43" t="s">
        <v>87</v>
      </c>
      <c r="G3654" s="43" t="s">
        <v>71</v>
      </c>
      <c r="H3654" s="43" t="s">
        <v>88</v>
      </c>
    </row>
    <row r="3655" spans="1:8" x14ac:dyDescent="0.25">
      <c r="A3655" s="43" t="s">
        <v>4467</v>
      </c>
      <c r="B3655" s="43" t="s">
        <v>73</v>
      </c>
      <c r="C3655" s="46">
        <v>35</v>
      </c>
      <c r="D3655" s="46">
        <v>825451.47575642192</v>
      </c>
      <c r="E3655" s="43">
        <v>49527.088545385326</v>
      </c>
      <c r="F3655" s="43" t="s">
        <v>70</v>
      </c>
      <c r="G3655" s="43" t="s">
        <v>71</v>
      </c>
      <c r="H3655" s="43" t="s">
        <v>72</v>
      </c>
    </row>
    <row r="3656" spans="1:8" x14ac:dyDescent="0.25">
      <c r="A3656" s="72" t="s">
        <v>3214</v>
      </c>
      <c r="B3656" s="72" t="s">
        <v>93</v>
      </c>
      <c r="C3656" s="73">
        <v>35</v>
      </c>
      <c r="D3656" s="73">
        <v>1038867.0877097878</v>
      </c>
      <c r="E3656" s="72">
        <v>103886.70877097879</v>
      </c>
      <c r="F3656" s="72" t="s">
        <v>87</v>
      </c>
      <c r="G3656" s="72" t="s">
        <v>71</v>
      </c>
      <c r="H3656" s="72" t="s">
        <v>88</v>
      </c>
    </row>
    <row r="3657" spans="1:8" x14ac:dyDescent="0.25">
      <c r="A3657" s="72" t="s">
        <v>4828</v>
      </c>
      <c r="B3657" s="72" t="s">
        <v>73</v>
      </c>
      <c r="C3657" s="73">
        <v>35</v>
      </c>
      <c r="D3657" s="73">
        <v>816199.44828543288</v>
      </c>
      <c r="E3657" s="72">
        <v>32647.977931417317</v>
      </c>
      <c r="F3657" s="72" t="s">
        <v>87</v>
      </c>
      <c r="G3657" s="72" t="s">
        <v>71</v>
      </c>
      <c r="H3657" s="72" t="s">
        <v>88</v>
      </c>
    </row>
    <row r="3658" spans="1:8" x14ac:dyDescent="0.25">
      <c r="A3658" s="43" t="s">
        <v>3427</v>
      </c>
      <c r="B3658" s="43" t="s">
        <v>73</v>
      </c>
      <c r="C3658" s="46">
        <v>35</v>
      </c>
      <c r="D3658" s="46">
        <v>1016111.3062814485</v>
      </c>
      <c r="E3658" s="43">
        <v>91450.01756533036</v>
      </c>
      <c r="F3658" s="43" t="s">
        <v>87</v>
      </c>
      <c r="G3658" s="43" t="s">
        <v>71</v>
      </c>
      <c r="H3658" s="43" t="s">
        <v>88</v>
      </c>
    </row>
    <row r="3659" spans="1:8" x14ac:dyDescent="0.25">
      <c r="A3659" s="43" t="s">
        <v>3307</v>
      </c>
      <c r="B3659" s="43" t="s">
        <v>439</v>
      </c>
      <c r="C3659" s="46">
        <v>35</v>
      </c>
      <c r="D3659" s="46">
        <v>989664.32602194033</v>
      </c>
      <c r="E3659" s="43">
        <v>98966.432602194036</v>
      </c>
      <c r="F3659" s="43" t="s">
        <v>70</v>
      </c>
      <c r="G3659" s="43" t="s">
        <v>71</v>
      </c>
      <c r="H3659" s="43" t="s">
        <v>72</v>
      </c>
    </row>
    <row r="3660" spans="1:8" x14ac:dyDescent="0.25">
      <c r="A3660" s="43" t="s">
        <v>3013</v>
      </c>
      <c r="B3660" s="43" t="s">
        <v>93</v>
      </c>
      <c r="C3660" s="46">
        <v>35</v>
      </c>
      <c r="D3660" s="46">
        <v>1059447.8206834721</v>
      </c>
      <c r="E3660" s="43">
        <v>116539.26027518195</v>
      </c>
      <c r="F3660" s="43" t="s">
        <v>87</v>
      </c>
      <c r="G3660" s="43" t="s">
        <v>71</v>
      </c>
      <c r="H3660" s="43" t="s">
        <v>88</v>
      </c>
    </row>
    <row r="3661" spans="1:8" x14ac:dyDescent="0.25">
      <c r="A3661" s="72" t="s">
        <v>2816</v>
      </c>
      <c r="B3661" s="72" t="s">
        <v>93</v>
      </c>
      <c r="C3661" s="73">
        <v>35</v>
      </c>
      <c r="D3661" s="73">
        <v>1078298.4315235619</v>
      </c>
      <c r="E3661" s="72">
        <v>129395.81178282743</v>
      </c>
      <c r="F3661" s="72" t="s">
        <v>87</v>
      </c>
      <c r="G3661" s="72" t="s">
        <v>71</v>
      </c>
      <c r="H3661" s="72" t="s">
        <v>88</v>
      </c>
    </row>
    <row r="3662" spans="1:8" x14ac:dyDescent="0.25">
      <c r="A3662" s="72" t="s">
        <v>3014</v>
      </c>
      <c r="B3662" s="72" t="s">
        <v>73</v>
      </c>
      <c r="C3662" s="73">
        <v>35</v>
      </c>
      <c r="D3662" s="73">
        <v>1059447.8206834721</v>
      </c>
      <c r="E3662" s="72">
        <v>116539.26027518195</v>
      </c>
      <c r="F3662" s="72" t="s">
        <v>87</v>
      </c>
      <c r="G3662" s="72" t="s">
        <v>71</v>
      </c>
      <c r="H3662" s="72" t="s">
        <v>88</v>
      </c>
    </row>
    <row r="3663" spans="1:8" x14ac:dyDescent="0.25">
      <c r="A3663" s="43" t="s">
        <v>2595</v>
      </c>
      <c r="B3663" s="43" t="s">
        <v>93</v>
      </c>
      <c r="C3663" s="46">
        <v>35</v>
      </c>
      <c r="D3663" s="46">
        <v>1095734.6603325577</v>
      </c>
      <c r="E3663" s="43">
        <v>142445.5058432325</v>
      </c>
      <c r="F3663" s="43" t="s">
        <v>87</v>
      </c>
      <c r="G3663" s="43" t="s">
        <v>71</v>
      </c>
      <c r="H3663" s="43" t="s">
        <v>88</v>
      </c>
    </row>
    <row r="3664" spans="1:8" x14ac:dyDescent="0.25">
      <c r="A3664" s="72" t="s">
        <v>3689</v>
      </c>
      <c r="B3664" s="72" t="s">
        <v>93</v>
      </c>
      <c r="C3664" s="73">
        <v>35</v>
      </c>
      <c r="D3664" s="73">
        <v>990520.70083922148</v>
      </c>
      <c r="E3664" s="72">
        <v>79241.656067137723</v>
      </c>
      <c r="F3664" s="72" t="s">
        <v>87</v>
      </c>
      <c r="G3664" s="72" t="s">
        <v>71</v>
      </c>
      <c r="H3664" s="72" t="s">
        <v>88</v>
      </c>
    </row>
    <row r="3665" spans="1:8" x14ac:dyDescent="0.25">
      <c r="A3665" s="43" t="s">
        <v>2817</v>
      </c>
      <c r="B3665" s="43" t="s">
        <v>93</v>
      </c>
      <c r="C3665" s="46">
        <v>35</v>
      </c>
      <c r="D3665" s="46">
        <v>1078298.4315235619</v>
      </c>
      <c r="E3665" s="43">
        <v>129395.81178282743</v>
      </c>
      <c r="F3665" s="43" t="s">
        <v>87</v>
      </c>
      <c r="G3665" s="43" t="s">
        <v>71</v>
      </c>
      <c r="H3665" s="43" t="s">
        <v>88</v>
      </c>
    </row>
    <row r="3666" spans="1:8" x14ac:dyDescent="0.25">
      <c r="A3666" s="43" t="s">
        <v>3690</v>
      </c>
      <c r="B3666" s="43" t="s">
        <v>73</v>
      </c>
      <c r="C3666" s="46">
        <v>35</v>
      </c>
      <c r="D3666" s="46">
        <v>990520.70083922148</v>
      </c>
      <c r="E3666" s="43">
        <v>79241.656067137723</v>
      </c>
      <c r="F3666" s="43" t="s">
        <v>87</v>
      </c>
      <c r="G3666" s="43" t="s">
        <v>71</v>
      </c>
      <c r="H3666" s="43" t="s">
        <v>88</v>
      </c>
    </row>
    <row r="3667" spans="1:8" x14ac:dyDescent="0.25">
      <c r="A3667" s="43" t="s">
        <v>4829</v>
      </c>
      <c r="B3667" s="43" t="s">
        <v>93</v>
      </c>
      <c r="C3667" s="46">
        <v>35</v>
      </c>
      <c r="D3667" s="46">
        <v>816199.44828543288</v>
      </c>
      <c r="E3667" s="43">
        <v>32647.977931417317</v>
      </c>
      <c r="F3667" s="43" t="s">
        <v>87</v>
      </c>
      <c r="G3667" s="43" t="s">
        <v>71</v>
      </c>
      <c r="H3667" s="43" t="s">
        <v>88</v>
      </c>
    </row>
    <row r="3668" spans="1:8" x14ac:dyDescent="0.25">
      <c r="A3668" s="43" t="s">
        <v>3215</v>
      </c>
      <c r="B3668" s="43" t="s">
        <v>73</v>
      </c>
      <c r="C3668" s="46">
        <v>35</v>
      </c>
      <c r="D3668" s="46">
        <v>1038867.0877097878</v>
      </c>
      <c r="E3668" s="43">
        <v>103886.70877097879</v>
      </c>
      <c r="F3668" s="43" t="s">
        <v>87</v>
      </c>
      <c r="G3668" s="43" t="s">
        <v>71</v>
      </c>
      <c r="H3668" s="43" t="s">
        <v>88</v>
      </c>
    </row>
    <row r="3669" spans="1:8" x14ac:dyDescent="0.25">
      <c r="A3669" s="72" t="s">
        <v>3308</v>
      </c>
      <c r="B3669" s="72" t="s">
        <v>97</v>
      </c>
      <c r="C3669" s="73">
        <v>35</v>
      </c>
      <c r="D3669" s="73">
        <v>989664.32602194033</v>
      </c>
      <c r="E3669" s="72">
        <v>98966.432602194036</v>
      </c>
      <c r="F3669" s="72" t="s">
        <v>70</v>
      </c>
      <c r="G3669" s="72" t="s">
        <v>71</v>
      </c>
      <c r="H3669" s="72" t="s">
        <v>72</v>
      </c>
    </row>
    <row r="3670" spans="1:8" x14ac:dyDescent="0.25">
      <c r="A3670" s="72" t="s">
        <v>3080</v>
      </c>
      <c r="B3670" s="72" t="s">
        <v>102</v>
      </c>
      <c r="C3670" s="73">
        <v>35</v>
      </c>
      <c r="D3670" s="73">
        <v>1019034.1719499553</v>
      </c>
      <c r="E3670" s="72">
        <v>112093.75891449509</v>
      </c>
      <c r="F3670" s="72" t="s">
        <v>70</v>
      </c>
      <c r="G3670" s="72" t="s">
        <v>71</v>
      </c>
      <c r="H3670" s="72" t="s">
        <v>72</v>
      </c>
    </row>
    <row r="3671" spans="1:8" x14ac:dyDescent="0.25">
      <c r="A3671" s="43" t="s">
        <v>3015</v>
      </c>
      <c r="B3671" s="43" t="s">
        <v>73</v>
      </c>
      <c r="C3671" s="46">
        <v>35</v>
      </c>
      <c r="D3671" s="46">
        <v>1059447.8206834721</v>
      </c>
      <c r="E3671" s="43">
        <v>116539.26027518195</v>
      </c>
      <c r="F3671" s="43" t="s">
        <v>87</v>
      </c>
      <c r="G3671" s="43" t="s">
        <v>71</v>
      </c>
      <c r="H3671" s="43" t="s">
        <v>88</v>
      </c>
    </row>
    <row r="3672" spans="1:8" x14ac:dyDescent="0.25">
      <c r="A3672" s="72" t="s">
        <v>2440</v>
      </c>
      <c r="B3672" s="72" t="s">
        <v>2441</v>
      </c>
      <c r="C3672" s="73">
        <v>35</v>
      </c>
      <c r="D3672" s="73">
        <v>1094352.0449452878</v>
      </c>
      <c r="E3672" s="72">
        <v>153209.28629234026</v>
      </c>
      <c r="F3672" s="72" t="s">
        <v>70</v>
      </c>
      <c r="G3672" s="72" t="s">
        <v>71</v>
      </c>
      <c r="H3672" s="72" t="s">
        <v>72</v>
      </c>
    </row>
    <row r="3673" spans="1:8" x14ac:dyDescent="0.25">
      <c r="A3673" s="72" t="s">
        <v>3016</v>
      </c>
      <c r="B3673" s="72" t="s">
        <v>73</v>
      </c>
      <c r="C3673" s="73">
        <v>35</v>
      </c>
      <c r="D3673" s="73">
        <v>1059447.8206834721</v>
      </c>
      <c r="E3673" s="72">
        <v>116539.26027518195</v>
      </c>
      <c r="F3673" s="72" t="s">
        <v>87</v>
      </c>
      <c r="G3673" s="72" t="s">
        <v>71</v>
      </c>
      <c r="H3673" s="72" t="s">
        <v>88</v>
      </c>
    </row>
    <row r="3674" spans="1:8" x14ac:dyDescent="0.25">
      <c r="A3674" s="43" t="s">
        <v>4299</v>
      </c>
      <c r="B3674" s="43" t="s">
        <v>93</v>
      </c>
      <c r="C3674" s="46">
        <v>35</v>
      </c>
      <c r="D3674" s="46">
        <v>925846.44070528669</v>
      </c>
      <c r="E3674" s="43">
        <v>55550.7864423172</v>
      </c>
      <c r="F3674" s="43" t="s">
        <v>87</v>
      </c>
      <c r="G3674" s="43" t="s">
        <v>71</v>
      </c>
      <c r="H3674" s="43" t="s">
        <v>88</v>
      </c>
    </row>
    <row r="3675" spans="1:8" x14ac:dyDescent="0.25">
      <c r="A3675" s="72" t="s">
        <v>3428</v>
      </c>
      <c r="B3675" s="72" t="s">
        <v>93</v>
      </c>
      <c r="C3675" s="73">
        <v>35</v>
      </c>
      <c r="D3675" s="73">
        <v>1016111.3062814485</v>
      </c>
      <c r="E3675" s="72">
        <v>91450.01756533036</v>
      </c>
      <c r="F3675" s="72" t="s">
        <v>87</v>
      </c>
      <c r="G3675" s="72" t="s">
        <v>71</v>
      </c>
      <c r="H3675" s="72" t="s">
        <v>88</v>
      </c>
    </row>
    <row r="3676" spans="1:8" x14ac:dyDescent="0.25">
      <c r="A3676" s="43" t="s">
        <v>3017</v>
      </c>
      <c r="B3676" s="43" t="s">
        <v>83</v>
      </c>
      <c r="C3676" s="46">
        <v>35</v>
      </c>
      <c r="D3676" s="46">
        <v>1059447.8206834721</v>
      </c>
      <c r="E3676" s="43">
        <v>116539.26027518195</v>
      </c>
      <c r="F3676" s="43" t="s">
        <v>87</v>
      </c>
      <c r="G3676" s="43" t="s">
        <v>71</v>
      </c>
      <c r="H3676" s="43" t="s">
        <v>88</v>
      </c>
    </row>
    <row r="3677" spans="1:8" x14ac:dyDescent="0.25">
      <c r="A3677" s="72" t="s">
        <v>4468</v>
      </c>
      <c r="B3677" s="72" t="s">
        <v>89</v>
      </c>
      <c r="C3677" s="73">
        <v>35</v>
      </c>
      <c r="D3677" s="73">
        <v>825451.47575642192</v>
      </c>
      <c r="E3677" s="72">
        <v>49527.088545385326</v>
      </c>
      <c r="F3677" s="72" t="s">
        <v>70</v>
      </c>
      <c r="G3677" s="72" t="s">
        <v>71</v>
      </c>
      <c r="H3677" s="72" t="s">
        <v>72</v>
      </c>
    </row>
    <row r="3678" spans="1:8" x14ac:dyDescent="0.25">
      <c r="A3678" s="72" t="s">
        <v>4300</v>
      </c>
      <c r="B3678" s="72" t="s">
        <v>93</v>
      </c>
      <c r="C3678" s="73">
        <v>35</v>
      </c>
      <c r="D3678" s="73">
        <v>925846.44070528669</v>
      </c>
      <c r="E3678" s="72">
        <v>55550.7864423172</v>
      </c>
      <c r="F3678" s="72" t="s">
        <v>87</v>
      </c>
      <c r="G3678" s="72" t="s">
        <v>71</v>
      </c>
      <c r="H3678" s="72" t="s">
        <v>88</v>
      </c>
    </row>
    <row r="3679" spans="1:8" x14ac:dyDescent="0.25">
      <c r="A3679" s="43" t="s">
        <v>3081</v>
      </c>
      <c r="B3679" s="43" t="s">
        <v>85</v>
      </c>
      <c r="C3679" s="46">
        <v>35</v>
      </c>
      <c r="D3679" s="46">
        <v>1019034.1719499553</v>
      </c>
      <c r="E3679" s="43">
        <v>112093.75891449509</v>
      </c>
      <c r="F3679" s="43" t="s">
        <v>70</v>
      </c>
      <c r="G3679" s="43" t="s">
        <v>71</v>
      </c>
      <c r="H3679" s="43" t="s">
        <v>72</v>
      </c>
    </row>
    <row r="3680" spans="1:8" x14ac:dyDescent="0.25">
      <c r="A3680" s="43" t="s">
        <v>2659</v>
      </c>
      <c r="B3680" s="43" t="s">
        <v>107</v>
      </c>
      <c r="C3680" s="46">
        <v>35</v>
      </c>
      <c r="D3680" s="46">
        <v>1070974.65087177</v>
      </c>
      <c r="E3680" s="43">
        <v>139226.7046133301</v>
      </c>
      <c r="F3680" s="43" t="s">
        <v>70</v>
      </c>
      <c r="G3680" s="43" t="s">
        <v>71</v>
      </c>
      <c r="H3680" s="43" t="s">
        <v>72</v>
      </c>
    </row>
    <row r="3681" spans="1:8" x14ac:dyDescent="0.25">
      <c r="A3681" s="72" t="s">
        <v>4146</v>
      </c>
      <c r="B3681" s="72" t="s">
        <v>102</v>
      </c>
      <c r="C3681" s="73">
        <v>35</v>
      </c>
      <c r="D3681" s="73">
        <v>877847.36244550825</v>
      </c>
      <c r="E3681" s="72">
        <v>61449.31537118557</v>
      </c>
      <c r="F3681" s="72" t="s">
        <v>70</v>
      </c>
      <c r="G3681" s="72" t="s">
        <v>71</v>
      </c>
      <c r="H3681" s="72" t="s">
        <v>72</v>
      </c>
    </row>
    <row r="3682" spans="1:8" x14ac:dyDescent="0.25">
      <c r="A3682" s="72" t="s">
        <v>3216</v>
      </c>
      <c r="B3682" s="72" t="s">
        <v>73</v>
      </c>
      <c r="C3682" s="73">
        <v>35</v>
      </c>
      <c r="D3682" s="73">
        <v>1038867.0877097878</v>
      </c>
      <c r="E3682" s="72">
        <v>103886.70877097879</v>
      </c>
      <c r="F3682" s="72" t="s">
        <v>87</v>
      </c>
      <c r="G3682" s="72" t="s">
        <v>71</v>
      </c>
      <c r="H3682" s="72" t="s">
        <v>88</v>
      </c>
    </row>
    <row r="3683" spans="1:8" x14ac:dyDescent="0.25">
      <c r="A3683" s="72" t="s">
        <v>3992</v>
      </c>
      <c r="B3683" s="72" t="s">
        <v>73</v>
      </c>
      <c r="C3683" s="73">
        <v>35</v>
      </c>
      <c r="D3683" s="73">
        <v>961046.62837805704</v>
      </c>
      <c r="E3683" s="72">
        <v>67273.263986463979</v>
      </c>
      <c r="F3683" s="72" t="s">
        <v>87</v>
      </c>
      <c r="G3683" s="72" t="s">
        <v>71</v>
      </c>
      <c r="H3683" s="72" t="s">
        <v>88</v>
      </c>
    </row>
    <row r="3684" spans="1:8" x14ac:dyDescent="0.25">
      <c r="A3684" s="72" t="s">
        <v>3625</v>
      </c>
      <c r="B3684" s="72" t="s">
        <v>73</v>
      </c>
      <c r="C3684" s="73">
        <v>34</v>
      </c>
      <c r="D3684" s="73">
        <v>820154.78499882377</v>
      </c>
      <c r="E3684" s="72">
        <v>82015.478499882389</v>
      </c>
      <c r="F3684" s="72" t="s">
        <v>106</v>
      </c>
      <c r="G3684" s="72" t="s">
        <v>71</v>
      </c>
      <c r="H3684" s="72" t="s">
        <v>72</v>
      </c>
    </row>
    <row r="3685" spans="1:8" x14ac:dyDescent="0.25">
      <c r="A3685" s="43" t="s">
        <v>3067</v>
      </c>
      <c r="B3685" s="43" t="s">
        <v>73</v>
      </c>
      <c r="C3685" s="46">
        <v>34</v>
      </c>
      <c r="D3685" s="46">
        <v>1028766.8516915552</v>
      </c>
      <c r="E3685" s="43">
        <v>113164.35368607109</v>
      </c>
      <c r="F3685" s="43" t="s">
        <v>87</v>
      </c>
      <c r="G3685" s="43" t="s">
        <v>71</v>
      </c>
      <c r="H3685" s="43" t="s">
        <v>88</v>
      </c>
    </row>
    <row r="3686" spans="1:8" x14ac:dyDescent="0.25">
      <c r="A3686" s="72" t="s">
        <v>2932</v>
      </c>
      <c r="B3686" s="72" t="s">
        <v>73</v>
      </c>
      <c r="C3686" s="73">
        <v>34</v>
      </c>
      <c r="D3686" s="73">
        <v>1015621.9039397516</v>
      </c>
      <c r="E3686" s="72">
        <v>121874.62847277022</v>
      </c>
      <c r="F3686" s="72" t="s">
        <v>70</v>
      </c>
      <c r="G3686" s="72" t="s">
        <v>71</v>
      </c>
      <c r="H3686" s="72" t="s">
        <v>72</v>
      </c>
    </row>
    <row r="3687" spans="1:8" x14ac:dyDescent="0.25">
      <c r="A3687" s="43" t="s">
        <v>4626</v>
      </c>
      <c r="B3687" s="43" t="s">
        <v>265</v>
      </c>
      <c r="C3687" s="46">
        <v>34</v>
      </c>
      <c r="D3687" s="46">
        <v>855534.13503346464</v>
      </c>
      <c r="E3687" s="43">
        <v>42776.706751673235</v>
      </c>
      <c r="F3687" s="43" t="s">
        <v>87</v>
      </c>
      <c r="G3687" s="43" t="s">
        <v>71</v>
      </c>
      <c r="H3687" s="43" t="s">
        <v>88</v>
      </c>
    </row>
    <row r="3688" spans="1:8" x14ac:dyDescent="0.25">
      <c r="A3688" s="43" t="s">
        <v>3841</v>
      </c>
      <c r="B3688" s="43" t="s">
        <v>176</v>
      </c>
      <c r="C3688" s="46">
        <v>34</v>
      </c>
      <c r="D3688" s="46">
        <v>809243.39622112503</v>
      </c>
      <c r="E3688" s="43">
        <v>72831.905659901255</v>
      </c>
      <c r="F3688" s="43" t="s">
        <v>106</v>
      </c>
      <c r="G3688" s="43" t="s">
        <v>71</v>
      </c>
      <c r="H3688" s="43" t="s">
        <v>72</v>
      </c>
    </row>
    <row r="3689" spans="1:8" x14ac:dyDescent="0.25">
      <c r="A3689" s="43" t="s">
        <v>2442</v>
      </c>
      <c r="B3689" s="43" t="s">
        <v>383</v>
      </c>
      <c r="C3689" s="46">
        <v>34</v>
      </c>
      <c r="D3689" s="46">
        <v>1093100.826769396</v>
      </c>
      <c r="E3689" s="43">
        <v>153034.1157477154</v>
      </c>
      <c r="F3689" s="43" t="s">
        <v>78</v>
      </c>
      <c r="G3689" s="43" t="s">
        <v>71</v>
      </c>
      <c r="H3689" s="43" t="s">
        <v>72</v>
      </c>
    </row>
    <row r="3690" spans="1:8" x14ac:dyDescent="0.25">
      <c r="A3690" s="72" t="s">
        <v>4077</v>
      </c>
      <c r="B3690" s="72" t="s">
        <v>75</v>
      </c>
      <c r="C3690" s="73">
        <v>34</v>
      </c>
      <c r="D3690" s="73">
        <v>797004.21075168403</v>
      </c>
      <c r="E3690" s="72">
        <v>63760.336860134725</v>
      </c>
      <c r="F3690" s="72" t="s">
        <v>106</v>
      </c>
      <c r="G3690" s="72" t="s">
        <v>71</v>
      </c>
      <c r="H3690" s="72" t="s">
        <v>72</v>
      </c>
    </row>
    <row r="3691" spans="1:8" x14ac:dyDescent="0.25">
      <c r="A3691" s="43" t="s">
        <v>4312</v>
      </c>
      <c r="B3691" s="43" t="s">
        <v>75</v>
      </c>
      <c r="C3691" s="46">
        <v>34</v>
      </c>
      <c r="D3691" s="46">
        <v>783007.07581394655</v>
      </c>
      <c r="E3691" s="43">
        <v>54810.495306976256</v>
      </c>
      <c r="F3691" s="43" t="s">
        <v>106</v>
      </c>
      <c r="G3691" s="43" t="s">
        <v>71</v>
      </c>
      <c r="H3691" s="43" t="s">
        <v>72</v>
      </c>
    </row>
    <row r="3692" spans="1:8" x14ac:dyDescent="0.25">
      <c r="A3692" s="43" t="s">
        <v>4122</v>
      </c>
      <c r="B3692" s="43" t="s">
        <v>83</v>
      </c>
      <c r="C3692" s="46">
        <v>34</v>
      </c>
      <c r="D3692" s="46">
        <v>894586.36906722921</v>
      </c>
      <c r="E3692" s="43">
        <v>62621.045834706041</v>
      </c>
      <c r="F3692" s="43" t="s">
        <v>84</v>
      </c>
      <c r="G3692" s="43" t="s">
        <v>71</v>
      </c>
      <c r="H3692" s="43" t="s">
        <v>72</v>
      </c>
    </row>
    <row r="3693" spans="1:8" x14ac:dyDescent="0.25">
      <c r="A3693" s="43" t="s">
        <v>3269</v>
      </c>
      <c r="B3693" s="43" t="s">
        <v>257</v>
      </c>
      <c r="C3693" s="46">
        <v>34</v>
      </c>
      <c r="D3693" s="46">
        <v>839051.84852327697</v>
      </c>
      <c r="E3693" s="43">
        <v>100686.22182279323</v>
      </c>
      <c r="F3693" s="43" t="s">
        <v>106</v>
      </c>
      <c r="G3693" s="43" t="s">
        <v>71</v>
      </c>
      <c r="H3693" s="43" t="s">
        <v>72</v>
      </c>
    </row>
    <row r="3694" spans="1:8" x14ac:dyDescent="0.25">
      <c r="A3694" s="43" t="s">
        <v>4892</v>
      </c>
      <c r="B3694" s="43" t="s">
        <v>257</v>
      </c>
      <c r="C3694" s="46">
        <v>34</v>
      </c>
      <c r="D3694" s="46">
        <v>719895.97124082933</v>
      </c>
      <c r="E3694" s="43">
        <v>28795.838849633175</v>
      </c>
      <c r="F3694" s="43" t="s">
        <v>106</v>
      </c>
      <c r="G3694" s="43" t="s">
        <v>71</v>
      </c>
      <c r="H3694" s="43" t="s">
        <v>72</v>
      </c>
    </row>
    <row r="3695" spans="1:8" x14ac:dyDescent="0.25">
      <c r="A3695" s="72" t="s">
        <v>4551</v>
      </c>
      <c r="B3695" s="72" t="s">
        <v>554</v>
      </c>
      <c r="C3695" s="73">
        <v>34</v>
      </c>
      <c r="D3695" s="73">
        <v>766556.22651809116</v>
      </c>
      <c r="E3695" s="72">
        <v>45993.373591085481</v>
      </c>
      <c r="F3695" s="72" t="s">
        <v>106</v>
      </c>
      <c r="G3695" s="72" t="s">
        <v>71</v>
      </c>
      <c r="H3695" s="72" t="s">
        <v>72</v>
      </c>
    </row>
    <row r="3696" spans="1:8" x14ac:dyDescent="0.25">
      <c r="A3696" s="72" t="s">
        <v>2672</v>
      </c>
      <c r="B3696" s="72" t="s">
        <v>73</v>
      </c>
      <c r="C3696" s="73">
        <v>34</v>
      </c>
      <c r="D3696" s="73">
        <v>1064016.9244935242</v>
      </c>
      <c r="E3696" s="72">
        <v>138322.20018415817</v>
      </c>
      <c r="F3696" s="72" t="s">
        <v>87</v>
      </c>
      <c r="G3696" s="72" t="s">
        <v>71</v>
      </c>
      <c r="H3696" s="72" t="s">
        <v>88</v>
      </c>
    </row>
    <row r="3697" spans="1:8" x14ac:dyDescent="0.25">
      <c r="A3697" s="72" t="s">
        <v>2496</v>
      </c>
      <c r="B3697" s="72" t="s">
        <v>102</v>
      </c>
      <c r="C3697" s="73">
        <v>34</v>
      </c>
      <c r="D3697" s="73">
        <v>1062610.766829452</v>
      </c>
      <c r="E3697" s="72">
        <v>148765.50735612327</v>
      </c>
      <c r="F3697" s="72" t="s">
        <v>70</v>
      </c>
      <c r="G3697" s="72" t="s">
        <v>71</v>
      </c>
      <c r="H3697" s="72" t="s">
        <v>72</v>
      </c>
    </row>
    <row r="3698" spans="1:8" x14ac:dyDescent="0.25">
      <c r="A3698" s="72" t="s">
        <v>4755</v>
      </c>
      <c r="B3698" s="72" t="s">
        <v>93</v>
      </c>
      <c r="C3698" s="73">
        <v>34</v>
      </c>
      <c r="D3698" s="73">
        <v>746402.48106661509</v>
      </c>
      <c r="E3698" s="72">
        <v>37320.124053330757</v>
      </c>
      <c r="F3698" s="72" t="s">
        <v>106</v>
      </c>
      <c r="G3698" s="72" t="s">
        <v>71</v>
      </c>
      <c r="H3698" s="72" t="s">
        <v>72</v>
      </c>
    </row>
    <row r="3699" spans="1:8" x14ac:dyDescent="0.25">
      <c r="A3699" s="43" t="s">
        <v>4756</v>
      </c>
      <c r="B3699" s="43" t="s">
        <v>73</v>
      </c>
      <c r="C3699" s="46">
        <v>34</v>
      </c>
      <c r="D3699" s="46">
        <v>746402.48106661509</v>
      </c>
      <c r="E3699" s="43">
        <v>37320.124053330757</v>
      </c>
      <c r="F3699" s="43" t="s">
        <v>106</v>
      </c>
      <c r="G3699" s="43" t="s">
        <v>71</v>
      </c>
      <c r="H3699" s="43" t="s">
        <v>72</v>
      </c>
    </row>
    <row r="3700" spans="1:8" x14ac:dyDescent="0.25">
      <c r="A3700" s="43" t="s">
        <v>2497</v>
      </c>
      <c r="B3700" s="43" t="s">
        <v>85</v>
      </c>
      <c r="C3700" s="46">
        <v>34</v>
      </c>
      <c r="D3700" s="46">
        <v>1062610.766829452</v>
      </c>
      <c r="E3700" s="43">
        <v>148765.50735612327</v>
      </c>
      <c r="F3700" s="43" t="s">
        <v>70</v>
      </c>
      <c r="G3700" s="43" t="s">
        <v>71</v>
      </c>
      <c r="H3700" s="43" t="s">
        <v>72</v>
      </c>
    </row>
    <row r="3701" spans="1:8" x14ac:dyDescent="0.25">
      <c r="A3701" s="72" t="s">
        <v>3124</v>
      </c>
      <c r="B3701" s="72" t="s">
        <v>97</v>
      </c>
      <c r="C3701" s="73">
        <v>34</v>
      </c>
      <c r="D3701" s="73">
        <v>989444.83306255739</v>
      </c>
      <c r="E3701" s="72">
        <v>108838.93163688133</v>
      </c>
      <c r="F3701" s="72" t="s">
        <v>70</v>
      </c>
      <c r="G3701" s="72" t="s">
        <v>71</v>
      </c>
      <c r="H3701" s="72" t="s">
        <v>72</v>
      </c>
    </row>
    <row r="3702" spans="1:8" x14ac:dyDescent="0.25">
      <c r="A3702" s="43" t="s">
        <v>3487</v>
      </c>
      <c r="B3702" s="43" t="s">
        <v>1247</v>
      </c>
      <c r="C3702" s="46">
        <v>34</v>
      </c>
      <c r="D3702" s="46">
        <v>986668.52341530356</v>
      </c>
      <c r="E3702" s="43">
        <v>88800.167107377318</v>
      </c>
      <c r="F3702" s="43" t="s">
        <v>87</v>
      </c>
      <c r="G3702" s="43" t="s">
        <v>71</v>
      </c>
      <c r="H3702" s="43" t="s">
        <v>88</v>
      </c>
    </row>
    <row r="3703" spans="1:8" x14ac:dyDescent="0.25">
      <c r="A3703" s="72" t="s">
        <v>4627</v>
      </c>
      <c r="B3703" s="72" t="s">
        <v>202</v>
      </c>
      <c r="C3703" s="73">
        <v>34</v>
      </c>
      <c r="D3703" s="73">
        <v>855534.13503346464</v>
      </c>
      <c r="E3703" s="72">
        <v>42776.706751673235</v>
      </c>
      <c r="F3703" s="72" t="s">
        <v>87</v>
      </c>
      <c r="G3703" s="72" t="s">
        <v>71</v>
      </c>
      <c r="H3703" s="72" t="s">
        <v>88</v>
      </c>
    </row>
    <row r="3704" spans="1:8" x14ac:dyDescent="0.25">
      <c r="A3704" s="43" t="s">
        <v>1356</v>
      </c>
      <c r="B3704" s="43" t="s">
        <v>252</v>
      </c>
      <c r="C3704" s="46">
        <v>34</v>
      </c>
      <c r="D3704" s="46">
        <v>852291.93240109459</v>
      </c>
      <c r="E3704" s="43">
        <v>59660.435268076617</v>
      </c>
      <c r="F3704" s="43" t="s">
        <v>70</v>
      </c>
      <c r="G3704" s="43" t="s">
        <v>71</v>
      </c>
      <c r="H3704" s="43" t="s">
        <v>72</v>
      </c>
    </row>
    <row r="3705" spans="1:8" x14ac:dyDescent="0.25">
      <c r="A3705" s="72" t="s">
        <v>3488</v>
      </c>
      <c r="B3705" s="72" t="s">
        <v>73</v>
      </c>
      <c r="C3705" s="73">
        <v>34</v>
      </c>
      <c r="D3705" s="73">
        <v>986668.52341530356</v>
      </c>
      <c r="E3705" s="72">
        <v>88800.167107377318</v>
      </c>
      <c r="F3705" s="72" t="s">
        <v>87</v>
      </c>
      <c r="G3705" s="72" t="s">
        <v>71</v>
      </c>
      <c r="H3705" s="72" t="s">
        <v>88</v>
      </c>
    </row>
    <row r="3706" spans="1:8" x14ac:dyDescent="0.25">
      <c r="A3706" s="43" t="s">
        <v>2917</v>
      </c>
      <c r="B3706" s="43" t="s">
        <v>77</v>
      </c>
      <c r="C3706" s="46">
        <v>34</v>
      </c>
      <c r="D3706" s="46">
        <v>1112625.5868863028</v>
      </c>
      <c r="E3706" s="43">
        <v>122388.81455749333</v>
      </c>
      <c r="F3706" s="43" t="s">
        <v>84</v>
      </c>
      <c r="G3706" s="43" t="s">
        <v>71</v>
      </c>
      <c r="H3706" s="43" t="s">
        <v>72</v>
      </c>
    </row>
    <row r="3707" spans="1:8" x14ac:dyDescent="0.25">
      <c r="A3707" s="72" t="s">
        <v>2498</v>
      </c>
      <c r="B3707" s="72" t="s">
        <v>102</v>
      </c>
      <c r="C3707" s="73">
        <v>34</v>
      </c>
      <c r="D3707" s="73">
        <v>1062610.766829452</v>
      </c>
      <c r="E3707" s="72">
        <v>148765.50735612327</v>
      </c>
      <c r="F3707" s="72" t="s">
        <v>70</v>
      </c>
      <c r="G3707" s="72" t="s">
        <v>71</v>
      </c>
      <c r="H3707" s="72" t="s">
        <v>72</v>
      </c>
    </row>
    <row r="3708" spans="1:8" x14ac:dyDescent="0.25">
      <c r="A3708" s="72" t="s">
        <v>4313</v>
      </c>
      <c r="B3708" s="72" t="s">
        <v>202</v>
      </c>
      <c r="C3708" s="73">
        <v>34</v>
      </c>
      <c r="D3708" s="73">
        <v>783007.07581394655</v>
      </c>
      <c r="E3708" s="72">
        <v>54810.495306976256</v>
      </c>
      <c r="F3708" s="72" t="s">
        <v>106</v>
      </c>
      <c r="G3708" s="72" t="s">
        <v>71</v>
      </c>
      <c r="H3708" s="72" t="s">
        <v>72</v>
      </c>
    </row>
    <row r="3709" spans="1:8" x14ac:dyDescent="0.25">
      <c r="A3709" s="43" t="s">
        <v>2933</v>
      </c>
      <c r="B3709" s="43" t="s">
        <v>77</v>
      </c>
      <c r="C3709" s="46">
        <v>34</v>
      </c>
      <c r="D3709" s="46">
        <v>1015621.9039397516</v>
      </c>
      <c r="E3709" s="43">
        <v>121874.62847277022</v>
      </c>
      <c r="F3709" s="43" t="s">
        <v>70</v>
      </c>
      <c r="G3709" s="43" t="s">
        <v>71</v>
      </c>
      <c r="H3709" s="43" t="s">
        <v>72</v>
      </c>
    </row>
    <row r="3710" spans="1:8" x14ac:dyDescent="0.25">
      <c r="A3710" s="72" t="s">
        <v>3842</v>
      </c>
      <c r="B3710" s="72" t="s">
        <v>77</v>
      </c>
      <c r="C3710" s="73">
        <v>34</v>
      </c>
      <c r="D3710" s="73">
        <v>809243.39622112503</v>
      </c>
      <c r="E3710" s="72">
        <v>72831.905659901255</v>
      </c>
      <c r="F3710" s="72" t="s">
        <v>106</v>
      </c>
      <c r="G3710" s="72" t="s">
        <v>71</v>
      </c>
      <c r="H3710" s="72" t="s">
        <v>72</v>
      </c>
    </row>
    <row r="3711" spans="1:8" x14ac:dyDescent="0.25">
      <c r="A3711" s="72" t="s">
        <v>4757</v>
      </c>
      <c r="B3711" s="72" t="s">
        <v>77</v>
      </c>
      <c r="C3711" s="73">
        <v>34</v>
      </c>
      <c r="D3711" s="73">
        <v>746402.48106661509</v>
      </c>
      <c r="E3711" s="72">
        <v>37320.124053330757</v>
      </c>
      <c r="F3711" s="72" t="s">
        <v>106</v>
      </c>
      <c r="G3711" s="72" t="s">
        <v>71</v>
      </c>
      <c r="H3711" s="72" t="s">
        <v>72</v>
      </c>
    </row>
    <row r="3712" spans="1:8" x14ac:dyDescent="0.25">
      <c r="A3712" s="72" t="s">
        <v>3270</v>
      </c>
      <c r="B3712" s="72" t="s">
        <v>73</v>
      </c>
      <c r="C3712" s="73">
        <v>34</v>
      </c>
      <c r="D3712" s="73">
        <v>839051.84852327697</v>
      </c>
      <c r="E3712" s="72">
        <v>100686.22182279323</v>
      </c>
      <c r="F3712" s="72" t="s">
        <v>106</v>
      </c>
      <c r="G3712" s="72" t="s">
        <v>71</v>
      </c>
      <c r="H3712" s="72" t="s">
        <v>72</v>
      </c>
    </row>
    <row r="3713" spans="1:8" x14ac:dyDescent="0.25">
      <c r="A3713" s="72" t="s">
        <v>3750</v>
      </c>
      <c r="B3713" s="72" t="s">
        <v>1247</v>
      </c>
      <c r="C3713" s="73">
        <v>34</v>
      </c>
      <c r="D3713" s="73">
        <v>961809.07812856871</v>
      </c>
      <c r="E3713" s="72">
        <v>76944.726250285501</v>
      </c>
      <c r="F3713" s="72" t="s">
        <v>87</v>
      </c>
      <c r="G3713" s="72" t="s">
        <v>71</v>
      </c>
      <c r="H3713" s="72" t="s">
        <v>88</v>
      </c>
    </row>
    <row r="3714" spans="1:8" x14ac:dyDescent="0.25">
      <c r="A3714" s="43" t="s">
        <v>2872</v>
      </c>
      <c r="B3714" s="43" t="s">
        <v>202</v>
      </c>
      <c r="C3714" s="46">
        <v>34</v>
      </c>
      <c r="D3714" s="46">
        <v>1047078.8736504997</v>
      </c>
      <c r="E3714" s="43">
        <v>125649.46483805997</v>
      </c>
      <c r="F3714" s="43" t="s">
        <v>87</v>
      </c>
      <c r="G3714" s="43" t="s">
        <v>71</v>
      </c>
      <c r="H3714" s="43" t="s">
        <v>88</v>
      </c>
    </row>
    <row r="3715" spans="1:8" x14ac:dyDescent="0.25">
      <c r="A3715" s="43" t="s">
        <v>4849</v>
      </c>
      <c r="B3715" s="43" t="s">
        <v>267</v>
      </c>
      <c r="C3715" s="46">
        <v>34</v>
      </c>
      <c r="D3715" s="46">
        <v>792468.43279060291</v>
      </c>
      <c r="E3715" s="43">
        <v>31698.737311624118</v>
      </c>
      <c r="F3715" s="43" t="s">
        <v>87</v>
      </c>
      <c r="G3715" s="43" t="s">
        <v>71</v>
      </c>
      <c r="H3715" s="43" t="s">
        <v>88</v>
      </c>
    </row>
    <row r="3716" spans="1:8" x14ac:dyDescent="0.25">
      <c r="A3716" s="72" t="s">
        <v>4028</v>
      </c>
      <c r="B3716" s="72" t="s">
        <v>73</v>
      </c>
      <c r="C3716" s="73">
        <v>34</v>
      </c>
      <c r="D3716" s="73">
        <v>933177.12202343775</v>
      </c>
      <c r="E3716" s="72">
        <v>65322.398541640636</v>
      </c>
      <c r="F3716" s="72" t="s">
        <v>87</v>
      </c>
      <c r="G3716" s="72" t="s">
        <v>71</v>
      </c>
      <c r="H3716" s="72" t="s">
        <v>88</v>
      </c>
    </row>
    <row r="3717" spans="1:8" x14ac:dyDescent="0.25">
      <c r="A3717" s="43" t="s">
        <v>4664</v>
      </c>
      <c r="B3717" s="43" t="s">
        <v>73</v>
      </c>
      <c r="C3717" s="46">
        <v>33</v>
      </c>
      <c r="D3717" s="46">
        <v>829972.7395709916</v>
      </c>
      <c r="E3717" s="43">
        <v>41498.636978549584</v>
      </c>
      <c r="F3717" s="43" t="s">
        <v>87</v>
      </c>
      <c r="G3717" s="43" t="s">
        <v>71</v>
      </c>
      <c r="H3717" s="43" t="s">
        <v>88</v>
      </c>
    </row>
    <row r="3718" spans="1:8" x14ac:dyDescent="0.25">
      <c r="A3718" s="43" t="s">
        <v>4223</v>
      </c>
      <c r="B3718" s="43" t="s">
        <v>97</v>
      </c>
      <c r="C3718" s="46">
        <v>33</v>
      </c>
      <c r="D3718" s="46">
        <v>826764.8146173287</v>
      </c>
      <c r="E3718" s="43">
        <v>57873.537023213001</v>
      </c>
      <c r="F3718" s="43" t="s">
        <v>70</v>
      </c>
      <c r="G3718" s="43" t="s">
        <v>71</v>
      </c>
      <c r="H3718" s="43" t="s">
        <v>72</v>
      </c>
    </row>
    <row r="3719" spans="1:8" x14ac:dyDescent="0.25">
      <c r="A3719" s="72" t="s">
        <v>4533</v>
      </c>
      <c r="B3719" s="72" t="s">
        <v>73</v>
      </c>
      <c r="C3719" s="73">
        <v>33</v>
      </c>
      <c r="D3719" s="73">
        <v>777362.97859619011</v>
      </c>
      <c r="E3719" s="72">
        <v>46641.778715771412</v>
      </c>
      <c r="F3719" s="72" t="s">
        <v>70</v>
      </c>
      <c r="G3719" s="72" t="s">
        <v>71</v>
      </c>
      <c r="H3719" s="72" t="s">
        <v>72</v>
      </c>
    </row>
    <row r="3720" spans="1:8" x14ac:dyDescent="0.25">
      <c r="A3720" s="72" t="s">
        <v>4665</v>
      </c>
      <c r="B3720" s="72" t="s">
        <v>73</v>
      </c>
      <c r="C3720" s="73">
        <v>33</v>
      </c>
      <c r="D3720" s="73">
        <v>829972.7395709916</v>
      </c>
      <c r="E3720" s="72">
        <v>41498.636978549584</v>
      </c>
      <c r="F3720" s="72" t="s">
        <v>87</v>
      </c>
      <c r="G3720" s="72" t="s">
        <v>71</v>
      </c>
      <c r="H3720" s="72" t="s">
        <v>88</v>
      </c>
    </row>
    <row r="3721" spans="1:8" x14ac:dyDescent="0.25">
      <c r="A3721" s="43" t="s">
        <v>3323</v>
      </c>
      <c r="B3721" s="43" t="s">
        <v>73</v>
      </c>
      <c r="C3721" s="46">
        <v>33</v>
      </c>
      <c r="D3721" s="46">
        <v>978705.68523789989</v>
      </c>
      <c r="E3721" s="43">
        <v>97870.568523789989</v>
      </c>
      <c r="F3721" s="43" t="s">
        <v>87</v>
      </c>
      <c r="G3721" s="43" t="s">
        <v>71</v>
      </c>
      <c r="H3721" s="43" t="s">
        <v>88</v>
      </c>
    </row>
    <row r="3722" spans="1:8" x14ac:dyDescent="0.25">
      <c r="A3722" s="43" t="s">
        <v>3678</v>
      </c>
      <c r="B3722" s="43" t="s">
        <v>75</v>
      </c>
      <c r="C3722" s="46">
        <v>33</v>
      </c>
      <c r="D3722" s="46">
        <v>795581.74002136034</v>
      </c>
      <c r="E3722" s="43">
        <v>79558.174002136046</v>
      </c>
      <c r="F3722" s="43" t="s">
        <v>106</v>
      </c>
      <c r="G3722" s="43" t="s">
        <v>71</v>
      </c>
      <c r="H3722" s="43" t="s">
        <v>72</v>
      </c>
    </row>
    <row r="3723" spans="1:8" x14ac:dyDescent="0.25">
      <c r="A3723" s="43" t="s">
        <v>3590</v>
      </c>
      <c r="B3723" s="43" t="s">
        <v>75</v>
      </c>
      <c r="C3723" s="46">
        <v>33</v>
      </c>
      <c r="D3723" s="46">
        <v>927734.95325489063</v>
      </c>
      <c r="E3723" s="43">
        <v>83496.145792940151</v>
      </c>
      <c r="F3723" s="43" t="s">
        <v>78</v>
      </c>
      <c r="G3723" s="43" t="s">
        <v>71</v>
      </c>
      <c r="H3723" s="43" t="s">
        <v>72</v>
      </c>
    </row>
    <row r="3724" spans="1:8" x14ac:dyDescent="0.25">
      <c r="A3724" s="43" t="s">
        <v>4866</v>
      </c>
      <c r="B3724" s="43" t="s">
        <v>73</v>
      </c>
      <c r="C3724" s="46">
        <v>33</v>
      </c>
      <c r="D3724" s="46">
        <v>768761.91092350811</v>
      </c>
      <c r="E3724" s="43">
        <v>30750.476436940324</v>
      </c>
      <c r="F3724" s="43" t="s">
        <v>87</v>
      </c>
      <c r="G3724" s="43" t="s">
        <v>71</v>
      </c>
      <c r="H3724" s="43" t="s">
        <v>88</v>
      </c>
    </row>
    <row r="3725" spans="1:8" x14ac:dyDescent="0.25">
      <c r="A3725" s="43" t="s">
        <v>3327</v>
      </c>
      <c r="B3725" s="43" t="s">
        <v>554</v>
      </c>
      <c r="C3725" s="46">
        <v>33</v>
      </c>
      <c r="D3725" s="46">
        <v>813923.00755980005</v>
      </c>
      <c r="E3725" s="43">
        <v>97670.760907176009</v>
      </c>
      <c r="F3725" s="43" t="s">
        <v>106</v>
      </c>
      <c r="G3725" s="43" t="s">
        <v>71</v>
      </c>
      <c r="H3725" s="43" t="s">
        <v>72</v>
      </c>
    </row>
    <row r="3726" spans="1:8" x14ac:dyDescent="0.25">
      <c r="A3726" s="72" t="s">
        <v>3184</v>
      </c>
      <c r="B3726" s="72" t="s">
        <v>73</v>
      </c>
      <c r="C3726" s="73">
        <v>33</v>
      </c>
      <c r="D3726" s="73">
        <v>959883.80643580738</v>
      </c>
      <c r="E3726" s="72">
        <v>105587.21870793882</v>
      </c>
      <c r="F3726" s="72" t="s">
        <v>70</v>
      </c>
      <c r="G3726" s="72" t="s">
        <v>71</v>
      </c>
      <c r="H3726" s="72" t="s">
        <v>72</v>
      </c>
    </row>
    <row r="3727" spans="1:8" x14ac:dyDescent="0.25">
      <c r="A3727" s="72" t="s">
        <v>2783</v>
      </c>
      <c r="B3727" s="72" t="s">
        <v>102</v>
      </c>
      <c r="C3727" s="73">
        <v>33</v>
      </c>
      <c r="D3727" s="73">
        <v>1008856.2579906612</v>
      </c>
      <c r="E3727" s="72">
        <v>131151.31353878597</v>
      </c>
      <c r="F3727" s="72" t="s">
        <v>70</v>
      </c>
      <c r="G3727" s="72" t="s">
        <v>71</v>
      </c>
      <c r="H3727" s="72" t="s">
        <v>72</v>
      </c>
    </row>
    <row r="3728" spans="1:8" x14ac:dyDescent="0.25">
      <c r="A3728" s="43" t="s">
        <v>2927</v>
      </c>
      <c r="B3728" s="43" t="s">
        <v>73</v>
      </c>
      <c r="C3728" s="46">
        <v>33</v>
      </c>
      <c r="D3728" s="46">
        <v>1015883.8094051727</v>
      </c>
      <c r="E3728" s="43">
        <v>121906.05712862073</v>
      </c>
      <c r="F3728" s="43" t="s">
        <v>87</v>
      </c>
      <c r="G3728" s="43" t="s">
        <v>71</v>
      </c>
      <c r="H3728" s="43" t="s">
        <v>88</v>
      </c>
    </row>
    <row r="3729" spans="1:8" x14ac:dyDescent="0.25">
      <c r="A3729" s="72" t="s">
        <v>4224</v>
      </c>
      <c r="B3729" s="72" t="s">
        <v>73</v>
      </c>
      <c r="C3729" s="73">
        <v>33</v>
      </c>
      <c r="D3729" s="73">
        <v>826764.8146173287</v>
      </c>
      <c r="E3729" s="72">
        <v>57873.537023213001</v>
      </c>
      <c r="F3729" s="72" t="s">
        <v>70</v>
      </c>
      <c r="G3729" s="72" t="s">
        <v>71</v>
      </c>
      <c r="H3729" s="72" t="s">
        <v>72</v>
      </c>
    </row>
    <row r="3730" spans="1:8" x14ac:dyDescent="0.25">
      <c r="A3730" s="72" t="s">
        <v>3324</v>
      </c>
      <c r="B3730" s="72" t="s">
        <v>73</v>
      </c>
      <c r="C3730" s="73">
        <v>33</v>
      </c>
      <c r="D3730" s="73">
        <v>978705.68523789989</v>
      </c>
      <c r="E3730" s="72">
        <v>97870.568523789989</v>
      </c>
      <c r="F3730" s="72" t="s">
        <v>87</v>
      </c>
      <c r="G3730" s="72" t="s">
        <v>71</v>
      </c>
      <c r="H3730" s="72" t="s">
        <v>88</v>
      </c>
    </row>
    <row r="3731" spans="1:8" x14ac:dyDescent="0.25">
      <c r="A3731" s="43" t="s">
        <v>4225</v>
      </c>
      <c r="B3731" s="43" t="s">
        <v>73</v>
      </c>
      <c r="C3731" s="46">
        <v>33</v>
      </c>
      <c r="D3731" s="46">
        <v>826764.8146173287</v>
      </c>
      <c r="E3731" s="43">
        <v>57873.537023213001</v>
      </c>
      <c r="F3731" s="43" t="s">
        <v>70</v>
      </c>
      <c r="G3731" s="43" t="s">
        <v>71</v>
      </c>
      <c r="H3731" s="43" t="s">
        <v>72</v>
      </c>
    </row>
    <row r="3732" spans="1:8" x14ac:dyDescent="0.25">
      <c r="A3732" s="43" t="s">
        <v>4766</v>
      </c>
      <c r="B3732" s="43" t="s">
        <v>75</v>
      </c>
      <c r="C3732" s="46">
        <v>33</v>
      </c>
      <c r="D3732" s="46">
        <v>730606.17438326927</v>
      </c>
      <c r="E3732" s="43">
        <v>36530.308719163462</v>
      </c>
      <c r="F3732" s="43" t="s">
        <v>78</v>
      </c>
      <c r="G3732" s="43" t="s">
        <v>71</v>
      </c>
      <c r="H3732" s="43" t="s">
        <v>72</v>
      </c>
    </row>
    <row r="3733" spans="1:8" x14ac:dyDescent="0.25">
      <c r="A3733" s="72" t="s">
        <v>3591</v>
      </c>
      <c r="B3733" s="72" t="s">
        <v>75</v>
      </c>
      <c r="C3733" s="73">
        <v>33</v>
      </c>
      <c r="D3733" s="73">
        <v>927734.95325489063</v>
      </c>
      <c r="E3733" s="72">
        <v>83496.145792940151</v>
      </c>
      <c r="F3733" s="72" t="s">
        <v>78</v>
      </c>
      <c r="G3733" s="72" t="s">
        <v>71</v>
      </c>
      <c r="H3733" s="72" t="s">
        <v>72</v>
      </c>
    </row>
    <row r="3734" spans="1:8" x14ac:dyDescent="0.25">
      <c r="A3734" s="72" t="s">
        <v>2992</v>
      </c>
      <c r="B3734" s="72" t="s">
        <v>75</v>
      </c>
      <c r="C3734" s="73">
        <v>33</v>
      </c>
      <c r="D3734" s="73">
        <v>985290.96346367232</v>
      </c>
      <c r="E3734" s="72">
        <v>118234.9156156407</v>
      </c>
      <c r="F3734" s="72" t="s">
        <v>70</v>
      </c>
      <c r="G3734" s="72" t="s">
        <v>71</v>
      </c>
      <c r="H3734" s="72" t="s">
        <v>72</v>
      </c>
    </row>
    <row r="3735" spans="1:8" x14ac:dyDescent="0.25">
      <c r="A3735" s="43" t="s">
        <v>3325</v>
      </c>
      <c r="B3735" s="43" t="s">
        <v>73</v>
      </c>
      <c r="C3735" s="46">
        <v>33</v>
      </c>
      <c r="D3735" s="46">
        <v>978705.68523789989</v>
      </c>
      <c r="E3735" s="43">
        <v>97870.568523789989</v>
      </c>
      <c r="F3735" s="43" t="s">
        <v>87</v>
      </c>
      <c r="G3735" s="43" t="s">
        <v>71</v>
      </c>
      <c r="H3735" s="43" t="s">
        <v>88</v>
      </c>
    </row>
    <row r="3736" spans="1:8" x14ac:dyDescent="0.25">
      <c r="A3736" s="43" t="s">
        <v>3131</v>
      </c>
      <c r="B3736" s="43" t="s">
        <v>75</v>
      </c>
      <c r="C3736" s="46">
        <v>33</v>
      </c>
      <c r="D3736" s="46">
        <v>987562.12304353912</v>
      </c>
      <c r="E3736" s="43">
        <v>108631.83353478932</v>
      </c>
      <c r="F3736" s="43" t="s">
        <v>78</v>
      </c>
      <c r="G3736" s="43" t="s">
        <v>71</v>
      </c>
      <c r="H3736" s="43" t="s">
        <v>72</v>
      </c>
    </row>
    <row r="3737" spans="1:8" x14ac:dyDescent="0.25">
      <c r="A3737" s="43" t="s">
        <v>2784</v>
      </c>
      <c r="B3737" s="43" t="s">
        <v>211</v>
      </c>
      <c r="C3737" s="46">
        <v>33</v>
      </c>
      <c r="D3737" s="46">
        <v>1008856.2579906612</v>
      </c>
      <c r="E3737" s="43">
        <v>131151.31353878597</v>
      </c>
      <c r="F3737" s="43" t="s">
        <v>70</v>
      </c>
      <c r="G3737" s="43" t="s">
        <v>71</v>
      </c>
      <c r="H3737" s="43" t="s">
        <v>72</v>
      </c>
    </row>
    <row r="3738" spans="1:8" x14ac:dyDescent="0.25">
      <c r="A3738" s="72" t="s">
        <v>2940</v>
      </c>
      <c r="B3738" s="72" t="s">
        <v>75</v>
      </c>
      <c r="C3738" s="73">
        <v>33</v>
      </c>
      <c r="D3738" s="73">
        <v>1013628.4887845377</v>
      </c>
      <c r="E3738" s="72">
        <v>121635.41865414454</v>
      </c>
      <c r="F3738" s="72" t="s">
        <v>78</v>
      </c>
      <c r="G3738" s="72" t="s">
        <v>71</v>
      </c>
      <c r="H3738" s="72" t="s">
        <v>72</v>
      </c>
    </row>
    <row r="3739" spans="1:8" x14ac:dyDescent="0.25">
      <c r="A3739" s="72" t="s">
        <v>4226</v>
      </c>
      <c r="B3739" s="72" t="s">
        <v>97</v>
      </c>
      <c r="C3739" s="73">
        <v>33</v>
      </c>
      <c r="D3739" s="73">
        <v>826764.8146173287</v>
      </c>
      <c r="E3739" s="72">
        <v>57873.537023213001</v>
      </c>
      <c r="F3739" s="72" t="s">
        <v>70</v>
      </c>
      <c r="G3739" s="72" t="s">
        <v>71</v>
      </c>
      <c r="H3739" s="72" t="s">
        <v>72</v>
      </c>
    </row>
    <row r="3740" spans="1:8" x14ac:dyDescent="0.25">
      <c r="A3740" s="43" t="s">
        <v>3937</v>
      </c>
      <c r="B3740" s="43" t="s">
        <v>97</v>
      </c>
      <c r="C3740" s="46">
        <v>33</v>
      </c>
      <c r="D3740" s="46">
        <v>867006.12398136687</v>
      </c>
      <c r="E3740" s="43">
        <v>69360.489918509353</v>
      </c>
      <c r="F3740" s="43" t="s">
        <v>70</v>
      </c>
      <c r="G3740" s="43" t="s">
        <v>71</v>
      </c>
      <c r="H3740" s="43" t="s">
        <v>72</v>
      </c>
    </row>
    <row r="3741" spans="1:8" x14ac:dyDescent="0.25">
      <c r="A3741" s="43" t="s">
        <v>3111</v>
      </c>
      <c r="B3741" s="43" t="s">
        <v>77</v>
      </c>
      <c r="C3741" s="46">
        <v>33</v>
      </c>
      <c r="D3741" s="46">
        <v>998110.37632737367</v>
      </c>
      <c r="E3741" s="43">
        <v>109792.14139601112</v>
      </c>
      <c r="F3741" s="43" t="s">
        <v>87</v>
      </c>
      <c r="G3741" s="43" t="s">
        <v>71</v>
      </c>
      <c r="H3741" s="43" t="s">
        <v>88</v>
      </c>
    </row>
    <row r="3742" spans="1:8" x14ac:dyDescent="0.25">
      <c r="A3742" s="43" t="s">
        <v>3903</v>
      </c>
      <c r="B3742" s="43" t="s">
        <v>73</v>
      </c>
      <c r="C3742" s="46">
        <v>33</v>
      </c>
      <c r="D3742" s="46">
        <v>784991.27444300556</v>
      </c>
      <c r="E3742" s="43">
        <v>70649.214699870499</v>
      </c>
      <c r="F3742" s="43" t="s">
        <v>106</v>
      </c>
      <c r="G3742" s="43" t="s">
        <v>71</v>
      </c>
      <c r="H3742" s="43" t="s">
        <v>72</v>
      </c>
    </row>
    <row r="3743" spans="1:8" x14ac:dyDescent="0.25">
      <c r="A3743" s="72" t="s">
        <v>3112</v>
      </c>
      <c r="B3743" s="72" t="s">
        <v>202</v>
      </c>
      <c r="C3743" s="73">
        <v>33</v>
      </c>
      <c r="D3743" s="73">
        <v>998110.37632737367</v>
      </c>
      <c r="E3743" s="72">
        <v>109792.14139601112</v>
      </c>
      <c r="F3743" s="72" t="s">
        <v>87</v>
      </c>
      <c r="G3743" s="72" t="s">
        <v>71</v>
      </c>
      <c r="H3743" s="72" t="s">
        <v>88</v>
      </c>
    </row>
    <row r="3744" spans="1:8" x14ac:dyDescent="0.25">
      <c r="A3744" s="72" t="s">
        <v>2928</v>
      </c>
      <c r="B3744" s="72" t="s">
        <v>93</v>
      </c>
      <c r="C3744" s="73">
        <v>33</v>
      </c>
      <c r="D3744" s="73">
        <v>1015883.8094051727</v>
      </c>
      <c r="E3744" s="72">
        <v>121906.05712862073</v>
      </c>
      <c r="F3744" s="72" t="s">
        <v>87</v>
      </c>
      <c r="G3744" s="72" t="s">
        <v>71</v>
      </c>
      <c r="H3744" s="72" t="s">
        <v>88</v>
      </c>
    </row>
    <row r="3745" spans="1:8" x14ac:dyDescent="0.25">
      <c r="A3745" s="43" t="s">
        <v>4534</v>
      </c>
      <c r="B3745" s="43" t="s">
        <v>97</v>
      </c>
      <c r="C3745" s="46">
        <v>33</v>
      </c>
      <c r="D3745" s="46">
        <v>777362.97859619011</v>
      </c>
      <c r="E3745" s="43">
        <v>46641.778715771412</v>
      </c>
      <c r="F3745" s="43" t="s">
        <v>70</v>
      </c>
      <c r="G3745" s="43" t="s">
        <v>71</v>
      </c>
      <c r="H3745" s="43" t="s">
        <v>72</v>
      </c>
    </row>
    <row r="3746" spans="1:8" x14ac:dyDescent="0.25">
      <c r="A3746" s="43" t="s">
        <v>4666</v>
      </c>
      <c r="B3746" s="43" t="s">
        <v>73</v>
      </c>
      <c r="C3746" s="46">
        <v>33</v>
      </c>
      <c r="D3746" s="46">
        <v>829972.7395709916</v>
      </c>
      <c r="E3746" s="43">
        <v>41498.636978549584</v>
      </c>
      <c r="F3746" s="43" t="s">
        <v>87</v>
      </c>
      <c r="G3746" s="43" t="s">
        <v>71</v>
      </c>
      <c r="H3746" s="43" t="s">
        <v>88</v>
      </c>
    </row>
    <row r="3747" spans="1:8" x14ac:dyDescent="0.25">
      <c r="A3747" s="43" t="s">
        <v>2941</v>
      </c>
      <c r="B3747" s="43" t="s">
        <v>73</v>
      </c>
      <c r="C3747" s="46">
        <v>33</v>
      </c>
      <c r="D3747" s="46">
        <v>1013628.4887845377</v>
      </c>
      <c r="E3747" s="43">
        <v>121635.41865414454</v>
      </c>
      <c r="F3747" s="43" t="s">
        <v>78</v>
      </c>
      <c r="G3747" s="43" t="s">
        <v>71</v>
      </c>
      <c r="H3747" s="43" t="s">
        <v>72</v>
      </c>
    </row>
    <row r="3748" spans="1:8" x14ac:dyDescent="0.25">
      <c r="A3748" s="43" t="s">
        <v>2929</v>
      </c>
      <c r="B3748" s="43" t="s">
        <v>73</v>
      </c>
      <c r="C3748" s="46">
        <v>33</v>
      </c>
      <c r="D3748" s="46">
        <v>1015883.8094051727</v>
      </c>
      <c r="E3748" s="43">
        <v>121906.05712862073</v>
      </c>
      <c r="F3748" s="43" t="s">
        <v>87</v>
      </c>
      <c r="G3748" s="43" t="s">
        <v>71</v>
      </c>
      <c r="H3748" s="43" t="s">
        <v>88</v>
      </c>
    </row>
    <row r="3749" spans="1:8" x14ac:dyDescent="0.25">
      <c r="A3749" s="43" t="s">
        <v>4139</v>
      </c>
      <c r="B3749" s="43" t="s">
        <v>75</v>
      </c>
      <c r="C3749" s="46">
        <v>33</v>
      </c>
      <c r="D3749" s="46">
        <v>773112.06501678342</v>
      </c>
      <c r="E3749" s="43">
        <v>61848.965201342675</v>
      </c>
      <c r="F3749" s="43" t="s">
        <v>106</v>
      </c>
      <c r="G3749" s="43" t="s">
        <v>71</v>
      </c>
      <c r="H3749" s="43" t="s">
        <v>72</v>
      </c>
    </row>
    <row r="3750" spans="1:8" x14ac:dyDescent="0.25">
      <c r="A3750" s="43" t="s">
        <v>3185</v>
      </c>
      <c r="B3750" s="43" t="s">
        <v>74</v>
      </c>
      <c r="C3750" s="46">
        <v>33</v>
      </c>
      <c r="D3750" s="46">
        <v>959883.80643580738</v>
      </c>
      <c r="E3750" s="43">
        <v>105587.21870793882</v>
      </c>
      <c r="F3750" s="43" t="s">
        <v>70</v>
      </c>
      <c r="G3750" s="43" t="s">
        <v>71</v>
      </c>
      <c r="H3750" s="43" t="s">
        <v>72</v>
      </c>
    </row>
    <row r="3751" spans="1:8" x14ac:dyDescent="0.25">
      <c r="A3751" s="72" t="s">
        <v>3637</v>
      </c>
      <c r="B3751" s="72" t="s">
        <v>97</v>
      </c>
      <c r="C3751" s="73">
        <v>33</v>
      </c>
      <c r="D3751" s="73">
        <v>901569.64356184262</v>
      </c>
      <c r="E3751" s="72">
        <v>81141.267920565835</v>
      </c>
      <c r="F3751" s="72" t="s">
        <v>70</v>
      </c>
      <c r="G3751" s="72" t="s">
        <v>71</v>
      </c>
      <c r="H3751" s="72" t="s">
        <v>72</v>
      </c>
    </row>
    <row r="3752" spans="1:8" x14ac:dyDescent="0.25">
      <c r="A3752" s="43" t="s">
        <v>4383</v>
      </c>
      <c r="B3752" s="43" t="s">
        <v>73</v>
      </c>
      <c r="C3752" s="46">
        <v>33</v>
      </c>
      <c r="D3752" s="46">
        <v>872143.36091937032</v>
      </c>
      <c r="E3752" s="43">
        <v>52328.601655162216</v>
      </c>
      <c r="F3752" s="43" t="s">
        <v>87</v>
      </c>
      <c r="G3752" s="43" t="s">
        <v>71</v>
      </c>
      <c r="H3752" s="43" t="s">
        <v>88</v>
      </c>
    </row>
    <row r="3753" spans="1:8" x14ac:dyDescent="0.25">
      <c r="A3753" s="43" t="s">
        <v>2503</v>
      </c>
      <c r="B3753" s="43" t="s">
        <v>383</v>
      </c>
      <c r="C3753" s="46">
        <v>33</v>
      </c>
      <c r="D3753" s="46">
        <v>1060418.6316382841</v>
      </c>
      <c r="E3753" s="43">
        <v>148458.60842935977</v>
      </c>
      <c r="F3753" s="43" t="s">
        <v>78</v>
      </c>
      <c r="G3753" s="43" t="s">
        <v>71</v>
      </c>
      <c r="H3753" s="43" t="s">
        <v>72</v>
      </c>
    </row>
    <row r="3754" spans="1:8" x14ac:dyDescent="0.25">
      <c r="A3754" s="43" t="s">
        <v>2993</v>
      </c>
      <c r="B3754" s="43" t="s">
        <v>378</v>
      </c>
      <c r="C3754" s="46">
        <v>33</v>
      </c>
      <c r="D3754" s="46">
        <v>985290.96346367232</v>
      </c>
      <c r="E3754" s="43">
        <v>118234.9156156407</v>
      </c>
      <c r="F3754" s="43" t="s">
        <v>70</v>
      </c>
      <c r="G3754" s="43" t="s">
        <v>71</v>
      </c>
      <c r="H3754" s="43" t="s">
        <v>72</v>
      </c>
    </row>
    <row r="3755" spans="1:8" x14ac:dyDescent="0.25">
      <c r="A3755" s="43" t="s">
        <v>4538</v>
      </c>
      <c r="B3755" s="43" t="s">
        <v>89</v>
      </c>
      <c r="C3755" s="46">
        <v>32</v>
      </c>
      <c r="D3755" s="46">
        <v>582723.62504801655</v>
      </c>
      <c r="E3755" s="43">
        <v>46617.890003841319</v>
      </c>
      <c r="F3755" s="43" t="s">
        <v>95</v>
      </c>
      <c r="G3755" s="43" t="s">
        <v>96</v>
      </c>
      <c r="H3755" s="43" t="s">
        <v>88</v>
      </c>
    </row>
    <row r="3756" spans="1:8" x14ac:dyDescent="0.25">
      <c r="A3756" s="43" t="s">
        <v>4881</v>
      </c>
      <c r="B3756" s="43" t="s">
        <v>77</v>
      </c>
      <c r="C3756" s="46">
        <v>32</v>
      </c>
      <c r="D3756" s="46">
        <v>745079.85377716529</v>
      </c>
      <c r="E3756" s="43">
        <v>29803.194151086613</v>
      </c>
      <c r="F3756" s="43" t="s">
        <v>87</v>
      </c>
      <c r="G3756" s="43" t="s">
        <v>71</v>
      </c>
      <c r="H3756" s="43" t="s">
        <v>88</v>
      </c>
    </row>
    <row r="3757" spans="1:8" x14ac:dyDescent="0.25">
      <c r="A3757" s="43" t="s">
        <v>4705</v>
      </c>
      <c r="B3757" s="43" t="s">
        <v>93</v>
      </c>
      <c r="C3757" s="46">
        <v>32</v>
      </c>
      <c r="D3757" s="46">
        <v>804435.80882927054</v>
      </c>
      <c r="E3757" s="43">
        <v>40221.790441463527</v>
      </c>
      <c r="F3757" s="43" t="s">
        <v>87</v>
      </c>
      <c r="G3757" s="43" t="s">
        <v>71</v>
      </c>
      <c r="H3757" s="43" t="s">
        <v>88</v>
      </c>
    </row>
    <row r="3758" spans="1:8" x14ac:dyDescent="0.25">
      <c r="A3758" s="72" t="s">
        <v>3960</v>
      </c>
      <c r="B3758" s="72" t="s">
        <v>75</v>
      </c>
      <c r="C3758" s="73">
        <v>32</v>
      </c>
      <c r="D3758" s="73">
        <v>760766.97668536275</v>
      </c>
      <c r="E3758" s="72">
        <v>68469.027901682639</v>
      </c>
      <c r="F3758" s="72" t="s">
        <v>106</v>
      </c>
      <c r="G3758" s="72" t="s">
        <v>71</v>
      </c>
      <c r="H3758" s="72" t="s">
        <v>72</v>
      </c>
    </row>
    <row r="3759" spans="1:8" x14ac:dyDescent="0.25">
      <c r="A3759" s="72" t="s">
        <v>2806</v>
      </c>
      <c r="B3759" s="72" t="s">
        <v>77</v>
      </c>
      <c r="C3759" s="73">
        <v>32</v>
      </c>
      <c r="D3759" s="73">
        <v>1000654.9047916797</v>
      </c>
      <c r="E3759" s="72">
        <v>130085.13762291837</v>
      </c>
      <c r="F3759" s="72" t="s">
        <v>87</v>
      </c>
      <c r="G3759" s="72" t="s">
        <v>71</v>
      </c>
      <c r="H3759" s="72" t="s">
        <v>88</v>
      </c>
    </row>
    <row r="3760" spans="1:8" x14ac:dyDescent="0.25">
      <c r="A3760" s="43" t="s">
        <v>4915</v>
      </c>
      <c r="B3760" s="43" t="s">
        <v>90</v>
      </c>
      <c r="C3760" s="46">
        <v>32</v>
      </c>
      <c r="D3760" s="46">
        <v>676675.28258626093</v>
      </c>
      <c r="E3760" s="43">
        <v>27067.011303450439</v>
      </c>
      <c r="F3760" s="43" t="s">
        <v>106</v>
      </c>
      <c r="G3760" s="43" t="s">
        <v>71</v>
      </c>
      <c r="H3760" s="43" t="s">
        <v>72</v>
      </c>
    </row>
    <row r="3761" spans="1:8" x14ac:dyDescent="0.25">
      <c r="A3761" s="43" t="s">
        <v>3993</v>
      </c>
      <c r="B3761" s="43" t="s">
        <v>73</v>
      </c>
      <c r="C3761" s="46">
        <v>32</v>
      </c>
      <c r="D3761" s="46">
        <v>840287.84578815289</v>
      </c>
      <c r="E3761" s="43">
        <v>67223.027663052228</v>
      </c>
      <c r="F3761" s="43" t="s">
        <v>70</v>
      </c>
      <c r="G3761" s="43" t="s">
        <v>71</v>
      </c>
      <c r="H3761" s="43" t="s">
        <v>72</v>
      </c>
    </row>
    <row r="3762" spans="1:8" x14ac:dyDescent="0.25">
      <c r="A3762" s="72" t="s">
        <v>3587</v>
      </c>
      <c r="B3762" s="72" t="s">
        <v>93</v>
      </c>
      <c r="C3762" s="73">
        <v>32</v>
      </c>
      <c r="D3762" s="73">
        <v>927856.40965923667</v>
      </c>
      <c r="E3762" s="72">
        <v>83507.0768693313</v>
      </c>
      <c r="F3762" s="72" t="s">
        <v>87</v>
      </c>
      <c r="G3762" s="72" t="s">
        <v>71</v>
      </c>
      <c r="H3762" s="72" t="s">
        <v>88</v>
      </c>
    </row>
    <row r="3763" spans="1:8" x14ac:dyDescent="0.25">
      <c r="A3763" s="43" t="s">
        <v>2852</v>
      </c>
      <c r="B3763" s="43" t="s">
        <v>97</v>
      </c>
      <c r="C3763" s="46">
        <v>32</v>
      </c>
      <c r="D3763" s="46">
        <v>977839.49088807451</v>
      </c>
      <c r="E3763" s="43">
        <v>127119.13381544969</v>
      </c>
      <c r="F3763" s="43" t="s">
        <v>70</v>
      </c>
      <c r="G3763" s="43" t="s">
        <v>71</v>
      </c>
      <c r="H3763" s="43" t="s">
        <v>72</v>
      </c>
    </row>
    <row r="3764" spans="1:8" x14ac:dyDescent="0.25">
      <c r="A3764" s="43" t="s">
        <v>4566</v>
      </c>
      <c r="B3764" s="43" t="s">
        <v>1247</v>
      </c>
      <c r="C3764" s="46">
        <v>32</v>
      </c>
      <c r="D3764" s="46">
        <v>753361.15935404203</v>
      </c>
      <c r="E3764" s="43">
        <v>45201.669561242532</v>
      </c>
      <c r="F3764" s="43" t="s">
        <v>70</v>
      </c>
      <c r="G3764" s="43" t="s">
        <v>71</v>
      </c>
      <c r="H3764" s="43" t="s">
        <v>72</v>
      </c>
    </row>
    <row r="3765" spans="1:8" x14ac:dyDescent="0.25">
      <c r="A3765" s="43" t="s">
        <v>3455</v>
      </c>
      <c r="B3765" s="43" t="s">
        <v>85</v>
      </c>
      <c r="C3765" s="46">
        <v>32</v>
      </c>
      <c r="D3765" s="46">
        <v>903498.62245394464</v>
      </c>
      <c r="E3765" s="43">
        <v>90349.86224539447</v>
      </c>
      <c r="F3765" s="43" t="s">
        <v>70</v>
      </c>
      <c r="G3765" s="43" t="s">
        <v>71</v>
      </c>
      <c r="H3765" s="43" t="s">
        <v>72</v>
      </c>
    </row>
    <row r="3766" spans="1:8" x14ac:dyDescent="0.25">
      <c r="A3766" s="72" t="s">
        <v>4916</v>
      </c>
      <c r="B3766" s="72" t="s">
        <v>176</v>
      </c>
      <c r="C3766" s="73">
        <v>32</v>
      </c>
      <c r="D3766" s="73">
        <v>676675.28258626093</v>
      </c>
      <c r="E3766" s="72">
        <v>27067.011303450439</v>
      </c>
      <c r="F3766" s="72" t="s">
        <v>106</v>
      </c>
      <c r="G3766" s="72" t="s">
        <v>71</v>
      </c>
      <c r="H3766" s="72" t="s">
        <v>72</v>
      </c>
    </row>
    <row r="3767" spans="1:8" x14ac:dyDescent="0.25">
      <c r="A3767" s="43" t="s">
        <v>4433</v>
      </c>
      <c r="B3767" s="43" t="s">
        <v>73</v>
      </c>
      <c r="C3767" s="46">
        <v>32</v>
      </c>
      <c r="D3767" s="46">
        <v>845328.53256103175</v>
      </c>
      <c r="E3767" s="43">
        <v>50719.711953661907</v>
      </c>
      <c r="F3767" s="43" t="s">
        <v>87</v>
      </c>
      <c r="G3767" s="43" t="s">
        <v>71</v>
      </c>
      <c r="H3767" s="43" t="s">
        <v>88</v>
      </c>
    </row>
    <row r="3768" spans="1:8" x14ac:dyDescent="0.25">
      <c r="A3768" s="43" t="s">
        <v>2807</v>
      </c>
      <c r="B3768" s="43" t="s">
        <v>93</v>
      </c>
      <c r="C3768" s="46">
        <v>32</v>
      </c>
      <c r="D3768" s="46">
        <v>1000654.9047916797</v>
      </c>
      <c r="E3768" s="43">
        <v>130085.13762291837</v>
      </c>
      <c r="F3768" s="43" t="s">
        <v>87</v>
      </c>
      <c r="G3768" s="43" t="s">
        <v>71</v>
      </c>
      <c r="H3768" s="43" t="s">
        <v>88</v>
      </c>
    </row>
    <row r="3769" spans="1:8" x14ac:dyDescent="0.25">
      <c r="A3769" s="72" t="s">
        <v>3456</v>
      </c>
      <c r="B3769" s="72" t="s">
        <v>85</v>
      </c>
      <c r="C3769" s="73">
        <v>32</v>
      </c>
      <c r="D3769" s="73">
        <v>903498.62245394464</v>
      </c>
      <c r="E3769" s="72">
        <v>90349.86224539447</v>
      </c>
      <c r="F3769" s="72" t="s">
        <v>70</v>
      </c>
      <c r="G3769" s="72" t="s">
        <v>71</v>
      </c>
      <c r="H3769" s="72" t="s">
        <v>72</v>
      </c>
    </row>
    <row r="3770" spans="1:8" x14ac:dyDescent="0.25">
      <c r="A3770" s="43" t="s">
        <v>4147</v>
      </c>
      <c r="B3770" s="43" t="s">
        <v>73</v>
      </c>
      <c r="C3770" s="46">
        <v>32</v>
      </c>
      <c r="D3770" s="46">
        <v>877511.56129042176</v>
      </c>
      <c r="E3770" s="43">
        <v>61425.809290329518</v>
      </c>
      <c r="F3770" s="43" t="s">
        <v>87</v>
      </c>
      <c r="G3770" s="43" t="s">
        <v>71</v>
      </c>
      <c r="H3770" s="43" t="s">
        <v>88</v>
      </c>
    </row>
    <row r="3771" spans="1:8" x14ac:dyDescent="0.25">
      <c r="A3771" s="72" t="s">
        <v>2994</v>
      </c>
      <c r="B3771" s="72" t="s">
        <v>93</v>
      </c>
      <c r="C3771" s="73">
        <v>32</v>
      </c>
      <c r="D3771" s="73">
        <v>984713.20988059777</v>
      </c>
      <c r="E3771" s="72">
        <v>118165.58518567173</v>
      </c>
      <c r="F3771" s="72" t="s">
        <v>87</v>
      </c>
      <c r="G3771" s="72" t="s">
        <v>71</v>
      </c>
      <c r="H3771" s="72" t="s">
        <v>88</v>
      </c>
    </row>
    <row r="3772" spans="1:8" x14ac:dyDescent="0.25">
      <c r="A3772" s="72" t="s">
        <v>3854</v>
      </c>
      <c r="B3772" s="72" t="s">
        <v>73</v>
      </c>
      <c r="C3772" s="73">
        <v>32</v>
      </c>
      <c r="D3772" s="73">
        <v>904459.28468348633</v>
      </c>
      <c r="E3772" s="72">
        <v>72356.742774678904</v>
      </c>
      <c r="F3772" s="72" t="s">
        <v>87</v>
      </c>
      <c r="G3772" s="72" t="s">
        <v>71</v>
      </c>
      <c r="H3772" s="72" t="s">
        <v>88</v>
      </c>
    </row>
    <row r="3773" spans="1:8" x14ac:dyDescent="0.25">
      <c r="A3773" s="72" t="s">
        <v>4567</v>
      </c>
      <c r="B3773" s="72" t="s">
        <v>107</v>
      </c>
      <c r="C3773" s="73">
        <v>32</v>
      </c>
      <c r="D3773" s="73">
        <v>753361.15935404203</v>
      </c>
      <c r="E3773" s="72">
        <v>45201.669561242532</v>
      </c>
      <c r="F3773" s="72" t="s">
        <v>70</v>
      </c>
      <c r="G3773" s="72" t="s">
        <v>71</v>
      </c>
      <c r="H3773" s="72" t="s">
        <v>72</v>
      </c>
    </row>
    <row r="3774" spans="1:8" x14ac:dyDescent="0.25">
      <c r="A3774" s="72" t="s">
        <v>4434</v>
      </c>
      <c r="B3774" s="72" t="s">
        <v>234</v>
      </c>
      <c r="C3774" s="73">
        <v>32</v>
      </c>
      <c r="D3774" s="73">
        <v>845328.53256103175</v>
      </c>
      <c r="E3774" s="72">
        <v>50719.711953661907</v>
      </c>
      <c r="F3774" s="72" t="s">
        <v>87</v>
      </c>
      <c r="G3774" s="72" t="s">
        <v>71</v>
      </c>
      <c r="H3774" s="72" t="s">
        <v>88</v>
      </c>
    </row>
    <row r="3775" spans="1:8" x14ac:dyDescent="0.25">
      <c r="A3775" s="43" t="s">
        <v>4435</v>
      </c>
      <c r="B3775" s="43" t="s">
        <v>73</v>
      </c>
      <c r="C3775" s="46">
        <v>32</v>
      </c>
      <c r="D3775" s="46">
        <v>845328.53256103175</v>
      </c>
      <c r="E3775" s="43">
        <v>50719.711953661907</v>
      </c>
      <c r="F3775" s="43" t="s">
        <v>87</v>
      </c>
      <c r="G3775" s="43" t="s">
        <v>71</v>
      </c>
      <c r="H3775" s="43" t="s">
        <v>88</v>
      </c>
    </row>
    <row r="3776" spans="1:8" x14ac:dyDescent="0.25">
      <c r="A3776" s="72" t="s">
        <v>2853</v>
      </c>
      <c r="B3776" s="72" t="s">
        <v>439</v>
      </c>
      <c r="C3776" s="73">
        <v>32</v>
      </c>
      <c r="D3776" s="73">
        <v>977839.49088807451</v>
      </c>
      <c r="E3776" s="72">
        <v>127119.13381544969</v>
      </c>
      <c r="F3776" s="72" t="s">
        <v>70</v>
      </c>
      <c r="G3776" s="72" t="s">
        <v>71</v>
      </c>
      <c r="H3776" s="72" t="s">
        <v>72</v>
      </c>
    </row>
    <row r="3777" spans="1:8" x14ac:dyDescent="0.25">
      <c r="A3777" s="43" t="s">
        <v>4791</v>
      </c>
      <c r="B3777" s="43" t="s">
        <v>75</v>
      </c>
      <c r="C3777" s="46">
        <v>32</v>
      </c>
      <c r="D3777" s="46">
        <v>701622.58595170628</v>
      </c>
      <c r="E3777" s="43">
        <v>35081.129297585314</v>
      </c>
      <c r="F3777" s="43" t="s">
        <v>106</v>
      </c>
      <c r="G3777" s="43" t="s">
        <v>71</v>
      </c>
      <c r="H3777" s="43" t="s">
        <v>72</v>
      </c>
    </row>
    <row r="3778" spans="1:8" x14ac:dyDescent="0.25">
      <c r="A3778" s="43" t="s">
        <v>3173</v>
      </c>
      <c r="B3778" s="43" t="s">
        <v>73</v>
      </c>
      <c r="C3778" s="46">
        <v>32</v>
      </c>
      <c r="D3778" s="46">
        <v>967478.36568394408</v>
      </c>
      <c r="E3778" s="43">
        <v>106422.62022523387</v>
      </c>
      <c r="F3778" s="43" t="s">
        <v>87</v>
      </c>
      <c r="G3778" s="43" t="s">
        <v>71</v>
      </c>
      <c r="H3778" s="43" t="s">
        <v>88</v>
      </c>
    </row>
    <row r="3779" spans="1:8" x14ac:dyDescent="0.25">
      <c r="A3779" s="72" t="s">
        <v>3994</v>
      </c>
      <c r="B3779" s="72" t="s">
        <v>211</v>
      </c>
      <c r="C3779" s="73">
        <v>32</v>
      </c>
      <c r="D3779" s="73">
        <v>840287.84578815289</v>
      </c>
      <c r="E3779" s="72">
        <v>67223.027663052228</v>
      </c>
      <c r="F3779" s="72" t="s">
        <v>70</v>
      </c>
      <c r="G3779" s="72" t="s">
        <v>71</v>
      </c>
      <c r="H3779" s="72" t="s">
        <v>72</v>
      </c>
    </row>
    <row r="3780" spans="1:8" x14ac:dyDescent="0.25">
      <c r="A3780" s="43" t="s">
        <v>4568</v>
      </c>
      <c r="B3780" s="43" t="s">
        <v>73</v>
      </c>
      <c r="C3780" s="46">
        <v>32</v>
      </c>
      <c r="D3780" s="46">
        <v>753361.15935404203</v>
      </c>
      <c r="E3780" s="43">
        <v>45201.669561242532</v>
      </c>
      <c r="F3780" s="43" t="s">
        <v>70</v>
      </c>
      <c r="G3780" s="43" t="s">
        <v>71</v>
      </c>
      <c r="H3780" s="43" t="s">
        <v>72</v>
      </c>
    </row>
    <row r="3781" spans="1:8" x14ac:dyDescent="0.25">
      <c r="A3781" s="72" t="s">
        <v>4792</v>
      </c>
      <c r="B3781" s="72" t="s">
        <v>73</v>
      </c>
      <c r="C3781" s="73">
        <v>32</v>
      </c>
      <c r="D3781" s="73">
        <v>701622.58595170628</v>
      </c>
      <c r="E3781" s="72">
        <v>35081.129297585314</v>
      </c>
      <c r="F3781" s="72" t="s">
        <v>106</v>
      </c>
      <c r="G3781" s="72" t="s">
        <v>71</v>
      </c>
      <c r="H3781" s="72" t="s">
        <v>72</v>
      </c>
    </row>
    <row r="3782" spans="1:8" x14ac:dyDescent="0.25">
      <c r="A3782" s="43" t="s">
        <v>2800</v>
      </c>
      <c r="B3782" s="43" t="s">
        <v>75</v>
      </c>
      <c r="C3782" s="46">
        <v>32</v>
      </c>
      <c r="D3782" s="46">
        <v>1005841.0518329323</v>
      </c>
      <c r="E3782" s="43">
        <v>130759.3367382812</v>
      </c>
      <c r="F3782" s="43" t="s">
        <v>78</v>
      </c>
      <c r="G3782" s="43" t="s">
        <v>71</v>
      </c>
      <c r="H3782" s="43" t="s">
        <v>72</v>
      </c>
    </row>
    <row r="3783" spans="1:8" x14ac:dyDescent="0.25">
      <c r="A3783" s="72" t="s">
        <v>3040</v>
      </c>
      <c r="B3783" s="72" t="s">
        <v>73</v>
      </c>
      <c r="C3783" s="73">
        <v>32</v>
      </c>
      <c r="D3783" s="73">
        <v>954988.29619523697</v>
      </c>
      <c r="E3783" s="72">
        <v>114598.59554342846</v>
      </c>
      <c r="F3783" s="72" t="s">
        <v>70</v>
      </c>
      <c r="G3783" s="72" t="s">
        <v>71</v>
      </c>
      <c r="H3783" s="72" t="s">
        <v>72</v>
      </c>
    </row>
    <row r="3784" spans="1:8" x14ac:dyDescent="0.25">
      <c r="A3784" s="43" t="s">
        <v>3710</v>
      </c>
      <c r="B3784" s="43" t="s">
        <v>2379</v>
      </c>
      <c r="C3784" s="46">
        <v>32</v>
      </c>
      <c r="D3784" s="46">
        <v>873803.98598740192</v>
      </c>
      <c r="E3784" s="43">
        <v>78642.358738866169</v>
      </c>
      <c r="F3784" s="43" t="s">
        <v>70</v>
      </c>
      <c r="G3784" s="43" t="s">
        <v>71</v>
      </c>
      <c r="H3784" s="43" t="s">
        <v>72</v>
      </c>
    </row>
    <row r="3785" spans="1:8" x14ac:dyDescent="0.25">
      <c r="A3785" s="43" t="s">
        <v>4917</v>
      </c>
      <c r="B3785" s="43" t="s">
        <v>73</v>
      </c>
      <c r="C3785" s="46">
        <v>32</v>
      </c>
      <c r="D3785" s="46">
        <v>676675.28258626093</v>
      </c>
      <c r="E3785" s="43">
        <v>27067.011303450439</v>
      </c>
      <c r="F3785" s="43" t="s">
        <v>106</v>
      </c>
      <c r="G3785" s="43" t="s">
        <v>71</v>
      </c>
      <c r="H3785" s="43" t="s">
        <v>72</v>
      </c>
    </row>
    <row r="3786" spans="1:8" x14ac:dyDescent="0.25">
      <c r="A3786" s="72" t="s">
        <v>3944</v>
      </c>
      <c r="B3786" s="72" t="s">
        <v>75</v>
      </c>
      <c r="C3786" s="73">
        <v>32</v>
      </c>
      <c r="D3786" s="73">
        <v>864720.52089284011</v>
      </c>
      <c r="E3786" s="72">
        <v>69177.641671427205</v>
      </c>
      <c r="F3786" s="72" t="s">
        <v>78</v>
      </c>
      <c r="G3786" s="72" t="s">
        <v>71</v>
      </c>
      <c r="H3786" s="72" t="s">
        <v>72</v>
      </c>
    </row>
    <row r="3787" spans="1:8" x14ac:dyDescent="0.25">
      <c r="A3787" s="72" t="s">
        <v>4220</v>
      </c>
      <c r="B3787" s="72" t="s">
        <v>89</v>
      </c>
      <c r="C3787" s="73">
        <v>32</v>
      </c>
      <c r="D3787" s="73">
        <v>646042.1886817686</v>
      </c>
      <c r="E3787" s="72">
        <v>58143.79698135917</v>
      </c>
      <c r="F3787" s="72" t="s">
        <v>95</v>
      </c>
      <c r="G3787" s="72" t="s">
        <v>96</v>
      </c>
      <c r="H3787" s="72" t="s">
        <v>88</v>
      </c>
    </row>
    <row r="3788" spans="1:8" x14ac:dyDescent="0.25">
      <c r="A3788" s="43" t="s">
        <v>3855</v>
      </c>
      <c r="B3788" s="43" t="s">
        <v>252</v>
      </c>
      <c r="C3788" s="46">
        <v>32</v>
      </c>
      <c r="D3788" s="46">
        <v>904459.28468348633</v>
      </c>
      <c r="E3788" s="43">
        <v>72356.742774678904</v>
      </c>
      <c r="F3788" s="43" t="s">
        <v>87</v>
      </c>
      <c r="G3788" s="43" t="s">
        <v>71</v>
      </c>
      <c r="H3788" s="43" t="s">
        <v>88</v>
      </c>
    </row>
    <row r="3789" spans="1:8" x14ac:dyDescent="0.25">
      <c r="A3789" s="72" t="s">
        <v>4882</v>
      </c>
      <c r="B3789" s="72" t="s">
        <v>73</v>
      </c>
      <c r="C3789" s="73">
        <v>32</v>
      </c>
      <c r="D3789" s="73">
        <v>745079.85377716529</v>
      </c>
      <c r="E3789" s="72">
        <v>29803.194151086613</v>
      </c>
      <c r="F3789" s="72" t="s">
        <v>87</v>
      </c>
      <c r="G3789" s="72" t="s">
        <v>71</v>
      </c>
      <c r="H3789" s="72" t="s">
        <v>88</v>
      </c>
    </row>
    <row r="3790" spans="1:8" x14ac:dyDescent="0.25">
      <c r="A3790" s="72" t="s">
        <v>4411</v>
      </c>
      <c r="B3790" s="72" t="s">
        <v>291</v>
      </c>
      <c r="C3790" s="73">
        <v>32</v>
      </c>
      <c r="D3790" s="73">
        <v>736073.96924331249</v>
      </c>
      <c r="E3790" s="72">
        <v>51525.177847031868</v>
      </c>
      <c r="F3790" s="72" t="s">
        <v>106</v>
      </c>
      <c r="G3790" s="72" t="s">
        <v>71</v>
      </c>
      <c r="H3790" s="72" t="s">
        <v>72</v>
      </c>
    </row>
    <row r="3791" spans="1:8" x14ac:dyDescent="0.25">
      <c r="A3791" s="72" t="s">
        <v>4436</v>
      </c>
      <c r="B3791" s="72" t="s">
        <v>77</v>
      </c>
      <c r="C3791" s="73">
        <v>32</v>
      </c>
      <c r="D3791" s="73">
        <v>845328.53256103175</v>
      </c>
      <c r="E3791" s="72">
        <v>50719.711953661907</v>
      </c>
      <c r="F3791" s="72" t="s">
        <v>87</v>
      </c>
      <c r="G3791" s="72" t="s">
        <v>71</v>
      </c>
      <c r="H3791" s="72" t="s">
        <v>88</v>
      </c>
    </row>
    <row r="3792" spans="1:8" x14ac:dyDescent="0.25">
      <c r="A3792" s="43" t="s">
        <v>4793</v>
      </c>
      <c r="B3792" s="43" t="s">
        <v>93</v>
      </c>
      <c r="C3792" s="46">
        <v>32</v>
      </c>
      <c r="D3792" s="46">
        <v>701622.58595170628</v>
      </c>
      <c r="E3792" s="43">
        <v>35081.129297585314</v>
      </c>
      <c r="F3792" s="43" t="s">
        <v>106</v>
      </c>
      <c r="G3792" s="43" t="s">
        <v>71</v>
      </c>
      <c r="H3792" s="43" t="s">
        <v>72</v>
      </c>
    </row>
    <row r="3793" spans="1:8" x14ac:dyDescent="0.25">
      <c r="A3793" s="43" t="s">
        <v>2854</v>
      </c>
      <c r="B3793" s="43" t="s">
        <v>97</v>
      </c>
      <c r="C3793" s="46">
        <v>32</v>
      </c>
      <c r="D3793" s="46">
        <v>977839.49088807451</v>
      </c>
      <c r="E3793" s="43">
        <v>127119.13381544969</v>
      </c>
      <c r="F3793" s="43" t="s">
        <v>70</v>
      </c>
      <c r="G3793" s="43" t="s">
        <v>71</v>
      </c>
      <c r="H3793" s="43" t="s">
        <v>72</v>
      </c>
    </row>
    <row r="3794" spans="1:8" x14ac:dyDescent="0.25">
      <c r="A3794" s="72" t="s">
        <v>3381</v>
      </c>
      <c r="B3794" s="72" t="s">
        <v>93</v>
      </c>
      <c r="C3794" s="73">
        <v>32</v>
      </c>
      <c r="D3794" s="73">
        <v>788821.99061679991</v>
      </c>
      <c r="E3794" s="72">
        <v>94658.638874015989</v>
      </c>
      <c r="F3794" s="72" t="s">
        <v>106</v>
      </c>
      <c r="G3794" s="72" t="s">
        <v>71</v>
      </c>
      <c r="H3794" s="72" t="s">
        <v>72</v>
      </c>
    </row>
    <row r="3795" spans="1:8" x14ac:dyDescent="0.25">
      <c r="A3795" s="43" t="s">
        <v>3376</v>
      </c>
      <c r="B3795" s="43" t="s">
        <v>73</v>
      </c>
      <c r="C3795" s="46">
        <v>32</v>
      </c>
      <c r="D3795" s="46">
        <v>948661.69553657563</v>
      </c>
      <c r="E3795" s="43">
        <v>94866.169553657572</v>
      </c>
      <c r="F3795" s="43" t="s">
        <v>87</v>
      </c>
      <c r="G3795" s="43" t="s">
        <v>71</v>
      </c>
      <c r="H3795" s="43" t="s">
        <v>88</v>
      </c>
    </row>
    <row r="3796" spans="1:8" x14ac:dyDescent="0.25">
      <c r="A3796" s="43" t="s">
        <v>2995</v>
      </c>
      <c r="B3796" s="43" t="s">
        <v>73</v>
      </c>
      <c r="C3796" s="46">
        <v>32</v>
      </c>
      <c r="D3796" s="46">
        <v>984713.20988059777</v>
      </c>
      <c r="E3796" s="43">
        <v>118165.58518567173</v>
      </c>
      <c r="F3796" s="43" t="s">
        <v>87</v>
      </c>
      <c r="G3796" s="43" t="s">
        <v>71</v>
      </c>
      <c r="H3796" s="43" t="s">
        <v>88</v>
      </c>
    </row>
    <row r="3797" spans="1:8" x14ac:dyDescent="0.25">
      <c r="A3797" s="43" t="s">
        <v>4883</v>
      </c>
      <c r="B3797" s="43" t="s">
        <v>93</v>
      </c>
      <c r="C3797" s="46">
        <v>32</v>
      </c>
      <c r="D3797" s="46">
        <v>745079.85377716529</v>
      </c>
      <c r="E3797" s="43">
        <v>29803.194151086613</v>
      </c>
      <c r="F3797" s="43" t="s">
        <v>87</v>
      </c>
      <c r="G3797" s="43" t="s">
        <v>71</v>
      </c>
      <c r="H3797" s="43" t="s">
        <v>88</v>
      </c>
    </row>
    <row r="3798" spans="1:8" x14ac:dyDescent="0.25">
      <c r="A3798" s="43" t="s">
        <v>3588</v>
      </c>
      <c r="B3798" s="43" t="s">
        <v>73</v>
      </c>
      <c r="C3798" s="46">
        <v>32</v>
      </c>
      <c r="D3798" s="46">
        <v>927856.40965923667</v>
      </c>
      <c r="E3798" s="43">
        <v>83507.0768693313</v>
      </c>
      <c r="F3798" s="43" t="s">
        <v>87</v>
      </c>
      <c r="G3798" s="43" t="s">
        <v>71</v>
      </c>
      <c r="H3798" s="43" t="s">
        <v>88</v>
      </c>
    </row>
    <row r="3799" spans="1:8" x14ac:dyDescent="0.25">
      <c r="A3799" s="72" t="s">
        <v>2855</v>
      </c>
      <c r="B3799" s="72" t="s">
        <v>102</v>
      </c>
      <c r="C3799" s="73">
        <v>32</v>
      </c>
      <c r="D3799" s="73">
        <v>977839.49088807451</v>
      </c>
      <c r="E3799" s="72">
        <v>127119.13381544969</v>
      </c>
      <c r="F3799" s="72" t="s">
        <v>70</v>
      </c>
      <c r="G3799" s="72" t="s">
        <v>71</v>
      </c>
      <c r="H3799" s="72" t="s">
        <v>72</v>
      </c>
    </row>
    <row r="3800" spans="1:8" x14ac:dyDescent="0.25">
      <c r="A3800" s="72" t="s">
        <v>3856</v>
      </c>
      <c r="B3800" s="72" t="s">
        <v>77</v>
      </c>
      <c r="C3800" s="73">
        <v>32</v>
      </c>
      <c r="D3800" s="73">
        <v>904459.28468348633</v>
      </c>
      <c r="E3800" s="72">
        <v>72356.742774678904</v>
      </c>
      <c r="F3800" s="72" t="s">
        <v>87</v>
      </c>
      <c r="G3800" s="72" t="s">
        <v>71</v>
      </c>
      <c r="H3800" s="72" t="s">
        <v>88</v>
      </c>
    </row>
    <row r="3801" spans="1:8" x14ac:dyDescent="0.25">
      <c r="A3801" s="72" t="s">
        <v>318</v>
      </c>
      <c r="B3801" s="72" t="s">
        <v>93</v>
      </c>
      <c r="C3801" s="73">
        <v>32</v>
      </c>
      <c r="D3801" s="73">
        <v>1005841.0518329323</v>
      </c>
      <c r="E3801" s="72">
        <v>130759.3367382812</v>
      </c>
      <c r="F3801" s="72" t="s">
        <v>78</v>
      </c>
      <c r="G3801" s="72" t="s">
        <v>71</v>
      </c>
      <c r="H3801" s="72" t="s">
        <v>72</v>
      </c>
    </row>
    <row r="3802" spans="1:8" x14ac:dyDescent="0.25">
      <c r="A3802" s="43" t="s">
        <v>4437</v>
      </c>
      <c r="B3802" s="43" t="s">
        <v>73</v>
      </c>
      <c r="C3802" s="46">
        <v>32</v>
      </c>
      <c r="D3802" s="46">
        <v>845328.53256103175</v>
      </c>
      <c r="E3802" s="43">
        <v>50719.711953661907</v>
      </c>
      <c r="F3802" s="43" t="s">
        <v>87</v>
      </c>
      <c r="G3802" s="43" t="s">
        <v>71</v>
      </c>
      <c r="H3802" s="43" t="s">
        <v>88</v>
      </c>
    </row>
    <row r="3803" spans="1:8" x14ac:dyDescent="0.25">
      <c r="A3803" s="43" t="s">
        <v>2645</v>
      </c>
      <c r="B3803" s="43" t="s">
        <v>77</v>
      </c>
      <c r="C3803" s="46">
        <v>32</v>
      </c>
      <c r="D3803" s="46">
        <v>999213.10832671938</v>
      </c>
      <c r="E3803" s="43">
        <v>139889.83516574069</v>
      </c>
      <c r="F3803" s="43" t="s">
        <v>70</v>
      </c>
      <c r="G3803" s="43" t="s">
        <v>71</v>
      </c>
      <c r="H3803" s="43" t="s">
        <v>72</v>
      </c>
    </row>
    <row r="3804" spans="1:8" x14ac:dyDescent="0.25">
      <c r="A3804" s="72" t="s">
        <v>4290</v>
      </c>
      <c r="B3804" s="72" t="s">
        <v>74</v>
      </c>
      <c r="C3804" s="73">
        <v>32</v>
      </c>
      <c r="D3804" s="73">
        <v>801265.97004120681</v>
      </c>
      <c r="E3804" s="72">
        <v>56088.617902884471</v>
      </c>
      <c r="F3804" s="72" t="s">
        <v>70</v>
      </c>
      <c r="G3804" s="72" t="s">
        <v>71</v>
      </c>
      <c r="H3804" s="72" t="s">
        <v>72</v>
      </c>
    </row>
    <row r="3805" spans="1:8" x14ac:dyDescent="0.25">
      <c r="A3805" s="72" t="s">
        <v>3589</v>
      </c>
      <c r="B3805" s="72" t="s">
        <v>73</v>
      </c>
      <c r="C3805" s="73">
        <v>32</v>
      </c>
      <c r="D3805" s="73">
        <v>927856.40965923667</v>
      </c>
      <c r="E3805" s="72">
        <v>83507.0768693313</v>
      </c>
      <c r="F3805" s="72" t="s">
        <v>87</v>
      </c>
      <c r="G3805" s="72" t="s">
        <v>71</v>
      </c>
      <c r="H3805" s="72" t="s">
        <v>88</v>
      </c>
    </row>
    <row r="3806" spans="1:8" x14ac:dyDescent="0.25">
      <c r="A3806" s="72" t="s">
        <v>4148</v>
      </c>
      <c r="B3806" s="72" t="s">
        <v>73</v>
      </c>
      <c r="C3806" s="73">
        <v>32</v>
      </c>
      <c r="D3806" s="73">
        <v>877511.56129042176</v>
      </c>
      <c r="E3806" s="72">
        <v>61425.809290329518</v>
      </c>
      <c r="F3806" s="72" t="s">
        <v>87</v>
      </c>
      <c r="G3806" s="72" t="s">
        <v>71</v>
      </c>
      <c r="H3806" s="72" t="s">
        <v>88</v>
      </c>
    </row>
    <row r="3807" spans="1:8" x14ac:dyDescent="0.25">
      <c r="A3807" s="43" t="s">
        <v>3041</v>
      </c>
      <c r="B3807" s="43" t="s">
        <v>74</v>
      </c>
      <c r="C3807" s="46">
        <v>32</v>
      </c>
      <c r="D3807" s="46">
        <v>954988.29619523697</v>
      </c>
      <c r="E3807" s="43">
        <v>114598.59554342846</v>
      </c>
      <c r="F3807" s="43" t="s">
        <v>70</v>
      </c>
      <c r="G3807" s="43" t="s">
        <v>71</v>
      </c>
      <c r="H3807" s="43" t="s">
        <v>72</v>
      </c>
    </row>
    <row r="3808" spans="1:8" x14ac:dyDescent="0.25">
      <c r="A3808" s="43" t="s">
        <v>4149</v>
      </c>
      <c r="B3808" s="43" t="s">
        <v>73</v>
      </c>
      <c r="C3808" s="46">
        <v>32</v>
      </c>
      <c r="D3808" s="46">
        <v>877511.56129042176</v>
      </c>
      <c r="E3808" s="43">
        <v>61425.809290329518</v>
      </c>
      <c r="F3808" s="43" t="s">
        <v>87</v>
      </c>
      <c r="G3808" s="43" t="s">
        <v>71</v>
      </c>
      <c r="H3808" s="43" t="s">
        <v>88</v>
      </c>
    </row>
    <row r="3809" spans="1:8" x14ac:dyDescent="0.25">
      <c r="A3809" s="72" t="s">
        <v>3377</v>
      </c>
      <c r="B3809" s="72" t="s">
        <v>127</v>
      </c>
      <c r="C3809" s="73">
        <v>32</v>
      </c>
      <c r="D3809" s="73">
        <v>948661.69553657563</v>
      </c>
      <c r="E3809" s="72">
        <v>94866.169553657572</v>
      </c>
      <c r="F3809" s="72" t="s">
        <v>87</v>
      </c>
      <c r="G3809" s="72" t="s">
        <v>71</v>
      </c>
      <c r="H3809" s="72" t="s">
        <v>88</v>
      </c>
    </row>
    <row r="3810" spans="1:8" x14ac:dyDescent="0.25">
      <c r="A3810" s="43" t="s">
        <v>4412</v>
      </c>
      <c r="B3810" s="43" t="s">
        <v>93</v>
      </c>
      <c r="C3810" s="46">
        <v>32</v>
      </c>
      <c r="D3810" s="46">
        <v>736073.96924331249</v>
      </c>
      <c r="E3810" s="43">
        <v>51525.177847031868</v>
      </c>
      <c r="F3810" s="43" t="s">
        <v>106</v>
      </c>
      <c r="G3810" s="43" t="s">
        <v>71</v>
      </c>
      <c r="H3810" s="43" t="s">
        <v>72</v>
      </c>
    </row>
    <row r="3811" spans="1:8" x14ac:dyDescent="0.25">
      <c r="A3811" s="72" t="s">
        <v>2996</v>
      </c>
      <c r="B3811" s="72" t="s">
        <v>73</v>
      </c>
      <c r="C3811" s="73">
        <v>32</v>
      </c>
      <c r="D3811" s="73">
        <v>984713.20988059777</v>
      </c>
      <c r="E3811" s="72">
        <v>118165.58518567173</v>
      </c>
      <c r="F3811" s="72" t="s">
        <v>87</v>
      </c>
      <c r="G3811" s="72" t="s">
        <v>71</v>
      </c>
      <c r="H3811" s="72" t="s">
        <v>88</v>
      </c>
    </row>
    <row r="3812" spans="1:8" x14ac:dyDescent="0.25">
      <c r="A3812" s="43" t="s">
        <v>4227</v>
      </c>
      <c r="B3812" s="43" t="s">
        <v>73</v>
      </c>
      <c r="C3812" s="46">
        <v>32</v>
      </c>
      <c r="D3812" s="46">
        <v>824686.19182547764</v>
      </c>
      <c r="E3812" s="43">
        <v>57728.033427783426</v>
      </c>
      <c r="F3812" s="43" t="s">
        <v>78</v>
      </c>
      <c r="G3812" s="43" t="s">
        <v>71</v>
      </c>
      <c r="H3812" s="43" t="s">
        <v>72</v>
      </c>
    </row>
    <row r="3813" spans="1:8" x14ac:dyDescent="0.25">
      <c r="A3813" s="72" t="s">
        <v>2808</v>
      </c>
      <c r="B3813" s="72" t="s">
        <v>73</v>
      </c>
      <c r="C3813" s="73">
        <v>32</v>
      </c>
      <c r="D3813" s="73">
        <v>1000654.9047916797</v>
      </c>
      <c r="E3813" s="72">
        <v>130085.13762291837</v>
      </c>
      <c r="F3813" s="72" t="s">
        <v>87</v>
      </c>
      <c r="G3813" s="72" t="s">
        <v>71</v>
      </c>
      <c r="H3813" s="72" t="s">
        <v>88</v>
      </c>
    </row>
    <row r="3814" spans="1:8" x14ac:dyDescent="0.25">
      <c r="A3814" s="72" t="s">
        <v>4884</v>
      </c>
      <c r="B3814" s="72" t="s">
        <v>73</v>
      </c>
      <c r="C3814" s="73">
        <v>32</v>
      </c>
      <c r="D3814" s="73">
        <v>745079.85377716529</v>
      </c>
      <c r="E3814" s="72">
        <v>29803.194151086613</v>
      </c>
      <c r="F3814" s="72" t="s">
        <v>87</v>
      </c>
      <c r="G3814" s="72" t="s">
        <v>71</v>
      </c>
      <c r="H3814" s="72" t="s">
        <v>88</v>
      </c>
    </row>
    <row r="3815" spans="1:8" x14ac:dyDescent="0.25">
      <c r="A3815" s="72" t="s">
        <v>2646</v>
      </c>
      <c r="B3815" s="72" t="s">
        <v>102</v>
      </c>
      <c r="C3815" s="73">
        <v>32</v>
      </c>
      <c r="D3815" s="73">
        <v>999213.10832671938</v>
      </c>
      <c r="E3815" s="72">
        <v>139889.83516574069</v>
      </c>
      <c r="F3815" s="72" t="s">
        <v>70</v>
      </c>
      <c r="G3815" s="72" t="s">
        <v>71</v>
      </c>
      <c r="H3815" s="72" t="s">
        <v>72</v>
      </c>
    </row>
    <row r="3816" spans="1:8" x14ac:dyDescent="0.25">
      <c r="A3816" s="43" t="s">
        <v>3741</v>
      </c>
      <c r="B3816" s="43" t="s">
        <v>127</v>
      </c>
      <c r="C3816" s="46">
        <v>32</v>
      </c>
      <c r="D3816" s="46">
        <v>771036.51906437334</v>
      </c>
      <c r="E3816" s="43">
        <v>77103.651906437342</v>
      </c>
      <c r="F3816" s="43" t="s">
        <v>106</v>
      </c>
      <c r="G3816" s="43" t="s">
        <v>71</v>
      </c>
      <c r="H3816" s="43" t="s">
        <v>72</v>
      </c>
    </row>
    <row r="3817" spans="1:8" x14ac:dyDescent="0.25">
      <c r="A3817" s="43" t="s">
        <v>4291</v>
      </c>
      <c r="B3817" s="43" t="s">
        <v>77</v>
      </c>
      <c r="C3817" s="46">
        <v>32</v>
      </c>
      <c r="D3817" s="46">
        <v>801265.97004120681</v>
      </c>
      <c r="E3817" s="43">
        <v>56088.617902884471</v>
      </c>
      <c r="F3817" s="43" t="s">
        <v>70</v>
      </c>
      <c r="G3817" s="43" t="s">
        <v>71</v>
      </c>
      <c r="H3817" s="43" t="s">
        <v>72</v>
      </c>
    </row>
    <row r="3818" spans="1:8" x14ac:dyDescent="0.25">
      <c r="A3818" s="43" t="s">
        <v>4033</v>
      </c>
      <c r="B3818" s="43" t="s">
        <v>4034</v>
      </c>
      <c r="C3818" s="46">
        <v>31</v>
      </c>
      <c r="D3818" s="46">
        <v>813597.80179758929</v>
      </c>
      <c r="E3818" s="43">
        <v>65087.824143807142</v>
      </c>
      <c r="F3818" s="43" t="s">
        <v>70</v>
      </c>
      <c r="G3818" s="43" t="s">
        <v>71</v>
      </c>
      <c r="H3818" s="43" t="s">
        <v>72</v>
      </c>
    </row>
    <row r="3819" spans="1:8" x14ac:dyDescent="0.25">
      <c r="A3819" s="72" t="s">
        <v>3228</v>
      </c>
      <c r="B3819" s="72" t="s">
        <v>93</v>
      </c>
      <c r="C3819" s="73">
        <v>31</v>
      </c>
      <c r="D3819" s="73">
        <v>936870.79088467697</v>
      </c>
      <c r="E3819" s="72">
        <v>103055.78699731448</v>
      </c>
      <c r="F3819" s="72" t="s">
        <v>87</v>
      </c>
      <c r="G3819" s="72" t="s">
        <v>71</v>
      </c>
      <c r="H3819" s="72" t="s">
        <v>88</v>
      </c>
    </row>
    <row r="3820" spans="1:8" x14ac:dyDescent="0.25">
      <c r="A3820" s="72" t="s">
        <v>2706</v>
      </c>
      <c r="B3820" s="72" t="s">
        <v>107</v>
      </c>
      <c r="C3820" s="73">
        <v>31</v>
      </c>
      <c r="D3820" s="73">
        <v>967556.64988182567</v>
      </c>
      <c r="E3820" s="72">
        <v>135457.93098345559</v>
      </c>
      <c r="F3820" s="72" t="s">
        <v>70</v>
      </c>
      <c r="G3820" s="72" t="s">
        <v>71</v>
      </c>
      <c r="H3820" s="72" t="s">
        <v>72</v>
      </c>
    </row>
    <row r="3821" spans="1:8" x14ac:dyDescent="0.25">
      <c r="A3821" s="43" t="s">
        <v>3511</v>
      </c>
      <c r="B3821" s="43" t="s">
        <v>73</v>
      </c>
      <c r="C3821" s="46">
        <v>31</v>
      </c>
      <c r="D3821" s="46">
        <v>874833.24169257516</v>
      </c>
      <c r="E3821" s="43">
        <v>87483.324169257525</v>
      </c>
      <c r="F3821" s="43" t="s">
        <v>70</v>
      </c>
      <c r="G3821" s="43" t="s">
        <v>71</v>
      </c>
      <c r="H3821" s="43" t="s">
        <v>72</v>
      </c>
    </row>
    <row r="3822" spans="1:8" x14ac:dyDescent="0.25">
      <c r="A3822" s="43" t="s">
        <v>3229</v>
      </c>
      <c r="B3822" s="43" t="s">
        <v>77</v>
      </c>
      <c r="C3822" s="46">
        <v>31</v>
      </c>
      <c r="D3822" s="46">
        <v>936870.79088467697</v>
      </c>
      <c r="E3822" s="43">
        <v>103055.78699731448</v>
      </c>
      <c r="F3822" s="43" t="s">
        <v>87</v>
      </c>
      <c r="G3822" s="43" t="s">
        <v>71</v>
      </c>
      <c r="H3822" s="43" t="s">
        <v>88</v>
      </c>
    </row>
    <row r="3823" spans="1:8" x14ac:dyDescent="0.25">
      <c r="A3823" s="43" t="s">
        <v>2870</v>
      </c>
      <c r="B3823" s="43" t="s">
        <v>73</v>
      </c>
      <c r="C3823" s="46">
        <v>31</v>
      </c>
      <c r="D3823" s="46">
        <v>969010.56314529572</v>
      </c>
      <c r="E3823" s="43">
        <v>125971.37320888844</v>
      </c>
      <c r="F3823" s="43" t="s">
        <v>87</v>
      </c>
      <c r="G3823" s="43" t="s">
        <v>71</v>
      </c>
      <c r="H3823" s="43" t="s">
        <v>88</v>
      </c>
    </row>
    <row r="3824" spans="1:8" x14ac:dyDescent="0.25">
      <c r="A3824" s="72" t="s">
        <v>3042</v>
      </c>
      <c r="B3824" s="72" t="s">
        <v>176</v>
      </c>
      <c r="C3824" s="73">
        <v>31</v>
      </c>
      <c r="D3824" s="73">
        <v>953567.0462001852</v>
      </c>
      <c r="E3824" s="72">
        <v>114428.04554402221</v>
      </c>
      <c r="F3824" s="72" t="s">
        <v>87</v>
      </c>
      <c r="G3824" s="72" t="s">
        <v>71</v>
      </c>
      <c r="H3824" s="72" t="s">
        <v>88</v>
      </c>
    </row>
    <row r="3825" spans="1:8" x14ac:dyDescent="0.25">
      <c r="A3825" s="43" t="s">
        <v>4804</v>
      </c>
      <c r="B3825" s="43" t="s">
        <v>176</v>
      </c>
      <c r="C3825" s="46">
        <v>31</v>
      </c>
      <c r="D3825" s="46">
        <v>679274.32699064864</v>
      </c>
      <c r="E3825" s="43">
        <v>33963.716349532435</v>
      </c>
      <c r="F3825" s="43" t="s">
        <v>106</v>
      </c>
      <c r="G3825" s="43" t="s">
        <v>71</v>
      </c>
      <c r="H3825" s="43" t="s">
        <v>72</v>
      </c>
    </row>
    <row r="3826" spans="1:8" x14ac:dyDescent="0.25">
      <c r="A3826" s="72" t="s">
        <v>4035</v>
      </c>
      <c r="B3826" s="72" t="s">
        <v>77</v>
      </c>
      <c r="C3826" s="73">
        <v>31</v>
      </c>
      <c r="D3826" s="73">
        <v>813597.80179758929</v>
      </c>
      <c r="E3826" s="72">
        <v>65087.824143807142</v>
      </c>
      <c r="F3826" s="72" t="s">
        <v>70</v>
      </c>
      <c r="G3826" s="72" t="s">
        <v>71</v>
      </c>
      <c r="H3826" s="72" t="s">
        <v>72</v>
      </c>
    </row>
    <row r="3827" spans="1:8" x14ac:dyDescent="0.25">
      <c r="A3827" s="72" t="s">
        <v>3653</v>
      </c>
      <c r="B3827" s="72" t="s">
        <v>73</v>
      </c>
      <c r="C3827" s="73">
        <v>31</v>
      </c>
      <c r="D3827" s="73">
        <v>898487.02098574163</v>
      </c>
      <c r="E3827" s="72">
        <v>80863.831888716741</v>
      </c>
      <c r="F3827" s="72" t="s">
        <v>87</v>
      </c>
      <c r="G3827" s="72" t="s">
        <v>71</v>
      </c>
      <c r="H3827" s="72" t="s">
        <v>88</v>
      </c>
    </row>
    <row r="3828" spans="1:8" x14ac:dyDescent="0.25">
      <c r="A3828" s="72" t="s">
        <v>3424</v>
      </c>
      <c r="B3828" s="72" t="s">
        <v>75</v>
      </c>
      <c r="C3828" s="73">
        <v>31</v>
      </c>
      <c r="D3828" s="73">
        <v>763748.75025995797</v>
      </c>
      <c r="E3828" s="72">
        <v>91649.850031194946</v>
      </c>
      <c r="F3828" s="72" t="s">
        <v>106</v>
      </c>
      <c r="G3828" s="72" t="s">
        <v>71</v>
      </c>
      <c r="H3828" s="72" t="s">
        <v>72</v>
      </c>
    </row>
    <row r="3829" spans="1:8" x14ac:dyDescent="0.25">
      <c r="A3829" s="72" t="s">
        <v>3776</v>
      </c>
      <c r="B3829" s="72" t="s">
        <v>378</v>
      </c>
      <c r="C3829" s="73">
        <v>31</v>
      </c>
      <c r="D3829" s="73">
        <v>846066.56261561206</v>
      </c>
      <c r="E3829" s="72">
        <v>76145.990635405076</v>
      </c>
      <c r="F3829" s="72" t="s">
        <v>70</v>
      </c>
      <c r="G3829" s="72" t="s">
        <v>71</v>
      </c>
      <c r="H3829" s="72" t="s">
        <v>72</v>
      </c>
    </row>
    <row r="3830" spans="1:8" x14ac:dyDescent="0.25">
      <c r="A3830" s="43" t="s">
        <v>2907</v>
      </c>
      <c r="B3830" s="43" t="s">
        <v>73</v>
      </c>
      <c r="C3830" s="46">
        <v>31</v>
      </c>
      <c r="D3830" s="46">
        <v>946850.95798813854</v>
      </c>
      <c r="E3830" s="43">
        <v>123090.62453845801</v>
      </c>
      <c r="F3830" s="43" t="s">
        <v>70</v>
      </c>
      <c r="G3830" s="43" t="s">
        <v>71</v>
      </c>
      <c r="H3830" s="43" t="s">
        <v>72</v>
      </c>
    </row>
    <row r="3831" spans="1:8" x14ac:dyDescent="0.25">
      <c r="A3831" s="72" t="s">
        <v>2908</v>
      </c>
      <c r="B3831" s="72" t="s">
        <v>378</v>
      </c>
      <c r="C3831" s="73">
        <v>31</v>
      </c>
      <c r="D3831" s="73">
        <v>946850.95798813854</v>
      </c>
      <c r="E3831" s="72">
        <v>123090.62453845801</v>
      </c>
      <c r="F3831" s="72" t="s">
        <v>70</v>
      </c>
      <c r="G3831" s="72" t="s">
        <v>71</v>
      </c>
      <c r="H3831" s="72" t="s">
        <v>72</v>
      </c>
    </row>
    <row r="3832" spans="1:8" x14ac:dyDescent="0.25">
      <c r="A3832" s="43" t="s">
        <v>4944</v>
      </c>
      <c r="B3832" s="43" t="s">
        <v>73</v>
      </c>
      <c r="C3832" s="46">
        <v>31</v>
      </c>
      <c r="D3832" s="46">
        <v>655106.62685537327</v>
      </c>
      <c r="E3832" s="43">
        <v>26204.265074214931</v>
      </c>
      <c r="F3832" s="43" t="s">
        <v>106</v>
      </c>
      <c r="G3832" s="43" t="s">
        <v>71</v>
      </c>
      <c r="H3832" s="43" t="s">
        <v>72</v>
      </c>
    </row>
    <row r="3833" spans="1:8" x14ac:dyDescent="0.25">
      <c r="A3833" s="43" t="s">
        <v>4293</v>
      </c>
      <c r="B3833" s="43" t="s">
        <v>75</v>
      </c>
      <c r="C3833" s="46">
        <v>31</v>
      </c>
      <c r="D3833" s="46">
        <v>798415.86697127472</v>
      </c>
      <c r="E3833" s="43">
        <v>55889.110687989225</v>
      </c>
      <c r="F3833" s="43" t="s">
        <v>78</v>
      </c>
      <c r="G3833" s="43" t="s">
        <v>71</v>
      </c>
      <c r="H3833" s="43" t="s">
        <v>72</v>
      </c>
    </row>
    <row r="3834" spans="1:8" x14ac:dyDescent="0.25">
      <c r="A3834" s="43" t="s">
        <v>2909</v>
      </c>
      <c r="B3834" s="43" t="s">
        <v>73</v>
      </c>
      <c r="C3834" s="46">
        <v>31</v>
      </c>
      <c r="D3834" s="46">
        <v>946850.95798813854</v>
      </c>
      <c r="E3834" s="43">
        <v>123090.62453845801</v>
      </c>
      <c r="F3834" s="43" t="s">
        <v>70</v>
      </c>
      <c r="G3834" s="43" t="s">
        <v>71</v>
      </c>
      <c r="H3834" s="43" t="s">
        <v>72</v>
      </c>
    </row>
    <row r="3835" spans="1:8" x14ac:dyDescent="0.25">
      <c r="A3835" s="43" t="s">
        <v>3305</v>
      </c>
      <c r="B3835" s="43" t="s">
        <v>102</v>
      </c>
      <c r="C3835" s="46">
        <v>31</v>
      </c>
      <c r="D3835" s="46">
        <v>900846.53380024573</v>
      </c>
      <c r="E3835" s="43">
        <v>99093.11871802705</v>
      </c>
      <c r="F3835" s="43" t="s">
        <v>70</v>
      </c>
      <c r="G3835" s="43" t="s">
        <v>71</v>
      </c>
      <c r="H3835" s="43" t="s">
        <v>72</v>
      </c>
    </row>
    <row r="3836" spans="1:8" x14ac:dyDescent="0.25">
      <c r="A3836" s="43" t="s">
        <v>4606</v>
      </c>
      <c r="B3836" s="43" t="s">
        <v>149</v>
      </c>
      <c r="C3836" s="46">
        <v>31</v>
      </c>
      <c r="D3836" s="46">
        <v>729387.57431454456</v>
      </c>
      <c r="E3836" s="43">
        <v>43763.254458872681</v>
      </c>
      <c r="F3836" s="43" t="s">
        <v>70</v>
      </c>
      <c r="G3836" s="43" t="s">
        <v>71</v>
      </c>
      <c r="H3836" s="43" t="s">
        <v>72</v>
      </c>
    </row>
    <row r="3837" spans="1:8" x14ac:dyDescent="0.25">
      <c r="A3837" s="43" t="s">
        <v>4330</v>
      </c>
      <c r="B3837" s="43" t="s">
        <v>211</v>
      </c>
      <c r="C3837" s="46">
        <v>31</v>
      </c>
      <c r="D3837" s="46">
        <v>775795.35966773541</v>
      </c>
      <c r="E3837" s="43">
        <v>54305.675176741475</v>
      </c>
      <c r="F3837" s="43" t="s">
        <v>70</v>
      </c>
      <c r="G3837" s="43" t="s">
        <v>71</v>
      </c>
      <c r="H3837" s="43" t="s">
        <v>72</v>
      </c>
    </row>
    <row r="3838" spans="1:8" x14ac:dyDescent="0.25">
      <c r="A3838" s="72" t="s">
        <v>2144</v>
      </c>
      <c r="B3838" s="72" t="s">
        <v>73</v>
      </c>
      <c r="C3838" s="73">
        <v>31</v>
      </c>
      <c r="D3838" s="73">
        <v>849715.44912845211</v>
      </c>
      <c r="E3838" s="72">
        <v>59480.081438991641</v>
      </c>
      <c r="F3838" s="72" t="s">
        <v>87</v>
      </c>
      <c r="G3838" s="72" t="s">
        <v>71</v>
      </c>
      <c r="H3838" s="72" t="s">
        <v>88</v>
      </c>
    </row>
    <row r="3839" spans="1:8" x14ac:dyDescent="0.25">
      <c r="A3839" s="72" t="s">
        <v>3306</v>
      </c>
      <c r="B3839" s="72" t="s">
        <v>107</v>
      </c>
      <c r="C3839" s="73">
        <v>31</v>
      </c>
      <c r="D3839" s="73">
        <v>900846.53380024573</v>
      </c>
      <c r="E3839" s="72">
        <v>99093.11871802705</v>
      </c>
      <c r="F3839" s="72" t="s">
        <v>70</v>
      </c>
      <c r="G3839" s="72" t="s">
        <v>71</v>
      </c>
      <c r="H3839" s="72" t="s">
        <v>72</v>
      </c>
    </row>
    <row r="3840" spans="1:8" x14ac:dyDescent="0.25">
      <c r="A3840" s="43" t="s">
        <v>3043</v>
      </c>
      <c r="B3840" s="43" t="s">
        <v>93</v>
      </c>
      <c r="C3840" s="46">
        <v>31</v>
      </c>
      <c r="D3840" s="46">
        <v>953567.0462001852</v>
      </c>
      <c r="E3840" s="43">
        <v>114428.04554402221</v>
      </c>
      <c r="F3840" s="43" t="s">
        <v>87</v>
      </c>
      <c r="G3840" s="43" t="s">
        <v>71</v>
      </c>
      <c r="H3840" s="43" t="s">
        <v>88</v>
      </c>
    </row>
    <row r="3841" spans="1:8" x14ac:dyDescent="0.25">
      <c r="A3841" s="43" t="s">
        <v>4036</v>
      </c>
      <c r="B3841" s="43" t="s">
        <v>211</v>
      </c>
      <c r="C3841" s="46">
        <v>31</v>
      </c>
      <c r="D3841" s="46">
        <v>813597.80179758929</v>
      </c>
      <c r="E3841" s="43">
        <v>65087.824143807142</v>
      </c>
      <c r="F3841" s="43" t="s">
        <v>70</v>
      </c>
      <c r="G3841" s="43" t="s">
        <v>71</v>
      </c>
      <c r="H3841" s="43" t="s">
        <v>72</v>
      </c>
    </row>
    <row r="3842" spans="1:8" x14ac:dyDescent="0.25">
      <c r="A3842" s="43" t="s">
        <v>3921</v>
      </c>
      <c r="B3842" s="43" t="s">
        <v>73</v>
      </c>
      <c r="C3842" s="46">
        <v>31</v>
      </c>
      <c r="D3842" s="46">
        <v>875821.05616548331</v>
      </c>
      <c r="E3842" s="43">
        <v>70065.684493238674</v>
      </c>
      <c r="F3842" s="43" t="s">
        <v>87</v>
      </c>
      <c r="G3842" s="43" t="s">
        <v>71</v>
      </c>
      <c r="H3842" s="43" t="s">
        <v>88</v>
      </c>
    </row>
    <row r="3843" spans="1:8" x14ac:dyDescent="0.25">
      <c r="A3843" s="72" t="s">
        <v>2910</v>
      </c>
      <c r="B3843" s="72" t="s">
        <v>74</v>
      </c>
      <c r="C3843" s="73">
        <v>31</v>
      </c>
      <c r="D3843" s="73">
        <v>946850.95798813854</v>
      </c>
      <c r="E3843" s="72">
        <v>123090.62453845801</v>
      </c>
      <c r="F3843" s="72" t="s">
        <v>70</v>
      </c>
      <c r="G3843" s="72" t="s">
        <v>71</v>
      </c>
      <c r="H3843" s="72" t="s">
        <v>72</v>
      </c>
    </row>
    <row r="3844" spans="1:8" x14ac:dyDescent="0.25">
      <c r="A3844" s="72" t="s">
        <v>4331</v>
      </c>
      <c r="B3844" s="72" t="s">
        <v>74</v>
      </c>
      <c r="C3844" s="73">
        <v>31</v>
      </c>
      <c r="D3844" s="73">
        <v>775795.35966773541</v>
      </c>
      <c r="E3844" s="72">
        <v>54305.675176741475</v>
      </c>
      <c r="F3844" s="72" t="s">
        <v>70</v>
      </c>
      <c r="G3844" s="72" t="s">
        <v>71</v>
      </c>
      <c r="H3844" s="72" t="s">
        <v>72</v>
      </c>
    </row>
    <row r="3845" spans="1:8" x14ac:dyDescent="0.25">
      <c r="A3845" s="43" t="s">
        <v>4332</v>
      </c>
      <c r="B3845" s="43" t="s">
        <v>74</v>
      </c>
      <c r="C3845" s="46">
        <v>31</v>
      </c>
      <c r="D3845" s="46">
        <v>775795.35966773541</v>
      </c>
      <c r="E3845" s="43">
        <v>54305.675176741475</v>
      </c>
      <c r="F3845" s="43" t="s">
        <v>70</v>
      </c>
      <c r="G3845" s="43" t="s">
        <v>71</v>
      </c>
      <c r="H3845" s="43" t="s">
        <v>72</v>
      </c>
    </row>
    <row r="3846" spans="1:8" x14ac:dyDescent="0.25">
      <c r="A3846" s="72" t="s">
        <v>3593</v>
      </c>
      <c r="B3846" s="72" t="s">
        <v>202</v>
      </c>
      <c r="C3846" s="73">
        <v>31</v>
      </c>
      <c r="D3846" s="73">
        <v>755517.64997195627</v>
      </c>
      <c r="E3846" s="72">
        <v>83106.941496915199</v>
      </c>
      <c r="F3846" s="72" t="s">
        <v>106</v>
      </c>
      <c r="G3846" s="72" t="s">
        <v>71</v>
      </c>
      <c r="H3846" s="72" t="s">
        <v>72</v>
      </c>
    </row>
    <row r="3847" spans="1:8" x14ac:dyDescent="0.25">
      <c r="A3847" s="72" t="s">
        <v>3096</v>
      </c>
      <c r="B3847" s="72" t="s">
        <v>1247</v>
      </c>
      <c r="C3847" s="73">
        <v>30</v>
      </c>
      <c r="D3847" s="73">
        <v>922445.28951770929</v>
      </c>
      <c r="E3847" s="72">
        <v>110693.43474212512</v>
      </c>
      <c r="F3847" s="72" t="s">
        <v>87</v>
      </c>
      <c r="G3847" s="72" t="s">
        <v>71</v>
      </c>
      <c r="H3847" s="72" t="s">
        <v>88</v>
      </c>
    </row>
    <row r="3848" spans="1:8" x14ac:dyDescent="0.25">
      <c r="A3848" s="43" t="s">
        <v>3979</v>
      </c>
      <c r="B3848" s="43" t="s">
        <v>93</v>
      </c>
      <c r="C3848" s="46">
        <v>30</v>
      </c>
      <c r="D3848" s="46">
        <v>847207.23464541731</v>
      </c>
      <c r="E3848" s="43">
        <v>67776.578771633387</v>
      </c>
      <c r="F3848" s="43" t="s">
        <v>87</v>
      </c>
      <c r="G3848" s="43" t="s">
        <v>71</v>
      </c>
      <c r="H3848" s="43" t="s">
        <v>88</v>
      </c>
    </row>
    <row r="3849" spans="1:8" x14ac:dyDescent="0.25">
      <c r="A3849" s="72" t="s">
        <v>3480</v>
      </c>
      <c r="B3849" s="72" t="s">
        <v>73</v>
      </c>
      <c r="C3849" s="73">
        <v>30</v>
      </c>
      <c r="D3849" s="73">
        <v>888646.99482018861</v>
      </c>
      <c r="E3849" s="72">
        <v>88864.69948201887</v>
      </c>
      <c r="F3849" s="72" t="s">
        <v>87</v>
      </c>
      <c r="G3849" s="72" t="s">
        <v>71</v>
      </c>
      <c r="H3849" s="72" t="s">
        <v>88</v>
      </c>
    </row>
    <row r="3850" spans="1:8" x14ac:dyDescent="0.25">
      <c r="A3850" s="43" t="s">
        <v>3285</v>
      </c>
      <c r="B3850" s="43" t="s">
        <v>83</v>
      </c>
      <c r="C3850" s="46">
        <v>30</v>
      </c>
      <c r="D3850" s="46">
        <v>906287.62308334641</v>
      </c>
      <c r="E3850" s="43">
        <v>99691.638539168111</v>
      </c>
      <c r="F3850" s="43" t="s">
        <v>87</v>
      </c>
      <c r="G3850" s="43" t="s">
        <v>71</v>
      </c>
      <c r="H3850" s="43" t="s">
        <v>88</v>
      </c>
    </row>
    <row r="3851" spans="1:8" x14ac:dyDescent="0.25">
      <c r="A3851" s="43" t="s">
        <v>3285</v>
      </c>
      <c r="B3851" s="43" t="s">
        <v>77</v>
      </c>
      <c r="C3851" s="46">
        <v>30</v>
      </c>
      <c r="D3851" s="46">
        <v>869142.03931018338</v>
      </c>
      <c r="E3851" s="43">
        <v>78222.783537916504</v>
      </c>
      <c r="F3851" s="43" t="s">
        <v>87</v>
      </c>
      <c r="G3851" s="43" t="s">
        <v>71</v>
      </c>
      <c r="H3851" s="43" t="s">
        <v>88</v>
      </c>
    </row>
    <row r="3852" spans="1:8" x14ac:dyDescent="0.25">
      <c r="A3852" s="72" t="s">
        <v>2934</v>
      </c>
      <c r="B3852" s="72" t="s">
        <v>93</v>
      </c>
      <c r="C3852" s="73">
        <v>30</v>
      </c>
      <c r="D3852" s="73">
        <v>937390.62849684851</v>
      </c>
      <c r="E3852" s="72">
        <v>121860.78170459031</v>
      </c>
      <c r="F3852" s="72" t="s">
        <v>87</v>
      </c>
      <c r="G3852" s="72" t="s">
        <v>71</v>
      </c>
      <c r="H3852" s="72" t="s">
        <v>88</v>
      </c>
    </row>
    <row r="3853" spans="1:8" x14ac:dyDescent="0.25">
      <c r="A3853" s="72" t="s">
        <v>3980</v>
      </c>
      <c r="B3853" s="72" t="s">
        <v>73</v>
      </c>
      <c r="C3853" s="73">
        <v>30</v>
      </c>
      <c r="D3853" s="73">
        <v>847207.23464541731</v>
      </c>
      <c r="E3853" s="72">
        <v>67776.578771633387</v>
      </c>
      <c r="F3853" s="72" t="s">
        <v>87</v>
      </c>
      <c r="G3853" s="72" t="s">
        <v>71</v>
      </c>
      <c r="H3853" s="72" t="s">
        <v>88</v>
      </c>
    </row>
    <row r="3854" spans="1:8" x14ac:dyDescent="0.25">
      <c r="A3854" s="72" t="s">
        <v>4115</v>
      </c>
      <c r="B3854" s="72" t="s">
        <v>73</v>
      </c>
      <c r="C3854" s="73">
        <v>30</v>
      </c>
      <c r="D3854" s="73">
        <v>786935.9530526381</v>
      </c>
      <c r="E3854" s="72">
        <v>62954.876244211053</v>
      </c>
      <c r="F3854" s="72" t="s">
        <v>70</v>
      </c>
      <c r="G3854" s="72" t="s">
        <v>71</v>
      </c>
      <c r="H3854" s="72" t="s">
        <v>72</v>
      </c>
    </row>
    <row r="3855" spans="1:8" x14ac:dyDescent="0.25">
      <c r="A3855" s="43" t="s">
        <v>4904</v>
      </c>
      <c r="B3855" s="43" t="s">
        <v>73</v>
      </c>
      <c r="C3855" s="46">
        <v>30</v>
      </c>
      <c r="D3855" s="46">
        <v>697789.01817074139</v>
      </c>
      <c r="E3855" s="43">
        <v>27911.560726829655</v>
      </c>
      <c r="F3855" s="43" t="s">
        <v>87</v>
      </c>
      <c r="G3855" s="43" t="s">
        <v>71</v>
      </c>
      <c r="H3855" s="43" t="s">
        <v>88</v>
      </c>
    </row>
    <row r="3856" spans="1:8" x14ac:dyDescent="0.25">
      <c r="A3856" s="72" t="s">
        <v>4067</v>
      </c>
      <c r="B3856" s="72" t="s">
        <v>97</v>
      </c>
      <c r="C3856" s="73">
        <v>30</v>
      </c>
      <c r="D3856" s="73">
        <v>712401.66356634325</v>
      </c>
      <c r="E3856" s="72">
        <v>64116.14972097089</v>
      </c>
      <c r="F3856" s="72" t="s">
        <v>106</v>
      </c>
      <c r="G3856" s="72" t="s">
        <v>71</v>
      </c>
      <c r="H3856" s="72" t="s">
        <v>72</v>
      </c>
    </row>
    <row r="3857" spans="1:8" x14ac:dyDescent="0.25">
      <c r="A3857" s="43" t="s">
        <v>2935</v>
      </c>
      <c r="B3857" s="43" t="s">
        <v>73</v>
      </c>
      <c r="C3857" s="46">
        <v>30</v>
      </c>
      <c r="D3857" s="46">
        <v>937390.62849684851</v>
      </c>
      <c r="E3857" s="43">
        <v>121860.78170459031</v>
      </c>
      <c r="F3857" s="43" t="s">
        <v>87</v>
      </c>
      <c r="G3857" s="43" t="s">
        <v>71</v>
      </c>
      <c r="H3857" s="43" t="s">
        <v>88</v>
      </c>
    </row>
    <row r="3858" spans="1:8" x14ac:dyDescent="0.25">
      <c r="A3858" s="72" t="s">
        <v>4512</v>
      </c>
      <c r="B3858" s="72" t="s">
        <v>1247</v>
      </c>
      <c r="C3858" s="73">
        <v>30</v>
      </c>
      <c r="D3858" s="73">
        <v>791772.15453061613</v>
      </c>
      <c r="E3858" s="72">
        <v>47506.329271836963</v>
      </c>
      <c r="F3858" s="72" t="s">
        <v>87</v>
      </c>
      <c r="G3858" s="72" t="s">
        <v>71</v>
      </c>
      <c r="H3858" s="72" t="s">
        <v>88</v>
      </c>
    </row>
    <row r="3859" spans="1:8" x14ac:dyDescent="0.25">
      <c r="A3859" s="72" t="s">
        <v>3568</v>
      </c>
      <c r="B3859" s="72" t="s">
        <v>79</v>
      </c>
      <c r="C3859" s="73">
        <v>30</v>
      </c>
      <c r="D3859" s="73">
        <v>846196.05617681798</v>
      </c>
      <c r="E3859" s="72">
        <v>84619.605617681809</v>
      </c>
      <c r="F3859" s="72" t="s">
        <v>70</v>
      </c>
      <c r="G3859" s="72" t="s">
        <v>71</v>
      </c>
      <c r="H3859" s="72" t="s">
        <v>72</v>
      </c>
    </row>
    <row r="3860" spans="1:8" x14ac:dyDescent="0.25">
      <c r="A3860" s="43" t="s">
        <v>4513</v>
      </c>
      <c r="B3860" s="43" t="s">
        <v>93</v>
      </c>
      <c r="C3860" s="46">
        <v>30</v>
      </c>
      <c r="D3860" s="46">
        <v>791772.15453061613</v>
      </c>
      <c r="E3860" s="43">
        <v>47506.329271836963</v>
      </c>
      <c r="F3860" s="43" t="s">
        <v>87</v>
      </c>
      <c r="G3860" s="43" t="s">
        <v>71</v>
      </c>
      <c r="H3860" s="43" t="s">
        <v>88</v>
      </c>
    </row>
    <row r="3861" spans="1:8" x14ac:dyDescent="0.25">
      <c r="A3861" s="43" t="s">
        <v>3569</v>
      </c>
      <c r="B3861" s="43" t="s">
        <v>176</v>
      </c>
      <c r="C3861" s="46">
        <v>30</v>
      </c>
      <c r="D3861" s="46">
        <v>846196.05617681798</v>
      </c>
      <c r="E3861" s="43">
        <v>84619.605617681809</v>
      </c>
      <c r="F3861" s="43" t="s">
        <v>70</v>
      </c>
      <c r="G3861" s="43" t="s">
        <v>71</v>
      </c>
      <c r="H3861" s="43" t="s">
        <v>72</v>
      </c>
    </row>
    <row r="3862" spans="1:8" x14ac:dyDescent="0.25">
      <c r="A3862" s="43" t="s">
        <v>4289</v>
      </c>
      <c r="B3862" s="43" t="s">
        <v>85</v>
      </c>
      <c r="C3862" s="46">
        <v>30</v>
      </c>
      <c r="D3862" s="46">
        <v>701602.38226977759</v>
      </c>
      <c r="E3862" s="43">
        <v>56128.19058158221</v>
      </c>
      <c r="F3862" s="43" t="s">
        <v>106</v>
      </c>
      <c r="G3862" s="43" t="s">
        <v>71</v>
      </c>
      <c r="H3862" s="43" t="s">
        <v>72</v>
      </c>
    </row>
    <row r="3863" spans="1:8" x14ac:dyDescent="0.25">
      <c r="A3863" s="43" t="s">
        <v>2721</v>
      </c>
      <c r="B3863" s="43" t="s">
        <v>75</v>
      </c>
      <c r="C3863" s="46">
        <v>30</v>
      </c>
      <c r="D3863" s="46">
        <v>962568.57209517062</v>
      </c>
      <c r="E3863" s="43">
        <v>134759.60009332388</v>
      </c>
      <c r="F3863" s="43" t="s">
        <v>78</v>
      </c>
      <c r="G3863" s="43" t="s">
        <v>71</v>
      </c>
      <c r="H3863" s="43" t="s">
        <v>72</v>
      </c>
    </row>
    <row r="3864" spans="1:8" x14ac:dyDescent="0.25">
      <c r="A3864" s="72" t="s">
        <v>2912</v>
      </c>
      <c r="B3864" s="72" t="s">
        <v>75</v>
      </c>
      <c r="C3864" s="73">
        <v>30</v>
      </c>
      <c r="D3864" s="73">
        <v>942010.91010623495</v>
      </c>
      <c r="E3864" s="72">
        <v>122461.41831381054</v>
      </c>
      <c r="F3864" s="72" t="s">
        <v>78</v>
      </c>
      <c r="G3864" s="72" t="s">
        <v>71</v>
      </c>
      <c r="H3864" s="72" t="s">
        <v>72</v>
      </c>
    </row>
    <row r="3865" spans="1:8" x14ac:dyDescent="0.25">
      <c r="A3865" s="43" t="s">
        <v>3097</v>
      </c>
      <c r="B3865" s="43" t="s">
        <v>73</v>
      </c>
      <c r="C3865" s="46">
        <v>30</v>
      </c>
      <c r="D3865" s="46">
        <v>922445.28951770929</v>
      </c>
      <c r="E3865" s="43">
        <v>110693.43474212512</v>
      </c>
      <c r="F3865" s="43" t="s">
        <v>87</v>
      </c>
      <c r="G3865" s="43" t="s">
        <v>71</v>
      </c>
      <c r="H3865" s="43" t="s">
        <v>88</v>
      </c>
    </row>
    <row r="3866" spans="1:8" x14ac:dyDescent="0.25">
      <c r="A3866" s="72" t="s">
        <v>2974</v>
      </c>
      <c r="B3866" s="72" t="s">
        <v>97</v>
      </c>
      <c r="C3866" s="73">
        <v>30</v>
      </c>
      <c r="D3866" s="73">
        <v>915890.62033381476</v>
      </c>
      <c r="E3866" s="72">
        <v>119065.78064339592</v>
      </c>
      <c r="F3866" s="72" t="s">
        <v>70</v>
      </c>
      <c r="G3866" s="72" t="s">
        <v>71</v>
      </c>
      <c r="H3866" s="72" t="s">
        <v>72</v>
      </c>
    </row>
    <row r="3867" spans="1:8" x14ac:dyDescent="0.25">
      <c r="A3867" s="72" t="s">
        <v>3144</v>
      </c>
      <c r="B3867" s="72" t="s">
        <v>73</v>
      </c>
      <c r="C3867" s="73">
        <v>30</v>
      </c>
      <c r="D3867" s="73">
        <v>894467.6253092793</v>
      </c>
      <c r="E3867" s="72">
        <v>107336.11503711354</v>
      </c>
      <c r="F3867" s="72" t="s">
        <v>70</v>
      </c>
      <c r="G3867" s="72" t="s">
        <v>71</v>
      </c>
      <c r="H3867" s="72" t="s">
        <v>72</v>
      </c>
    </row>
    <row r="3868" spans="1:8" x14ac:dyDescent="0.25">
      <c r="A3868" s="72" t="s">
        <v>4493</v>
      </c>
      <c r="B3868" s="72" t="s">
        <v>73</v>
      </c>
      <c r="C3868" s="73">
        <v>30</v>
      </c>
      <c r="D3868" s="73">
        <v>689251.96908942098</v>
      </c>
      <c r="E3868" s="72">
        <v>48247.637836259462</v>
      </c>
      <c r="F3868" s="72" t="s">
        <v>106</v>
      </c>
      <c r="G3868" s="72" t="s">
        <v>71</v>
      </c>
      <c r="H3868" s="72" t="s">
        <v>72</v>
      </c>
    </row>
    <row r="3869" spans="1:8" x14ac:dyDescent="0.25">
      <c r="A3869" s="72" t="s">
        <v>3742</v>
      </c>
      <c r="B3869" s="72" t="s">
        <v>101</v>
      </c>
      <c r="C3869" s="73">
        <v>30</v>
      </c>
      <c r="D3869" s="73">
        <v>700708.91293477966</v>
      </c>
      <c r="E3869" s="72">
        <v>77077.980422825771</v>
      </c>
      <c r="F3869" s="72" t="s">
        <v>95</v>
      </c>
      <c r="G3869" s="72" t="s">
        <v>96</v>
      </c>
      <c r="H3869" s="72" t="s">
        <v>88</v>
      </c>
    </row>
    <row r="3870" spans="1:8" x14ac:dyDescent="0.25">
      <c r="A3870" s="72" t="s">
        <v>4234</v>
      </c>
      <c r="B3870" s="72" t="s">
        <v>73</v>
      </c>
      <c r="C3870" s="73">
        <v>30</v>
      </c>
      <c r="D3870" s="73">
        <v>821943.74396441935</v>
      </c>
      <c r="E3870" s="72">
        <v>57536.062077509348</v>
      </c>
      <c r="F3870" s="72" t="s">
        <v>87</v>
      </c>
      <c r="G3870" s="72" t="s">
        <v>71</v>
      </c>
      <c r="H3870" s="72" t="s">
        <v>88</v>
      </c>
    </row>
    <row r="3871" spans="1:8" x14ac:dyDescent="0.25">
      <c r="A3871" s="72" t="s">
        <v>4635</v>
      </c>
      <c r="B3871" s="72" t="s">
        <v>97</v>
      </c>
      <c r="C3871" s="73">
        <v>30</v>
      </c>
      <c r="D3871" s="73">
        <v>705442.18452065915</v>
      </c>
      <c r="E3871" s="72">
        <v>42326.531071239559</v>
      </c>
      <c r="F3871" s="72" t="s">
        <v>70</v>
      </c>
      <c r="G3871" s="72" t="s">
        <v>71</v>
      </c>
      <c r="H3871" s="72" t="s">
        <v>72</v>
      </c>
    </row>
    <row r="3872" spans="1:8" x14ac:dyDescent="0.25">
      <c r="A3872" s="72" t="s">
        <v>3716</v>
      </c>
      <c r="B3872" s="72" t="s">
        <v>93</v>
      </c>
      <c r="C3872" s="73">
        <v>30</v>
      </c>
      <c r="D3872" s="73">
        <v>869142.03931018338</v>
      </c>
      <c r="E3872" s="72">
        <v>78222.783537916504</v>
      </c>
      <c r="F3872" s="72" t="s">
        <v>87</v>
      </c>
      <c r="G3872" s="72" t="s">
        <v>71</v>
      </c>
      <c r="H3872" s="72" t="s">
        <v>88</v>
      </c>
    </row>
    <row r="3873" spans="1:8" x14ac:dyDescent="0.25">
      <c r="A3873" s="43" t="s">
        <v>2975</v>
      </c>
      <c r="B3873" s="43" t="s">
        <v>97</v>
      </c>
      <c r="C3873" s="46">
        <v>30</v>
      </c>
      <c r="D3873" s="46">
        <v>915890.62033381476</v>
      </c>
      <c r="E3873" s="43">
        <v>119065.78064339592</v>
      </c>
      <c r="F3873" s="43" t="s">
        <v>70</v>
      </c>
      <c r="G3873" s="43" t="s">
        <v>71</v>
      </c>
      <c r="H3873" s="43" t="s">
        <v>72</v>
      </c>
    </row>
    <row r="3874" spans="1:8" x14ac:dyDescent="0.25">
      <c r="A3874" s="72" t="s">
        <v>3862</v>
      </c>
      <c r="B3874" s="72" t="s">
        <v>75</v>
      </c>
      <c r="C3874" s="73">
        <v>30</v>
      </c>
      <c r="D3874" s="73">
        <v>722029.35954666568</v>
      </c>
      <c r="E3874" s="72">
        <v>72202.935954666566</v>
      </c>
      <c r="F3874" s="72" t="s">
        <v>106</v>
      </c>
      <c r="G3874" s="72" t="s">
        <v>71</v>
      </c>
      <c r="H3874" s="72" t="s">
        <v>72</v>
      </c>
    </row>
    <row r="3875" spans="1:8" x14ac:dyDescent="0.25">
      <c r="A3875" s="72" t="s">
        <v>2936</v>
      </c>
      <c r="B3875" s="72" t="s">
        <v>93</v>
      </c>
      <c r="C3875" s="73">
        <v>30</v>
      </c>
      <c r="D3875" s="73">
        <v>937390.62849684851</v>
      </c>
      <c r="E3875" s="72">
        <v>121860.78170459031</v>
      </c>
      <c r="F3875" s="72" t="s">
        <v>87</v>
      </c>
      <c r="G3875" s="72" t="s">
        <v>71</v>
      </c>
      <c r="H3875" s="72" t="s">
        <v>88</v>
      </c>
    </row>
    <row r="3876" spans="1:8" x14ac:dyDescent="0.25">
      <c r="A3876" s="43" t="s">
        <v>4750</v>
      </c>
      <c r="B3876" s="43" t="s">
        <v>73</v>
      </c>
      <c r="C3876" s="46">
        <v>30</v>
      </c>
      <c r="D3876" s="46">
        <v>753435.22603209002</v>
      </c>
      <c r="E3876" s="43">
        <v>37671.7613016045</v>
      </c>
      <c r="F3876" s="43" t="s">
        <v>87</v>
      </c>
      <c r="G3876" s="43" t="s">
        <v>71</v>
      </c>
      <c r="H3876" s="43" t="s">
        <v>88</v>
      </c>
    </row>
    <row r="3877" spans="1:8" x14ac:dyDescent="0.25">
      <c r="A3877" s="72" t="s">
        <v>3286</v>
      </c>
      <c r="B3877" s="72" t="s">
        <v>73</v>
      </c>
      <c r="C3877" s="73">
        <v>30</v>
      </c>
      <c r="D3877" s="73">
        <v>906287.62308334641</v>
      </c>
      <c r="E3877" s="72">
        <v>99691.638539168111</v>
      </c>
      <c r="F3877" s="72" t="s">
        <v>87</v>
      </c>
      <c r="G3877" s="72" t="s">
        <v>71</v>
      </c>
      <c r="H3877" s="72" t="s">
        <v>88</v>
      </c>
    </row>
    <row r="3878" spans="1:8" x14ac:dyDescent="0.25">
      <c r="A3878" s="43" t="s">
        <v>4823</v>
      </c>
      <c r="B3878" s="43" t="s">
        <v>2379</v>
      </c>
      <c r="C3878" s="46">
        <v>30</v>
      </c>
      <c r="D3878" s="46">
        <v>656953.79725354025</v>
      </c>
      <c r="E3878" s="43">
        <v>32847.689862677013</v>
      </c>
      <c r="F3878" s="43" t="s">
        <v>106</v>
      </c>
      <c r="G3878" s="43" t="s">
        <v>71</v>
      </c>
      <c r="H3878" s="43" t="s">
        <v>72</v>
      </c>
    </row>
    <row r="3879" spans="1:8" x14ac:dyDescent="0.25">
      <c r="A3879" s="43" t="s">
        <v>2786</v>
      </c>
      <c r="B3879" s="43" t="s">
        <v>73</v>
      </c>
      <c r="C3879" s="46">
        <v>30</v>
      </c>
      <c r="D3879" s="46">
        <v>935928.38668254437</v>
      </c>
      <c r="E3879" s="43">
        <v>131029.9741355562</v>
      </c>
      <c r="F3879" s="43" t="s">
        <v>70</v>
      </c>
      <c r="G3879" s="43" t="s">
        <v>71</v>
      </c>
      <c r="H3879" s="43" t="s">
        <v>72</v>
      </c>
    </row>
    <row r="3880" spans="1:8" x14ac:dyDescent="0.25">
      <c r="A3880" s="43" t="s">
        <v>3145</v>
      </c>
      <c r="B3880" s="43" t="s">
        <v>73</v>
      </c>
      <c r="C3880" s="46">
        <v>30</v>
      </c>
      <c r="D3880" s="46">
        <v>894467.6253092793</v>
      </c>
      <c r="E3880" s="43">
        <v>107336.11503711354</v>
      </c>
      <c r="F3880" s="43" t="s">
        <v>70</v>
      </c>
      <c r="G3880" s="43" t="s">
        <v>71</v>
      </c>
      <c r="H3880" s="43" t="s">
        <v>72</v>
      </c>
    </row>
    <row r="3881" spans="1:8" x14ac:dyDescent="0.25">
      <c r="A3881" s="72" t="s">
        <v>2787</v>
      </c>
      <c r="B3881" s="72" t="s">
        <v>97</v>
      </c>
      <c r="C3881" s="73">
        <v>30</v>
      </c>
      <c r="D3881" s="73">
        <v>935928.38668254437</v>
      </c>
      <c r="E3881" s="72">
        <v>131029.9741355562</v>
      </c>
      <c r="F3881" s="72" t="s">
        <v>70</v>
      </c>
      <c r="G3881" s="72" t="s">
        <v>71</v>
      </c>
      <c r="H3881" s="72" t="s">
        <v>72</v>
      </c>
    </row>
    <row r="3882" spans="1:8" x14ac:dyDescent="0.25">
      <c r="A3882" s="43" t="s">
        <v>4116</v>
      </c>
      <c r="B3882" s="43" t="s">
        <v>73</v>
      </c>
      <c r="C3882" s="46">
        <v>30</v>
      </c>
      <c r="D3882" s="46">
        <v>786935.9530526381</v>
      </c>
      <c r="E3882" s="43">
        <v>62954.876244211053</v>
      </c>
      <c r="F3882" s="43" t="s">
        <v>70</v>
      </c>
      <c r="G3882" s="43" t="s">
        <v>71</v>
      </c>
      <c r="H3882" s="43" t="s">
        <v>72</v>
      </c>
    </row>
    <row r="3883" spans="1:8" x14ac:dyDescent="0.25">
      <c r="A3883" s="43" t="s">
        <v>2913</v>
      </c>
      <c r="B3883" s="43" t="s">
        <v>75</v>
      </c>
      <c r="C3883" s="46">
        <v>30</v>
      </c>
      <c r="D3883" s="46">
        <v>942010.91010623495</v>
      </c>
      <c r="E3883" s="43">
        <v>122461.41831381054</v>
      </c>
      <c r="F3883" s="43" t="s">
        <v>78</v>
      </c>
      <c r="G3883" s="43" t="s">
        <v>71</v>
      </c>
      <c r="H3883" s="43" t="s">
        <v>72</v>
      </c>
    </row>
    <row r="3884" spans="1:8" x14ac:dyDescent="0.25">
      <c r="A3884" s="72" t="s">
        <v>3570</v>
      </c>
      <c r="B3884" s="72" t="s">
        <v>73</v>
      </c>
      <c r="C3884" s="73">
        <v>30</v>
      </c>
      <c r="D3884" s="73">
        <v>846196.05617681798</v>
      </c>
      <c r="E3884" s="72">
        <v>84619.605617681809</v>
      </c>
      <c r="F3884" s="72" t="s">
        <v>70</v>
      </c>
      <c r="G3884" s="72" t="s">
        <v>71</v>
      </c>
      <c r="H3884" s="72" t="s">
        <v>72</v>
      </c>
    </row>
    <row r="3885" spans="1:8" x14ac:dyDescent="0.25">
      <c r="A3885" s="43" t="s">
        <v>4235</v>
      </c>
      <c r="B3885" s="43" t="s">
        <v>73</v>
      </c>
      <c r="C3885" s="46">
        <v>30</v>
      </c>
      <c r="D3885" s="46">
        <v>821943.74396441935</v>
      </c>
      <c r="E3885" s="43">
        <v>57536.062077509348</v>
      </c>
      <c r="F3885" s="43" t="s">
        <v>87</v>
      </c>
      <c r="G3885" s="43" t="s">
        <v>71</v>
      </c>
      <c r="H3885" s="43" t="s">
        <v>88</v>
      </c>
    </row>
    <row r="3886" spans="1:8" x14ac:dyDescent="0.25">
      <c r="A3886" s="72" t="s">
        <v>4236</v>
      </c>
      <c r="B3886" s="72" t="s">
        <v>73</v>
      </c>
      <c r="C3886" s="73">
        <v>30</v>
      </c>
      <c r="D3886" s="73">
        <v>821943.74396441935</v>
      </c>
      <c r="E3886" s="72">
        <v>57536.062077509348</v>
      </c>
      <c r="F3886" s="72" t="s">
        <v>87</v>
      </c>
      <c r="G3886" s="72" t="s">
        <v>71</v>
      </c>
      <c r="H3886" s="72" t="s">
        <v>88</v>
      </c>
    </row>
    <row r="3887" spans="1:8" x14ac:dyDescent="0.25">
      <c r="A3887" s="43" t="s">
        <v>3814</v>
      </c>
      <c r="B3887" s="43" t="s">
        <v>73</v>
      </c>
      <c r="C3887" s="46">
        <v>30</v>
      </c>
      <c r="D3887" s="46">
        <v>818357.33448943403</v>
      </c>
      <c r="E3887" s="43">
        <v>73652.160104049064</v>
      </c>
      <c r="F3887" s="43" t="s">
        <v>70</v>
      </c>
      <c r="G3887" s="43" t="s">
        <v>71</v>
      </c>
      <c r="H3887" s="43" t="s">
        <v>72</v>
      </c>
    </row>
    <row r="3888" spans="1:8" x14ac:dyDescent="0.25">
      <c r="A3888" s="43" t="s">
        <v>4068</v>
      </c>
      <c r="B3888" s="43" t="s">
        <v>75</v>
      </c>
      <c r="C3888" s="46">
        <v>30</v>
      </c>
      <c r="D3888" s="46">
        <v>712401.66356634325</v>
      </c>
      <c r="E3888" s="43">
        <v>64116.14972097089</v>
      </c>
      <c r="F3888" s="43" t="s">
        <v>106</v>
      </c>
      <c r="G3888" s="43" t="s">
        <v>71</v>
      </c>
      <c r="H3888" s="43" t="s">
        <v>72</v>
      </c>
    </row>
    <row r="3889" spans="1:8" x14ac:dyDescent="0.25">
      <c r="A3889" s="43" t="s">
        <v>4494</v>
      </c>
      <c r="B3889" s="43" t="s">
        <v>93</v>
      </c>
      <c r="C3889" s="46">
        <v>30</v>
      </c>
      <c r="D3889" s="46">
        <v>689251.96908942098</v>
      </c>
      <c r="E3889" s="43">
        <v>48247.637836259462</v>
      </c>
      <c r="F3889" s="43" t="s">
        <v>106</v>
      </c>
      <c r="G3889" s="43" t="s">
        <v>71</v>
      </c>
      <c r="H3889" s="43" t="s">
        <v>72</v>
      </c>
    </row>
    <row r="3890" spans="1:8" x14ac:dyDescent="0.25">
      <c r="A3890" s="72" t="s">
        <v>3146</v>
      </c>
      <c r="B3890" s="72" t="s">
        <v>75</v>
      </c>
      <c r="C3890" s="73">
        <v>30</v>
      </c>
      <c r="D3890" s="73">
        <v>894467.6253092793</v>
      </c>
      <c r="E3890" s="72">
        <v>107336.11503711354</v>
      </c>
      <c r="F3890" s="72" t="s">
        <v>70</v>
      </c>
      <c r="G3890" s="72" t="s">
        <v>71</v>
      </c>
      <c r="H3890" s="72" t="s">
        <v>72</v>
      </c>
    </row>
    <row r="3891" spans="1:8" x14ac:dyDescent="0.25">
      <c r="A3891" s="43" t="s">
        <v>2788</v>
      </c>
      <c r="B3891" s="43" t="s">
        <v>97</v>
      </c>
      <c r="C3891" s="46">
        <v>30</v>
      </c>
      <c r="D3891" s="46">
        <v>935928.38668254437</v>
      </c>
      <c r="E3891" s="43">
        <v>131029.9741355562</v>
      </c>
      <c r="F3891" s="43" t="s">
        <v>70</v>
      </c>
      <c r="G3891" s="43" t="s">
        <v>71</v>
      </c>
      <c r="H3891" s="43" t="s">
        <v>72</v>
      </c>
    </row>
    <row r="3892" spans="1:8" x14ac:dyDescent="0.25">
      <c r="A3892" s="43" t="s">
        <v>3717</v>
      </c>
      <c r="B3892" s="43" t="s">
        <v>73</v>
      </c>
      <c r="C3892" s="46">
        <v>30</v>
      </c>
      <c r="D3892" s="46">
        <v>869142.03931018338</v>
      </c>
      <c r="E3892" s="43">
        <v>78222.783537916504</v>
      </c>
      <c r="F3892" s="43" t="s">
        <v>87</v>
      </c>
      <c r="G3892" s="43" t="s">
        <v>71</v>
      </c>
      <c r="H3892" s="43" t="s">
        <v>88</v>
      </c>
    </row>
    <row r="3893" spans="1:8" x14ac:dyDescent="0.25">
      <c r="A3893" s="72" t="s">
        <v>4824</v>
      </c>
      <c r="B3893" s="72" t="s">
        <v>73</v>
      </c>
      <c r="C3893" s="73">
        <v>30</v>
      </c>
      <c r="D3893" s="73">
        <v>656953.79725354025</v>
      </c>
      <c r="E3893" s="72">
        <v>32847.689862677013</v>
      </c>
      <c r="F3893" s="72" t="s">
        <v>106</v>
      </c>
      <c r="G3893" s="72" t="s">
        <v>71</v>
      </c>
      <c r="H3893" s="72" t="s">
        <v>72</v>
      </c>
    </row>
    <row r="3894" spans="1:8" x14ac:dyDescent="0.25">
      <c r="A3894" s="72" t="s">
        <v>4069</v>
      </c>
      <c r="B3894" s="72" t="s">
        <v>93</v>
      </c>
      <c r="C3894" s="73">
        <v>30</v>
      </c>
      <c r="D3894" s="73">
        <v>712401.66356634325</v>
      </c>
      <c r="E3894" s="72">
        <v>64116.14972097089</v>
      </c>
      <c r="F3894" s="72" t="s">
        <v>106</v>
      </c>
      <c r="G3894" s="72" t="s">
        <v>71</v>
      </c>
      <c r="H3894" s="72" t="s">
        <v>72</v>
      </c>
    </row>
    <row r="3895" spans="1:8" x14ac:dyDescent="0.25">
      <c r="A3895" s="72" t="s">
        <v>4317</v>
      </c>
      <c r="B3895" s="72" t="s">
        <v>89</v>
      </c>
      <c r="C3895" s="73">
        <v>30</v>
      </c>
      <c r="D3895" s="73">
        <v>604276.43472474837</v>
      </c>
      <c r="E3895" s="72">
        <v>54384.879125227351</v>
      </c>
      <c r="F3895" s="72" t="s">
        <v>95</v>
      </c>
      <c r="G3895" s="72" t="s">
        <v>96</v>
      </c>
      <c r="H3895" s="72" t="s">
        <v>88</v>
      </c>
    </row>
    <row r="3896" spans="1:8" x14ac:dyDescent="0.25">
      <c r="A3896" s="72" t="s">
        <v>4686</v>
      </c>
      <c r="B3896" s="72" t="s">
        <v>73</v>
      </c>
      <c r="C3896" s="73">
        <v>30</v>
      </c>
      <c r="D3896" s="73">
        <v>674736.51382837223</v>
      </c>
      <c r="E3896" s="72">
        <v>40484.19082970234</v>
      </c>
      <c r="F3896" s="72" t="s">
        <v>106</v>
      </c>
      <c r="G3896" s="72" t="s">
        <v>71</v>
      </c>
      <c r="H3896" s="72" t="s">
        <v>72</v>
      </c>
    </row>
    <row r="3897" spans="1:8" x14ac:dyDescent="0.25">
      <c r="A3897" s="72" t="s">
        <v>2789</v>
      </c>
      <c r="B3897" s="72" t="s">
        <v>102</v>
      </c>
      <c r="C3897" s="73">
        <v>30</v>
      </c>
      <c r="D3897" s="73">
        <v>935928.38668254437</v>
      </c>
      <c r="E3897" s="72">
        <v>131029.9741355562</v>
      </c>
      <c r="F3897" s="72" t="s">
        <v>70</v>
      </c>
      <c r="G3897" s="72" t="s">
        <v>71</v>
      </c>
      <c r="H3897" s="72" t="s">
        <v>72</v>
      </c>
    </row>
    <row r="3898" spans="1:8" x14ac:dyDescent="0.25">
      <c r="A3898" s="43" t="s">
        <v>3571</v>
      </c>
      <c r="B3898" s="43" t="s">
        <v>73</v>
      </c>
      <c r="C3898" s="46">
        <v>30</v>
      </c>
      <c r="D3898" s="46">
        <v>846196.05617681798</v>
      </c>
      <c r="E3898" s="43">
        <v>84619.605617681809</v>
      </c>
      <c r="F3898" s="43" t="s">
        <v>70</v>
      </c>
      <c r="G3898" s="43" t="s">
        <v>71</v>
      </c>
      <c r="H3898" s="43" t="s">
        <v>72</v>
      </c>
    </row>
    <row r="3899" spans="1:8" x14ac:dyDescent="0.25">
      <c r="A3899" s="43" t="s">
        <v>3287</v>
      </c>
      <c r="B3899" s="43" t="s">
        <v>73</v>
      </c>
      <c r="C3899" s="46">
        <v>30</v>
      </c>
      <c r="D3899" s="46">
        <v>906287.62308334641</v>
      </c>
      <c r="E3899" s="43">
        <v>99691.638539168111</v>
      </c>
      <c r="F3899" s="43" t="s">
        <v>87</v>
      </c>
      <c r="G3899" s="43" t="s">
        <v>71</v>
      </c>
      <c r="H3899" s="43" t="s">
        <v>88</v>
      </c>
    </row>
    <row r="3900" spans="1:8" x14ac:dyDescent="0.25">
      <c r="A3900" s="72" t="s">
        <v>3815</v>
      </c>
      <c r="B3900" s="72" t="s">
        <v>439</v>
      </c>
      <c r="C3900" s="73">
        <v>30</v>
      </c>
      <c r="D3900" s="73">
        <v>818357.33448943403</v>
      </c>
      <c r="E3900" s="72">
        <v>73652.160104049064</v>
      </c>
      <c r="F3900" s="72" t="s">
        <v>70</v>
      </c>
      <c r="G3900" s="72" t="s">
        <v>71</v>
      </c>
      <c r="H3900" s="72" t="s">
        <v>72</v>
      </c>
    </row>
    <row r="3901" spans="1:8" x14ac:dyDescent="0.25">
      <c r="A3901" s="43" t="s">
        <v>3315</v>
      </c>
      <c r="B3901" s="43" t="s">
        <v>73</v>
      </c>
      <c r="C3901" s="46">
        <v>30</v>
      </c>
      <c r="D3901" s="46">
        <v>896335.3824635843</v>
      </c>
      <c r="E3901" s="43">
        <v>98596.89207099429</v>
      </c>
      <c r="F3901" s="43" t="s">
        <v>78</v>
      </c>
      <c r="G3901" s="43" t="s">
        <v>71</v>
      </c>
      <c r="H3901" s="43" t="s">
        <v>72</v>
      </c>
    </row>
    <row r="3902" spans="1:8" x14ac:dyDescent="0.25">
      <c r="A3902" s="72" t="s">
        <v>4047</v>
      </c>
      <c r="B3902" s="72" t="s">
        <v>75</v>
      </c>
      <c r="C3902" s="73">
        <v>30</v>
      </c>
      <c r="D3902" s="73">
        <v>809710.41234989848</v>
      </c>
      <c r="E3902" s="72">
        <v>64776.832987991882</v>
      </c>
      <c r="F3902" s="72" t="s">
        <v>78</v>
      </c>
      <c r="G3902" s="72" t="s">
        <v>71</v>
      </c>
      <c r="H3902" s="72" t="s">
        <v>72</v>
      </c>
    </row>
    <row r="3903" spans="1:8" x14ac:dyDescent="0.25">
      <c r="A3903" s="43" t="s">
        <v>4636</v>
      </c>
      <c r="B3903" s="43" t="s">
        <v>73</v>
      </c>
      <c r="C3903" s="46">
        <v>30</v>
      </c>
      <c r="D3903" s="46">
        <v>705442.18452065915</v>
      </c>
      <c r="E3903" s="43">
        <v>42326.531071239559</v>
      </c>
      <c r="F3903" s="43" t="s">
        <v>70</v>
      </c>
      <c r="G3903" s="43" t="s">
        <v>71</v>
      </c>
      <c r="H3903" s="43" t="s">
        <v>72</v>
      </c>
    </row>
    <row r="3904" spans="1:8" x14ac:dyDescent="0.25">
      <c r="A3904" s="72" t="s">
        <v>3659</v>
      </c>
      <c r="B3904" s="72" t="s">
        <v>73</v>
      </c>
      <c r="C3904" s="73">
        <v>30</v>
      </c>
      <c r="D3904" s="73">
        <v>730737.65820319287</v>
      </c>
      <c r="E3904" s="72">
        <v>80381.142402351223</v>
      </c>
      <c r="F3904" s="72" t="s">
        <v>106</v>
      </c>
      <c r="G3904" s="72" t="s">
        <v>71</v>
      </c>
      <c r="H3904" s="72" t="s">
        <v>72</v>
      </c>
    </row>
    <row r="3905" spans="1:8" x14ac:dyDescent="0.25">
      <c r="A3905" s="43" t="s">
        <v>2348</v>
      </c>
      <c r="B3905" s="43" t="s">
        <v>265</v>
      </c>
      <c r="C3905" s="46">
        <v>30</v>
      </c>
      <c r="D3905" s="46">
        <v>1147263.896177676</v>
      </c>
      <c r="E3905" s="43">
        <v>160616.94546487462</v>
      </c>
      <c r="F3905" s="43" t="s">
        <v>84</v>
      </c>
      <c r="G3905" s="43" t="s">
        <v>71</v>
      </c>
      <c r="H3905" s="43" t="s">
        <v>72</v>
      </c>
    </row>
    <row r="3906" spans="1:8" x14ac:dyDescent="0.25">
      <c r="A3906" s="72" t="s">
        <v>4376</v>
      </c>
      <c r="B3906" s="72" t="s">
        <v>110</v>
      </c>
      <c r="C3906" s="73">
        <v>30</v>
      </c>
      <c r="D3906" s="73">
        <v>750352.94453987619</v>
      </c>
      <c r="E3906" s="72">
        <v>52524.706117791327</v>
      </c>
      <c r="F3906" s="72" t="s">
        <v>70</v>
      </c>
      <c r="G3906" s="72" t="s">
        <v>71</v>
      </c>
      <c r="H3906" s="72" t="s">
        <v>72</v>
      </c>
    </row>
    <row r="3907" spans="1:8" x14ac:dyDescent="0.25">
      <c r="A3907" s="43" t="s">
        <v>4377</v>
      </c>
      <c r="B3907" s="43" t="s">
        <v>110</v>
      </c>
      <c r="C3907" s="46">
        <v>30</v>
      </c>
      <c r="D3907" s="46">
        <v>750352.94453987619</v>
      </c>
      <c r="E3907" s="43">
        <v>52524.706117791327</v>
      </c>
      <c r="F3907" s="43" t="s">
        <v>70</v>
      </c>
      <c r="G3907" s="43" t="s">
        <v>71</v>
      </c>
      <c r="H3907" s="43" t="s">
        <v>72</v>
      </c>
    </row>
    <row r="3908" spans="1:8" x14ac:dyDescent="0.25">
      <c r="A3908" s="72" t="s">
        <v>3718</v>
      </c>
      <c r="B3908" s="72" t="s">
        <v>73</v>
      </c>
      <c r="C3908" s="73">
        <v>30</v>
      </c>
      <c r="D3908" s="73">
        <v>869142.03931018338</v>
      </c>
      <c r="E3908" s="72">
        <v>78222.783537916504</v>
      </c>
      <c r="F3908" s="72" t="s">
        <v>87</v>
      </c>
      <c r="G3908" s="72" t="s">
        <v>71</v>
      </c>
      <c r="H3908" s="72" t="s">
        <v>88</v>
      </c>
    </row>
    <row r="3909" spans="1:8" x14ac:dyDescent="0.25">
      <c r="A3909" s="43" t="s">
        <v>3481</v>
      </c>
      <c r="B3909" s="43" t="s">
        <v>93</v>
      </c>
      <c r="C3909" s="46">
        <v>30</v>
      </c>
      <c r="D3909" s="46">
        <v>888646.99482018861</v>
      </c>
      <c r="E3909" s="43">
        <v>88864.69948201887</v>
      </c>
      <c r="F3909" s="43" t="s">
        <v>87</v>
      </c>
      <c r="G3909" s="43" t="s">
        <v>71</v>
      </c>
      <c r="H3909" s="43" t="s">
        <v>88</v>
      </c>
    </row>
    <row r="3910" spans="1:8" x14ac:dyDescent="0.25">
      <c r="A3910" s="43" t="s">
        <v>4825</v>
      </c>
      <c r="B3910" s="43" t="s">
        <v>73</v>
      </c>
      <c r="C3910" s="46">
        <v>30</v>
      </c>
      <c r="D3910" s="46">
        <v>656953.79725354025</v>
      </c>
      <c r="E3910" s="43">
        <v>32847.689862677013</v>
      </c>
      <c r="F3910" s="43" t="s">
        <v>106</v>
      </c>
      <c r="G3910" s="43" t="s">
        <v>71</v>
      </c>
      <c r="H3910" s="43" t="s">
        <v>72</v>
      </c>
    </row>
    <row r="3911" spans="1:8" x14ac:dyDescent="0.25">
      <c r="A3911" s="72" t="s">
        <v>3244</v>
      </c>
      <c r="B3911" s="72" t="s">
        <v>179</v>
      </c>
      <c r="C3911" s="73">
        <v>30</v>
      </c>
      <c r="D3911" s="73">
        <v>783037.14067656198</v>
      </c>
      <c r="E3911" s="72">
        <v>101794.82828795305</v>
      </c>
      <c r="F3911" s="72" t="s">
        <v>95</v>
      </c>
      <c r="G3911" s="72" t="s">
        <v>96</v>
      </c>
      <c r="H3911" s="72" t="s">
        <v>88</v>
      </c>
    </row>
    <row r="3912" spans="1:8" x14ac:dyDescent="0.25">
      <c r="A3912" s="43" t="s">
        <v>4237</v>
      </c>
      <c r="B3912" s="43" t="s">
        <v>93</v>
      </c>
      <c r="C3912" s="46">
        <v>30</v>
      </c>
      <c r="D3912" s="46">
        <v>821943.74396441935</v>
      </c>
      <c r="E3912" s="43">
        <v>57536.062077509348</v>
      </c>
      <c r="F3912" s="43" t="s">
        <v>87</v>
      </c>
      <c r="G3912" s="43" t="s">
        <v>71</v>
      </c>
      <c r="H3912" s="43" t="s">
        <v>88</v>
      </c>
    </row>
    <row r="3913" spans="1:8" x14ac:dyDescent="0.25">
      <c r="A3913" s="43" t="s">
        <v>2937</v>
      </c>
      <c r="B3913" s="43" t="s">
        <v>73</v>
      </c>
      <c r="C3913" s="46">
        <v>30</v>
      </c>
      <c r="D3913" s="46">
        <v>937390.62849684851</v>
      </c>
      <c r="E3913" s="43">
        <v>121860.78170459031</v>
      </c>
      <c r="F3913" s="43" t="s">
        <v>87</v>
      </c>
      <c r="G3913" s="43" t="s">
        <v>71</v>
      </c>
      <c r="H3913" s="43" t="s">
        <v>88</v>
      </c>
    </row>
    <row r="3914" spans="1:8" x14ac:dyDescent="0.25">
      <c r="A3914" s="43" t="s">
        <v>3147</v>
      </c>
      <c r="B3914" s="43" t="s">
        <v>73</v>
      </c>
      <c r="C3914" s="46">
        <v>30</v>
      </c>
      <c r="D3914" s="46">
        <v>894467.6253092793</v>
      </c>
      <c r="E3914" s="43">
        <v>107336.11503711354</v>
      </c>
      <c r="F3914" s="43" t="s">
        <v>70</v>
      </c>
      <c r="G3914" s="43" t="s">
        <v>71</v>
      </c>
      <c r="H3914" s="43" t="s">
        <v>72</v>
      </c>
    </row>
    <row r="3915" spans="1:8" x14ac:dyDescent="0.25">
      <c r="A3915" s="72" t="s">
        <v>3482</v>
      </c>
      <c r="B3915" s="72" t="s">
        <v>83</v>
      </c>
      <c r="C3915" s="73">
        <v>30</v>
      </c>
      <c r="D3915" s="73">
        <v>888646.99482018861</v>
      </c>
      <c r="E3915" s="72">
        <v>88864.69948201887</v>
      </c>
      <c r="F3915" s="72" t="s">
        <v>87</v>
      </c>
      <c r="G3915" s="72" t="s">
        <v>71</v>
      </c>
      <c r="H3915" s="72" t="s">
        <v>88</v>
      </c>
    </row>
    <row r="3916" spans="1:8" x14ac:dyDescent="0.25">
      <c r="A3916" s="43" t="s">
        <v>3483</v>
      </c>
      <c r="B3916" s="43" t="s">
        <v>93</v>
      </c>
      <c r="C3916" s="46">
        <v>30</v>
      </c>
      <c r="D3916" s="46">
        <v>888646.99482018861</v>
      </c>
      <c r="E3916" s="43">
        <v>88864.69948201887</v>
      </c>
      <c r="F3916" s="43" t="s">
        <v>87</v>
      </c>
      <c r="G3916" s="43" t="s">
        <v>71</v>
      </c>
      <c r="H3916" s="43" t="s">
        <v>88</v>
      </c>
    </row>
    <row r="3917" spans="1:8" x14ac:dyDescent="0.25">
      <c r="A3917" s="72" t="s">
        <v>3288</v>
      </c>
      <c r="B3917" s="72" t="s">
        <v>77</v>
      </c>
      <c r="C3917" s="73">
        <v>30</v>
      </c>
      <c r="D3917" s="73">
        <v>906287.62308334641</v>
      </c>
      <c r="E3917" s="72">
        <v>99691.638539168111</v>
      </c>
      <c r="F3917" s="72" t="s">
        <v>87</v>
      </c>
      <c r="G3917" s="72" t="s">
        <v>71</v>
      </c>
      <c r="H3917" s="72" t="s">
        <v>88</v>
      </c>
    </row>
    <row r="3918" spans="1:8" x14ac:dyDescent="0.25">
      <c r="A3918" s="72" t="s">
        <v>4905</v>
      </c>
      <c r="B3918" s="72" t="s">
        <v>73</v>
      </c>
      <c r="C3918" s="73">
        <v>30</v>
      </c>
      <c r="D3918" s="73">
        <v>697789.01817074139</v>
      </c>
      <c r="E3918" s="72">
        <v>27911.560726829655</v>
      </c>
      <c r="F3918" s="72" t="s">
        <v>87</v>
      </c>
      <c r="G3918" s="72" t="s">
        <v>71</v>
      </c>
      <c r="H3918" s="72" t="s">
        <v>88</v>
      </c>
    </row>
    <row r="3919" spans="1:8" x14ac:dyDescent="0.25">
      <c r="A3919" s="43" t="s">
        <v>3816</v>
      </c>
      <c r="B3919" s="43" t="s">
        <v>97</v>
      </c>
      <c r="C3919" s="46">
        <v>30</v>
      </c>
      <c r="D3919" s="46">
        <v>818357.33448943403</v>
      </c>
      <c r="E3919" s="43">
        <v>73652.160104049064</v>
      </c>
      <c r="F3919" s="43" t="s">
        <v>70</v>
      </c>
      <c r="G3919" s="43" t="s">
        <v>71</v>
      </c>
      <c r="H3919" s="43" t="s">
        <v>72</v>
      </c>
    </row>
    <row r="3920" spans="1:8" x14ac:dyDescent="0.25">
      <c r="A3920" s="72" t="s">
        <v>3148</v>
      </c>
      <c r="B3920" s="72" t="s">
        <v>107</v>
      </c>
      <c r="C3920" s="73">
        <v>30</v>
      </c>
      <c r="D3920" s="73">
        <v>894467.6253092793</v>
      </c>
      <c r="E3920" s="72">
        <v>107336.11503711354</v>
      </c>
      <c r="F3920" s="72" t="s">
        <v>70</v>
      </c>
      <c r="G3920" s="72" t="s">
        <v>71</v>
      </c>
      <c r="H3920" s="72" t="s">
        <v>72</v>
      </c>
    </row>
    <row r="3921" spans="1:8" x14ac:dyDescent="0.25">
      <c r="A3921" s="43" t="s">
        <v>4906</v>
      </c>
      <c r="B3921" s="43" t="s">
        <v>73</v>
      </c>
      <c r="C3921" s="46">
        <v>30</v>
      </c>
      <c r="D3921" s="46">
        <v>697789.01817074139</v>
      </c>
      <c r="E3921" s="43">
        <v>27911.560726829655</v>
      </c>
      <c r="F3921" s="43" t="s">
        <v>87</v>
      </c>
      <c r="G3921" s="43" t="s">
        <v>71</v>
      </c>
      <c r="H3921" s="43" t="s">
        <v>88</v>
      </c>
    </row>
    <row r="3922" spans="1:8" x14ac:dyDescent="0.25">
      <c r="A3922" s="72" t="s">
        <v>4238</v>
      </c>
      <c r="B3922" s="72" t="s">
        <v>93</v>
      </c>
      <c r="C3922" s="73">
        <v>30</v>
      </c>
      <c r="D3922" s="73">
        <v>821943.74396441935</v>
      </c>
      <c r="E3922" s="72">
        <v>57536.062077509348</v>
      </c>
      <c r="F3922" s="72" t="s">
        <v>87</v>
      </c>
      <c r="G3922" s="72" t="s">
        <v>71</v>
      </c>
      <c r="H3922" s="72" t="s">
        <v>88</v>
      </c>
    </row>
    <row r="3923" spans="1:8" x14ac:dyDescent="0.25">
      <c r="A3923" s="43" t="s">
        <v>2790</v>
      </c>
      <c r="B3923" s="43" t="s">
        <v>97</v>
      </c>
      <c r="C3923" s="46">
        <v>30</v>
      </c>
      <c r="D3923" s="46">
        <v>935928.38668254437</v>
      </c>
      <c r="E3923" s="43">
        <v>131029.9741355562</v>
      </c>
      <c r="F3923" s="43" t="s">
        <v>70</v>
      </c>
      <c r="G3923" s="43" t="s">
        <v>71</v>
      </c>
      <c r="H3923" s="43" t="s">
        <v>72</v>
      </c>
    </row>
    <row r="3924" spans="1:8" x14ac:dyDescent="0.25">
      <c r="A3924" s="72" t="s">
        <v>4378</v>
      </c>
      <c r="B3924" s="72" t="s">
        <v>74</v>
      </c>
      <c r="C3924" s="73">
        <v>30</v>
      </c>
      <c r="D3924" s="73">
        <v>750352.94453987619</v>
      </c>
      <c r="E3924" s="72">
        <v>52524.706117791327</v>
      </c>
      <c r="F3924" s="72" t="s">
        <v>70</v>
      </c>
      <c r="G3924" s="72" t="s">
        <v>71</v>
      </c>
      <c r="H3924" s="72" t="s">
        <v>72</v>
      </c>
    </row>
    <row r="3925" spans="1:8" x14ac:dyDescent="0.25">
      <c r="A3925" s="72" t="s">
        <v>4117</v>
      </c>
      <c r="B3925" s="72" t="s">
        <v>74</v>
      </c>
      <c r="C3925" s="73">
        <v>30</v>
      </c>
      <c r="D3925" s="73">
        <v>786935.9530526381</v>
      </c>
      <c r="E3925" s="72">
        <v>62954.876244211053</v>
      </c>
      <c r="F3925" s="72" t="s">
        <v>70</v>
      </c>
      <c r="G3925" s="72" t="s">
        <v>71</v>
      </c>
      <c r="H3925" s="72" t="s">
        <v>72</v>
      </c>
    </row>
    <row r="3926" spans="1:8" x14ac:dyDescent="0.25">
      <c r="A3926" s="43" t="s">
        <v>4239</v>
      </c>
      <c r="B3926" s="43" t="s">
        <v>93</v>
      </c>
      <c r="C3926" s="46">
        <v>30</v>
      </c>
      <c r="D3926" s="46">
        <v>821943.74396441935</v>
      </c>
      <c r="E3926" s="43">
        <v>57536.062077509348</v>
      </c>
      <c r="F3926" s="43" t="s">
        <v>87</v>
      </c>
      <c r="G3926" s="43" t="s">
        <v>71</v>
      </c>
      <c r="H3926" s="43" t="s">
        <v>88</v>
      </c>
    </row>
    <row r="3927" spans="1:8" x14ac:dyDescent="0.25">
      <c r="A3927" s="43" t="s">
        <v>3981</v>
      </c>
      <c r="B3927" s="43" t="s">
        <v>93</v>
      </c>
      <c r="C3927" s="46">
        <v>30</v>
      </c>
      <c r="D3927" s="46">
        <v>847207.23464541731</v>
      </c>
      <c r="E3927" s="43">
        <v>67776.578771633387</v>
      </c>
      <c r="F3927" s="43" t="s">
        <v>87</v>
      </c>
      <c r="G3927" s="43" t="s">
        <v>71</v>
      </c>
      <c r="H3927" s="43" t="s">
        <v>88</v>
      </c>
    </row>
    <row r="3928" spans="1:8" x14ac:dyDescent="0.25">
      <c r="A3928" s="72" t="s">
        <v>4751</v>
      </c>
      <c r="B3928" s="72" t="s">
        <v>93</v>
      </c>
      <c r="C3928" s="73">
        <v>30</v>
      </c>
      <c r="D3928" s="73">
        <v>753435.22603209002</v>
      </c>
      <c r="E3928" s="72">
        <v>37671.7613016045</v>
      </c>
      <c r="F3928" s="72" t="s">
        <v>87</v>
      </c>
      <c r="G3928" s="72" t="s">
        <v>71</v>
      </c>
      <c r="H3928" s="72" t="s">
        <v>88</v>
      </c>
    </row>
    <row r="3929" spans="1:8" x14ac:dyDescent="0.25">
      <c r="A3929" s="72" t="s">
        <v>3484</v>
      </c>
      <c r="B3929" s="72" t="s">
        <v>93</v>
      </c>
      <c r="C3929" s="73">
        <v>30</v>
      </c>
      <c r="D3929" s="73">
        <v>888646.99482018861</v>
      </c>
      <c r="E3929" s="72">
        <v>88864.69948201887</v>
      </c>
      <c r="F3929" s="72" t="s">
        <v>87</v>
      </c>
      <c r="G3929" s="72" t="s">
        <v>71</v>
      </c>
      <c r="H3929" s="72" t="s">
        <v>88</v>
      </c>
    </row>
    <row r="3930" spans="1:8" x14ac:dyDescent="0.25">
      <c r="A3930" s="72" t="s">
        <v>2791</v>
      </c>
      <c r="B3930" s="72" t="s">
        <v>234</v>
      </c>
      <c r="C3930" s="73">
        <v>30</v>
      </c>
      <c r="D3930" s="73">
        <v>935928.38668254437</v>
      </c>
      <c r="E3930" s="72">
        <v>131029.9741355562</v>
      </c>
      <c r="F3930" s="72" t="s">
        <v>70</v>
      </c>
      <c r="G3930" s="72" t="s">
        <v>71</v>
      </c>
      <c r="H3930" s="72" t="s">
        <v>72</v>
      </c>
    </row>
    <row r="3931" spans="1:8" x14ac:dyDescent="0.25">
      <c r="A3931" s="72" t="s">
        <v>3982</v>
      </c>
      <c r="B3931" s="72" t="s">
        <v>93</v>
      </c>
      <c r="C3931" s="73">
        <v>30</v>
      </c>
      <c r="D3931" s="73">
        <v>847207.23464541731</v>
      </c>
      <c r="E3931" s="72">
        <v>67776.578771633387</v>
      </c>
      <c r="F3931" s="72" t="s">
        <v>87</v>
      </c>
      <c r="G3931" s="72" t="s">
        <v>71</v>
      </c>
      <c r="H3931" s="72" t="s">
        <v>88</v>
      </c>
    </row>
    <row r="3932" spans="1:8" x14ac:dyDescent="0.25">
      <c r="A3932" s="72" t="s">
        <v>3817</v>
      </c>
      <c r="B3932" s="72" t="s">
        <v>73</v>
      </c>
      <c r="C3932" s="73">
        <v>30</v>
      </c>
      <c r="D3932" s="73">
        <v>818357.33448943403</v>
      </c>
      <c r="E3932" s="72">
        <v>73652.160104049064</v>
      </c>
      <c r="F3932" s="72" t="s">
        <v>70</v>
      </c>
      <c r="G3932" s="72" t="s">
        <v>71</v>
      </c>
      <c r="H3932" s="72" t="s">
        <v>72</v>
      </c>
    </row>
    <row r="3933" spans="1:8" x14ac:dyDescent="0.25">
      <c r="A3933" s="43" t="s">
        <v>3289</v>
      </c>
      <c r="B3933" s="43" t="s">
        <v>73</v>
      </c>
      <c r="C3933" s="46">
        <v>30</v>
      </c>
      <c r="D3933" s="46">
        <v>906287.62308334641</v>
      </c>
      <c r="E3933" s="43">
        <v>99691.638539168111</v>
      </c>
      <c r="F3933" s="43" t="s">
        <v>87</v>
      </c>
      <c r="G3933" s="43" t="s">
        <v>71</v>
      </c>
      <c r="H3933" s="43" t="s">
        <v>88</v>
      </c>
    </row>
    <row r="3934" spans="1:8" x14ac:dyDescent="0.25">
      <c r="A3934" s="43" t="s">
        <v>3983</v>
      </c>
      <c r="B3934" s="43" t="s">
        <v>73</v>
      </c>
      <c r="C3934" s="46">
        <v>30</v>
      </c>
      <c r="D3934" s="46">
        <v>847207.23464541731</v>
      </c>
      <c r="E3934" s="43">
        <v>67776.578771633387</v>
      </c>
      <c r="F3934" s="43" t="s">
        <v>87</v>
      </c>
      <c r="G3934" s="43" t="s">
        <v>71</v>
      </c>
      <c r="H3934" s="43" t="s">
        <v>88</v>
      </c>
    </row>
    <row r="3935" spans="1:8" x14ac:dyDescent="0.25">
      <c r="A3935" s="72" t="s">
        <v>4240</v>
      </c>
      <c r="B3935" s="72" t="s">
        <v>93</v>
      </c>
      <c r="C3935" s="73">
        <v>30</v>
      </c>
      <c r="D3935" s="73">
        <v>821943.74396441935</v>
      </c>
      <c r="E3935" s="72">
        <v>57536.062077509348</v>
      </c>
      <c r="F3935" s="72" t="s">
        <v>87</v>
      </c>
      <c r="G3935" s="72" t="s">
        <v>71</v>
      </c>
      <c r="H3935" s="72" t="s">
        <v>88</v>
      </c>
    </row>
    <row r="3936" spans="1:8" x14ac:dyDescent="0.25">
      <c r="A3936" s="43" t="s">
        <v>4752</v>
      </c>
      <c r="B3936" s="43" t="s">
        <v>73</v>
      </c>
      <c r="C3936" s="46">
        <v>30</v>
      </c>
      <c r="D3936" s="46">
        <v>753435.22603209002</v>
      </c>
      <c r="E3936" s="43">
        <v>37671.7613016045</v>
      </c>
      <c r="F3936" s="43" t="s">
        <v>87</v>
      </c>
      <c r="G3936" s="43" t="s">
        <v>71</v>
      </c>
      <c r="H3936" s="43" t="s">
        <v>88</v>
      </c>
    </row>
    <row r="3937" spans="1:8" x14ac:dyDescent="0.25">
      <c r="A3937" s="43" t="s">
        <v>4070</v>
      </c>
      <c r="B3937" s="43" t="s">
        <v>75</v>
      </c>
      <c r="C3937" s="46">
        <v>30</v>
      </c>
      <c r="D3937" s="46">
        <v>712401.66356634325</v>
      </c>
      <c r="E3937" s="43">
        <v>64116.14972097089</v>
      </c>
      <c r="F3937" s="43" t="s">
        <v>106</v>
      </c>
      <c r="G3937" s="43" t="s">
        <v>71</v>
      </c>
      <c r="H3937" s="43" t="s">
        <v>72</v>
      </c>
    </row>
    <row r="3938" spans="1:8" x14ac:dyDescent="0.25">
      <c r="A3938" s="72" t="s">
        <v>3098</v>
      </c>
      <c r="B3938" s="72" t="s">
        <v>73</v>
      </c>
      <c r="C3938" s="73">
        <v>30</v>
      </c>
      <c r="D3938" s="73">
        <v>922445.28951770929</v>
      </c>
      <c r="E3938" s="72">
        <v>110693.43474212512</v>
      </c>
      <c r="F3938" s="72" t="s">
        <v>87</v>
      </c>
      <c r="G3938" s="72" t="s">
        <v>71</v>
      </c>
      <c r="H3938" s="72" t="s">
        <v>88</v>
      </c>
    </row>
    <row r="3939" spans="1:8" x14ac:dyDescent="0.25">
      <c r="A3939" s="43" t="s">
        <v>3155</v>
      </c>
      <c r="B3939" s="43" t="s">
        <v>73</v>
      </c>
      <c r="C3939" s="46">
        <v>29</v>
      </c>
      <c r="D3939" s="46">
        <v>891347.91101727867</v>
      </c>
      <c r="E3939" s="43">
        <v>106961.74932207343</v>
      </c>
      <c r="F3939" s="43" t="s">
        <v>87</v>
      </c>
      <c r="G3939" s="43" t="s">
        <v>71</v>
      </c>
      <c r="H3939" s="43" t="s">
        <v>88</v>
      </c>
    </row>
    <row r="3940" spans="1:8" x14ac:dyDescent="0.25">
      <c r="A3940" s="72" t="s">
        <v>3156</v>
      </c>
      <c r="B3940" s="72" t="s">
        <v>202</v>
      </c>
      <c r="C3940" s="73">
        <v>29</v>
      </c>
      <c r="D3940" s="73">
        <v>891347.91101727867</v>
      </c>
      <c r="E3940" s="72">
        <v>106961.74932207343</v>
      </c>
      <c r="F3940" s="72" t="s">
        <v>87</v>
      </c>
      <c r="G3940" s="72" t="s">
        <v>71</v>
      </c>
      <c r="H3940" s="72" t="s">
        <v>88</v>
      </c>
    </row>
    <row r="3941" spans="1:8" x14ac:dyDescent="0.25">
      <c r="A3941" s="72" t="s">
        <v>3601</v>
      </c>
      <c r="B3941" s="72" t="s">
        <v>93</v>
      </c>
      <c r="C3941" s="73">
        <v>29</v>
      </c>
      <c r="D3941" s="73">
        <v>697567.32633353374</v>
      </c>
      <c r="E3941" s="72">
        <v>69756.732633353371</v>
      </c>
      <c r="F3941" s="72" t="s">
        <v>106</v>
      </c>
      <c r="G3941" s="72" t="s">
        <v>71</v>
      </c>
      <c r="H3941" s="72" t="s">
        <v>72</v>
      </c>
    </row>
    <row r="3942" spans="1:8" x14ac:dyDescent="0.25">
      <c r="A3942" s="72" t="s">
        <v>3222</v>
      </c>
      <c r="B3942" s="72" t="s">
        <v>211</v>
      </c>
      <c r="C3942" s="73">
        <v>29</v>
      </c>
      <c r="D3942" s="73">
        <v>864249.54382557957</v>
      </c>
      <c r="E3942" s="72">
        <v>103709.94525906957</v>
      </c>
      <c r="F3942" s="72" t="s">
        <v>70</v>
      </c>
      <c r="G3942" s="72" t="s">
        <v>71</v>
      </c>
      <c r="H3942" s="72" t="s">
        <v>72</v>
      </c>
    </row>
    <row r="3943" spans="1:8" x14ac:dyDescent="0.25">
      <c r="A3943" s="43" t="s">
        <v>3547</v>
      </c>
      <c r="B3943" s="43" t="s">
        <v>75</v>
      </c>
      <c r="C3943" s="46">
        <v>29</v>
      </c>
      <c r="D3943" s="46">
        <v>713685.40992792021</v>
      </c>
      <c r="E3943" s="43">
        <v>85642.24919135042</v>
      </c>
      <c r="F3943" s="43" t="s">
        <v>106</v>
      </c>
      <c r="G3943" s="43" t="s">
        <v>71</v>
      </c>
      <c r="H3943" s="43" t="s">
        <v>72</v>
      </c>
    </row>
    <row r="3944" spans="1:8" x14ac:dyDescent="0.25">
      <c r="A3944" s="72" t="s">
        <v>4848</v>
      </c>
      <c r="B3944" s="72" t="s">
        <v>75</v>
      </c>
      <c r="C3944" s="73">
        <v>29</v>
      </c>
      <c r="D3944" s="73">
        <v>634660.94945017924</v>
      </c>
      <c r="E3944" s="72">
        <v>31733.047472508963</v>
      </c>
      <c r="F3944" s="72" t="s">
        <v>106</v>
      </c>
      <c r="G3944" s="72" t="s">
        <v>71</v>
      </c>
      <c r="H3944" s="72" t="s">
        <v>72</v>
      </c>
    </row>
    <row r="3945" spans="1:8" x14ac:dyDescent="0.25">
      <c r="A3945" s="72" t="s">
        <v>4539</v>
      </c>
      <c r="B3945" s="72" t="s">
        <v>75</v>
      </c>
      <c r="C3945" s="73">
        <v>29</v>
      </c>
      <c r="D3945" s="73">
        <v>665882.51555819728</v>
      </c>
      <c r="E3945" s="72">
        <v>46611.776089073806</v>
      </c>
      <c r="F3945" s="72" t="s">
        <v>106</v>
      </c>
      <c r="G3945" s="72" t="s">
        <v>71</v>
      </c>
      <c r="H3945" s="72" t="s">
        <v>72</v>
      </c>
    </row>
    <row r="3946" spans="1:8" x14ac:dyDescent="0.25">
      <c r="A3946" s="43" t="s">
        <v>4556</v>
      </c>
      <c r="B3946" s="43" t="s">
        <v>93</v>
      </c>
      <c r="C3946" s="46">
        <v>29</v>
      </c>
      <c r="D3946" s="46">
        <v>765030.54719642201</v>
      </c>
      <c r="E3946" s="43">
        <v>45901.832831785316</v>
      </c>
      <c r="F3946" s="43" t="s">
        <v>87</v>
      </c>
      <c r="G3946" s="43" t="s">
        <v>71</v>
      </c>
      <c r="H3946" s="43" t="s">
        <v>88</v>
      </c>
    </row>
    <row r="3947" spans="1:8" x14ac:dyDescent="0.25">
      <c r="A3947" s="72" t="s">
        <v>4769</v>
      </c>
      <c r="B3947" s="72" t="s">
        <v>108</v>
      </c>
      <c r="C3947" s="73">
        <v>29</v>
      </c>
      <c r="D3947" s="73">
        <v>727971.5163145134</v>
      </c>
      <c r="E3947" s="72">
        <v>36398.575815725671</v>
      </c>
      <c r="F3947" s="72" t="s">
        <v>87</v>
      </c>
      <c r="G3947" s="72" t="s">
        <v>71</v>
      </c>
      <c r="H3947" s="72" t="s">
        <v>88</v>
      </c>
    </row>
    <row r="3948" spans="1:8" x14ac:dyDescent="0.25">
      <c r="A3948" s="72" t="s">
        <v>4126</v>
      </c>
      <c r="B3948" s="72" t="s">
        <v>77</v>
      </c>
      <c r="C3948" s="73">
        <v>29</v>
      </c>
      <c r="D3948" s="73">
        <v>782254.33759064507</v>
      </c>
      <c r="E3948" s="72">
        <v>62580.347007251607</v>
      </c>
      <c r="F3948" s="72" t="s">
        <v>78</v>
      </c>
      <c r="G3948" s="72" t="s">
        <v>71</v>
      </c>
      <c r="H3948" s="72" t="s">
        <v>72</v>
      </c>
    </row>
    <row r="3949" spans="1:8" x14ac:dyDescent="0.25">
      <c r="A3949" s="72" t="s">
        <v>2527</v>
      </c>
      <c r="B3949" s="72" t="s">
        <v>73</v>
      </c>
      <c r="C3949" s="73">
        <v>29</v>
      </c>
      <c r="D3949" s="73">
        <v>841922.04219503165</v>
      </c>
      <c r="E3949" s="72">
        <v>92611.424641453501</v>
      </c>
      <c r="F3949" s="72" t="s">
        <v>70</v>
      </c>
      <c r="G3949" s="72" t="s">
        <v>71</v>
      </c>
      <c r="H3949" s="72" t="s">
        <v>72</v>
      </c>
    </row>
    <row r="3950" spans="1:8" x14ac:dyDescent="0.25">
      <c r="A3950" s="72" t="s">
        <v>4430</v>
      </c>
      <c r="B3950" s="72" t="s">
        <v>97</v>
      </c>
      <c r="C3950" s="73">
        <v>29</v>
      </c>
      <c r="D3950" s="73">
        <v>724938.68574848992</v>
      </c>
      <c r="E3950" s="72">
        <v>50745.708002394291</v>
      </c>
      <c r="F3950" s="72" t="s">
        <v>70</v>
      </c>
      <c r="G3950" s="72" t="s">
        <v>71</v>
      </c>
      <c r="H3950" s="72" t="s">
        <v>72</v>
      </c>
    </row>
    <row r="3951" spans="1:8" x14ac:dyDescent="0.25">
      <c r="A3951" s="72" t="s">
        <v>3726</v>
      </c>
      <c r="B3951" s="72" t="s">
        <v>73</v>
      </c>
      <c r="C3951" s="73">
        <v>29</v>
      </c>
      <c r="D3951" s="73">
        <v>705985.34836817672</v>
      </c>
      <c r="E3951" s="72">
        <v>77658.388320499449</v>
      </c>
      <c r="F3951" s="72" t="s">
        <v>106</v>
      </c>
      <c r="G3951" s="72" t="s">
        <v>71</v>
      </c>
      <c r="H3951" s="72" t="s">
        <v>72</v>
      </c>
    </row>
    <row r="3952" spans="1:8" x14ac:dyDescent="0.25">
      <c r="A3952" s="72" t="s">
        <v>4728</v>
      </c>
      <c r="B3952" s="72" t="s">
        <v>73</v>
      </c>
      <c r="C3952" s="73">
        <v>29</v>
      </c>
      <c r="D3952" s="73">
        <v>651850.90880585008</v>
      </c>
      <c r="E3952" s="72">
        <v>39111.054528351015</v>
      </c>
      <c r="F3952" s="72" t="s">
        <v>106</v>
      </c>
      <c r="G3952" s="72" t="s">
        <v>71</v>
      </c>
      <c r="H3952" s="72" t="s">
        <v>72</v>
      </c>
    </row>
    <row r="3953" spans="1:8" x14ac:dyDescent="0.25">
      <c r="A3953" s="43" t="s">
        <v>4431</v>
      </c>
      <c r="B3953" s="43" t="s">
        <v>73</v>
      </c>
      <c r="C3953" s="46">
        <v>29</v>
      </c>
      <c r="D3953" s="46">
        <v>724938.68574848992</v>
      </c>
      <c r="E3953" s="43">
        <v>50745.708002394291</v>
      </c>
      <c r="F3953" s="43" t="s">
        <v>70</v>
      </c>
      <c r="G3953" s="43" t="s">
        <v>71</v>
      </c>
      <c r="H3953" s="43" t="s">
        <v>72</v>
      </c>
    </row>
    <row r="3954" spans="1:8" x14ac:dyDescent="0.25">
      <c r="A3954" s="72" t="s">
        <v>3034</v>
      </c>
      <c r="B3954" s="72" t="s">
        <v>73</v>
      </c>
      <c r="C3954" s="73">
        <v>29</v>
      </c>
      <c r="D3954" s="73">
        <v>884958.4390159637</v>
      </c>
      <c r="E3954" s="72">
        <v>115044.59707207528</v>
      </c>
      <c r="F3954" s="72" t="s">
        <v>70</v>
      </c>
      <c r="G3954" s="72" t="s">
        <v>71</v>
      </c>
      <c r="H3954" s="72" t="s">
        <v>72</v>
      </c>
    </row>
    <row r="3955" spans="1:8" x14ac:dyDescent="0.25">
      <c r="A3955" s="43" t="s">
        <v>2860</v>
      </c>
      <c r="B3955" s="43" t="s">
        <v>102</v>
      </c>
      <c r="C3955" s="46">
        <v>29</v>
      </c>
      <c r="D3955" s="46">
        <v>904328.27981973568</v>
      </c>
      <c r="E3955" s="43">
        <v>126605.95917476297</v>
      </c>
      <c r="F3955" s="43" t="s">
        <v>70</v>
      </c>
      <c r="G3955" s="43" t="s">
        <v>71</v>
      </c>
      <c r="H3955" s="43" t="s">
        <v>72</v>
      </c>
    </row>
    <row r="3956" spans="1:8" x14ac:dyDescent="0.25">
      <c r="A3956" s="43" t="s">
        <v>4770</v>
      </c>
      <c r="B3956" s="43" t="s">
        <v>73</v>
      </c>
      <c r="C3956" s="46">
        <v>29</v>
      </c>
      <c r="D3956" s="46">
        <v>727971.5163145134</v>
      </c>
      <c r="E3956" s="43">
        <v>36398.575815725671</v>
      </c>
      <c r="F3956" s="43" t="s">
        <v>87</v>
      </c>
      <c r="G3956" s="43" t="s">
        <v>71</v>
      </c>
      <c r="H3956" s="43" t="s">
        <v>88</v>
      </c>
    </row>
    <row r="3957" spans="1:8" x14ac:dyDescent="0.25">
      <c r="A3957" s="72" t="s">
        <v>3912</v>
      </c>
      <c r="B3957" s="72" t="s">
        <v>73</v>
      </c>
      <c r="C3957" s="73">
        <v>29</v>
      </c>
      <c r="D3957" s="73">
        <v>879391.41354712297</v>
      </c>
      <c r="E3957" s="72">
        <v>70351.313083769841</v>
      </c>
      <c r="F3957" s="72" t="s">
        <v>84</v>
      </c>
      <c r="G3957" s="72" t="s">
        <v>71</v>
      </c>
      <c r="H3957" s="72" t="s">
        <v>72</v>
      </c>
    </row>
    <row r="3958" spans="1:8" x14ac:dyDescent="0.25">
      <c r="A3958" s="43" t="s">
        <v>3363</v>
      </c>
      <c r="B3958" s="43" t="s">
        <v>75</v>
      </c>
      <c r="C3958" s="46">
        <v>29</v>
      </c>
      <c r="D3958" s="46">
        <v>865991.80870054127</v>
      </c>
      <c r="E3958" s="43">
        <v>95259.098957059556</v>
      </c>
      <c r="F3958" s="43" t="s">
        <v>78</v>
      </c>
      <c r="G3958" s="43" t="s">
        <v>71</v>
      </c>
      <c r="H3958" s="43" t="s">
        <v>72</v>
      </c>
    </row>
    <row r="3959" spans="1:8" x14ac:dyDescent="0.25">
      <c r="A3959" s="43" t="s">
        <v>3223</v>
      </c>
      <c r="B3959" s="43" t="s">
        <v>2379</v>
      </c>
      <c r="C3959" s="46">
        <v>29</v>
      </c>
      <c r="D3959" s="46">
        <v>864249.54382557957</v>
      </c>
      <c r="E3959" s="43">
        <v>103709.94525906957</v>
      </c>
      <c r="F3959" s="43" t="s">
        <v>70</v>
      </c>
      <c r="G3959" s="43" t="s">
        <v>71</v>
      </c>
      <c r="H3959" s="43" t="s">
        <v>72</v>
      </c>
    </row>
    <row r="3960" spans="1:8" x14ac:dyDescent="0.25">
      <c r="A3960" s="43" t="s">
        <v>3413</v>
      </c>
      <c r="B3960" s="43" t="s">
        <v>93</v>
      </c>
      <c r="C3960" s="46">
        <v>29</v>
      </c>
      <c r="D3960" s="46">
        <v>841922.04219503165</v>
      </c>
      <c r="E3960" s="43">
        <v>92611.424641453501</v>
      </c>
      <c r="F3960" s="43" t="s">
        <v>70</v>
      </c>
      <c r="G3960" s="43" t="s">
        <v>71</v>
      </c>
      <c r="H3960" s="43" t="s">
        <v>72</v>
      </c>
    </row>
    <row r="3961" spans="1:8" x14ac:dyDescent="0.25">
      <c r="A3961" s="72" t="s">
        <v>4138</v>
      </c>
      <c r="B3961" s="72" t="s">
        <v>73</v>
      </c>
      <c r="C3961" s="73">
        <v>29</v>
      </c>
      <c r="D3961" s="73">
        <v>688260.55355255527</v>
      </c>
      <c r="E3961" s="72">
        <v>61943.449819729969</v>
      </c>
      <c r="F3961" s="72" t="s">
        <v>106</v>
      </c>
      <c r="G3961" s="72" t="s">
        <v>71</v>
      </c>
      <c r="H3961" s="72" t="s">
        <v>72</v>
      </c>
    </row>
    <row r="3962" spans="1:8" x14ac:dyDescent="0.25">
      <c r="A3962" s="72" t="s">
        <v>4432</v>
      </c>
      <c r="B3962" s="72" t="s">
        <v>97</v>
      </c>
      <c r="C3962" s="73">
        <v>29</v>
      </c>
      <c r="D3962" s="73">
        <v>724938.68574848992</v>
      </c>
      <c r="E3962" s="72">
        <v>50745.708002394291</v>
      </c>
      <c r="F3962" s="72" t="s">
        <v>70</v>
      </c>
      <c r="G3962" s="72" t="s">
        <v>71</v>
      </c>
      <c r="H3962" s="72" t="s">
        <v>72</v>
      </c>
    </row>
    <row r="3963" spans="1:8" x14ac:dyDescent="0.25">
      <c r="A3963" s="72" t="s">
        <v>4557</v>
      </c>
      <c r="B3963" s="72" t="s">
        <v>93</v>
      </c>
      <c r="C3963" s="73">
        <v>29</v>
      </c>
      <c r="D3963" s="73">
        <v>765030.54719642201</v>
      </c>
      <c r="E3963" s="72">
        <v>45901.832831785316</v>
      </c>
      <c r="F3963" s="72" t="s">
        <v>87</v>
      </c>
      <c r="G3963" s="72" t="s">
        <v>71</v>
      </c>
      <c r="H3963" s="72" t="s">
        <v>88</v>
      </c>
    </row>
    <row r="3964" spans="1:8" x14ac:dyDescent="0.25">
      <c r="A3964" s="43" t="s">
        <v>3785</v>
      </c>
      <c r="B3964" s="43" t="s">
        <v>93</v>
      </c>
      <c r="C3964" s="46">
        <v>29</v>
      </c>
      <c r="D3964" s="46">
        <v>839821.4358166703</v>
      </c>
      <c r="E3964" s="43">
        <v>75583.929223500323</v>
      </c>
      <c r="F3964" s="43" t="s">
        <v>87</v>
      </c>
      <c r="G3964" s="43" t="s">
        <v>71</v>
      </c>
      <c r="H3964" s="43" t="s">
        <v>88</v>
      </c>
    </row>
    <row r="3965" spans="1:8" x14ac:dyDescent="0.25">
      <c r="A3965" s="43" t="s">
        <v>3035</v>
      </c>
      <c r="B3965" s="43" t="s">
        <v>75</v>
      </c>
      <c r="C3965" s="46">
        <v>29</v>
      </c>
      <c r="D3965" s="46">
        <v>884958.4390159637</v>
      </c>
      <c r="E3965" s="43">
        <v>115044.59707207528</v>
      </c>
      <c r="F3965" s="43" t="s">
        <v>70</v>
      </c>
      <c r="G3965" s="43" t="s">
        <v>71</v>
      </c>
      <c r="H3965" s="43" t="s">
        <v>72</v>
      </c>
    </row>
    <row r="3966" spans="1:8" x14ac:dyDescent="0.25">
      <c r="A3966" s="43" t="s">
        <v>3545</v>
      </c>
      <c r="B3966" s="43" t="s">
        <v>77</v>
      </c>
      <c r="C3966" s="46">
        <v>29</v>
      </c>
      <c r="D3966" s="46">
        <v>858676.22614300868</v>
      </c>
      <c r="E3966" s="43">
        <v>85867.622614300868</v>
      </c>
      <c r="F3966" s="43" t="s">
        <v>87</v>
      </c>
      <c r="G3966" s="43" t="s">
        <v>71</v>
      </c>
      <c r="H3966" s="43" t="s">
        <v>88</v>
      </c>
    </row>
    <row r="3967" spans="1:8" x14ac:dyDescent="0.25">
      <c r="A3967" s="72" t="s">
        <v>2804</v>
      </c>
      <c r="B3967" s="72" t="s">
        <v>73</v>
      </c>
      <c r="C3967" s="73">
        <v>29</v>
      </c>
      <c r="D3967" s="73">
        <v>930017.22534440819</v>
      </c>
      <c r="E3967" s="72">
        <v>130202.41154821713</v>
      </c>
      <c r="F3967" s="72" t="s">
        <v>78</v>
      </c>
      <c r="G3967" s="72" t="s">
        <v>71</v>
      </c>
      <c r="H3967" s="72" t="s">
        <v>72</v>
      </c>
    </row>
    <row r="3968" spans="1:8" x14ac:dyDescent="0.25">
      <c r="A3968" s="43" t="s">
        <v>3157</v>
      </c>
      <c r="B3968" s="43" t="s">
        <v>73</v>
      </c>
      <c r="C3968" s="46">
        <v>29</v>
      </c>
      <c r="D3968" s="46">
        <v>891347.91101727867</v>
      </c>
      <c r="E3968" s="43">
        <v>106961.74932207343</v>
      </c>
      <c r="F3968" s="43" t="s">
        <v>87</v>
      </c>
      <c r="G3968" s="43" t="s">
        <v>71</v>
      </c>
      <c r="H3968" s="43" t="s">
        <v>88</v>
      </c>
    </row>
    <row r="3969" spans="1:8" x14ac:dyDescent="0.25">
      <c r="A3969" s="72" t="s">
        <v>3002</v>
      </c>
      <c r="B3969" s="72" t="s">
        <v>73</v>
      </c>
      <c r="C3969" s="73">
        <v>29</v>
      </c>
      <c r="D3969" s="73">
        <v>905795.07203044684</v>
      </c>
      <c r="E3969" s="72">
        <v>117753.35936395809</v>
      </c>
      <c r="F3969" s="72" t="s">
        <v>87</v>
      </c>
      <c r="G3969" s="72" t="s">
        <v>71</v>
      </c>
      <c r="H3969" s="72" t="s">
        <v>88</v>
      </c>
    </row>
    <row r="3970" spans="1:8" x14ac:dyDescent="0.25">
      <c r="A3970" s="72" t="s">
        <v>4771</v>
      </c>
      <c r="B3970" s="72" t="s">
        <v>73</v>
      </c>
      <c r="C3970" s="73">
        <v>29</v>
      </c>
      <c r="D3970" s="73">
        <v>727971.5163145134</v>
      </c>
      <c r="E3970" s="72">
        <v>36398.575815725671</v>
      </c>
      <c r="F3970" s="72" t="s">
        <v>87</v>
      </c>
      <c r="G3970" s="72" t="s">
        <v>71</v>
      </c>
      <c r="H3970" s="72" t="s">
        <v>88</v>
      </c>
    </row>
    <row r="3971" spans="1:8" x14ac:dyDescent="0.25">
      <c r="A3971" s="72" t="s">
        <v>3786</v>
      </c>
      <c r="B3971" s="72" t="s">
        <v>93</v>
      </c>
      <c r="C3971" s="73">
        <v>29</v>
      </c>
      <c r="D3971" s="73">
        <v>839821.4358166703</v>
      </c>
      <c r="E3971" s="72">
        <v>75583.929223500323</v>
      </c>
      <c r="F3971" s="72" t="s">
        <v>87</v>
      </c>
      <c r="G3971" s="72" t="s">
        <v>71</v>
      </c>
      <c r="H3971" s="72" t="s">
        <v>88</v>
      </c>
    </row>
    <row r="3972" spans="1:8" x14ac:dyDescent="0.25">
      <c r="A3972" s="72" t="s">
        <v>3346</v>
      </c>
      <c r="B3972" s="72" t="s">
        <v>73</v>
      </c>
      <c r="C3972" s="73">
        <v>29</v>
      </c>
      <c r="D3972" s="73">
        <v>875728.83346406149</v>
      </c>
      <c r="E3972" s="72">
        <v>96330.171681046777</v>
      </c>
      <c r="F3972" s="72" t="s">
        <v>87</v>
      </c>
      <c r="G3972" s="72" t="s">
        <v>71</v>
      </c>
      <c r="H3972" s="72" t="s">
        <v>88</v>
      </c>
    </row>
    <row r="3973" spans="1:8" x14ac:dyDescent="0.25">
      <c r="A3973" s="72" t="s">
        <v>3364</v>
      </c>
      <c r="B3973" s="72" t="s">
        <v>75</v>
      </c>
      <c r="C3973" s="73">
        <v>29</v>
      </c>
      <c r="D3973" s="73">
        <v>865991.80870054127</v>
      </c>
      <c r="E3973" s="72">
        <v>95259.098957059556</v>
      </c>
      <c r="F3973" s="72" t="s">
        <v>78</v>
      </c>
      <c r="G3973" s="72" t="s">
        <v>71</v>
      </c>
      <c r="H3973" s="72" t="s">
        <v>72</v>
      </c>
    </row>
    <row r="3974" spans="1:8" x14ac:dyDescent="0.25">
      <c r="A3974" s="72" t="s">
        <v>2986</v>
      </c>
      <c r="B3974" s="72" t="s">
        <v>73</v>
      </c>
      <c r="C3974" s="73">
        <v>29</v>
      </c>
      <c r="D3974" s="73">
        <v>910144.81875510362</v>
      </c>
      <c r="E3974" s="72">
        <v>118318.82643816348</v>
      </c>
      <c r="F3974" s="72" t="s">
        <v>78</v>
      </c>
      <c r="G3974" s="72" t="s">
        <v>71</v>
      </c>
      <c r="H3974" s="72" t="s">
        <v>72</v>
      </c>
    </row>
    <row r="3975" spans="1:8" x14ac:dyDescent="0.25">
      <c r="A3975" s="43" t="s">
        <v>3895</v>
      </c>
      <c r="B3975" s="43" t="s">
        <v>97</v>
      </c>
      <c r="C3975" s="46">
        <v>29</v>
      </c>
      <c r="D3975" s="46">
        <v>790676.26269972906</v>
      </c>
      <c r="E3975" s="43">
        <v>71160.863642975615</v>
      </c>
      <c r="F3975" s="43" t="s">
        <v>70</v>
      </c>
      <c r="G3975" s="43" t="s">
        <v>71</v>
      </c>
      <c r="H3975" s="43" t="s">
        <v>72</v>
      </c>
    </row>
    <row r="3976" spans="1:8" x14ac:dyDescent="0.25">
      <c r="A3976" s="72" t="s">
        <v>3705</v>
      </c>
      <c r="B3976" s="72" t="s">
        <v>73</v>
      </c>
      <c r="C3976" s="73">
        <v>28</v>
      </c>
      <c r="D3976" s="73">
        <v>789006.11529342725</v>
      </c>
      <c r="E3976" s="72">
        <v>78900.611529342728</v>
      </c>
      <c r="F3976" s="72" t="s">
        <v>70</v>
      </c>
      <c r="G3976" s="72" t="s">
        <v>71</v>
      </c>
      <c r="H3976" s="72" t="s">
        <v>72</v>
      </c>
    </row>
    <row r="3977" spans="1:8" x14ac:dyDescent="0.25">
      <c r="A3977" s="43" t="s">
        <v>3953</v>
      </c>
      <c r="B3977" s="43" t="s">
        <v>81</v>
      </c>
      <c r="C3977" s="46">
        <v>28</v>
      </c>
      <c r="D3977" s="46">
        <v>763023.30838520231</v>
      </c>
      <c r="E3977" s="43">
        <v>68672.097754668212</v>
      </c>
      <c r="F3977" s="43" t="s">
        <v>70</v>
      </c>
      <c r="G3977" s="43" t="s">
        <v>71</v>
      </c>
      <c r="H3977" s="43" t="s">
        <v>72</v>
      </c>
    </row>
    <row r="3978" spans="1:8" x14ac:dyDescent="0.25">
      <c r="A3978" s="72" t="s">
        <v>3836</v>
      </c>
      <c r="B3978" s="72" t="s">
        <v>73</v>
      </c>
      <c r="C3978" s="73">
        <v>28</v>
      </c>
      <c r="D3978" s="73">
        <v>810525.18171961477</v>
      </c>
      <c r="E3978" s="72">
        <v>72947.266354765321</v>
      </c>
      <c r="F3978" s="72" t="s">
        <v>87</v>
      </c>
      <c r="G3978" s="72" t="s">
        <v>71</v>
      </c>
      <c r="H3978" s="72" t="s">
        <v>88</v>
      </c>
    </row>
    <row r="3979" spans="1:8" x14ac:dyDescent="0.25">
      <c r="A3979" s="72" t="s">
        <v>3403</v>
      </c>
      <c r="B3979" s="72" t="s">
        <v>73</v>
      </c>
      <c r="C3979" s="73">
        <v>28</v>
      </c>
      <c r="D3979" s="73">
        <v>845194.39324123401</v>
      </c>
      <c r="E3979" s="72">
        <v>92971.383256535759</v>
      </c>
      <c r="F3979" s="72" t="s">
        <v>87</v>
      </c>
      <c r="G3979" s="72" t="s">
        <v>71</v>
      </c>
      <c r="H3979" s="72" t="s">
        <v>88</v>
      </c>
    </row>
    <row r="3980" spans="1:8" x14ac:dyDescent="0.25">
      <c r="A3980" s="43" t="s">
        <v>3604</v>
      </c>
      <c r="B3980" s="43" t="s">
        <v>73</v>
      </c>
      <c r="C3980" s="46">
        <v>28</v>
      </c>
      <c r="D3980" s="46">
        <v>828729.80686228641</v>
      </c>
      <c r="E3980" s="43">
        <v>82872.98068622865</v>
      </c>
      <c r="F3980" s="43" t="s">
        <v>87</v>
      </c>
      <c r="G3980" s="43" t="s">
        <v>71</v>
      </c>
      <c r="H3980" s="43" t="s">
        <v>88</v>
      </c>
    </row>
    <row r="3981" spans="1:8" x14ac:dyDescent="0.25">
      <c r="A3981" s="72" t="s">
        <v>4341</v>
      </c>
      <c r="B3981" s="72" t="s">
        <v>93</v>
      </c>
      <c r="C3981" s="73">
        <v>28</v>
      </c>
      <c r="D3981" s="73">
        <v>766473.43939690175</v>
      </c>
      <c r="E3981" s="72">
        <v>53653.14075778312</v>
      </c>
      <c r="F3981" s="72" t="s">
        <v>87</v>
      </c>
      <c r="G3981" s="72" t="s">
        <v>71</v>
      </c>
      <c r="H3981" s="72" t="s">
        <v>88</v>
      </c>
    </row>
    <row r="3982" spans="1:8" x14ac:dyDescent="0.25">
      <c r="A3982" s="72" t="s">
        <v>3605</v>
      </c>
      <c r="B3982" s="72" t="s">
        <v>1247</v>
      </c>
      <c r="C3982" s="73">
        <v>28</v>
      </c>
      <c r="D3982" s="73">
        <v>828729.80686228641</v>
      </c>
      <c r="E3982" s="72">
        <v>82872.98068622865</v>
      </c>
      <c r="F3982" s="72" t="s">
        <v>87</v>
      </c>
      <c r="G3982" s="72" t="s">
        <v>71</v>
      </c>
      <c r="H3982" s="72" t="s">
        <v>88</v>
      </c>
    </row>
    <row r="3983" spans="1:8" x14ac:dyDescent="0.25">
      <c r="A3983" s="72" t="s">
        <v>3280</v>
      </c>
      <c r="B3983" s="72" t="s">
        <v>73</v>
      </c>
      <c r="C3983" s="73">
        <v>28</v>
      </c>
      <c r="D3983" s="73">
        <v>834059.57981705782</v>
      </c>
      <c r="E3983" s="72">
        <v>100087.14957804696</v>
      </c>
      <c r="F3983" s="72" t="s">
        <v>70</v>
      </c>
      <c r="G3983" s="72" t="s">
        <v>71</v>
      </c>
      <c r="H3983" s="72" t="s">
        <v>72</v>
      </c>
    </row>
    <row r="3984" spans="1:8" x14ac:dyDescent="0.25">
      <c r="A3984" s="43" t="s">
        <v>3612</v>
      </c>
      <c r="B3984" s="43" t="s">
        <v>93</v>
      </c>
      <c r="C3984" s="46">
        <v>28</v>
      </c>
      <c r="D3984" s="46">
        <v>688695.21544422407</v>
      </c>
      <c r="E3984" s="43">
        <v>82643.425853306879</v>
      </c>
      <c r="F3984" s="43" t="s">
        <v>106</v>
      </c>
      <c r="G3984" s="43" t="s">
        <v>71</v>
      </c>
      <c r="H3984" s="43" t="s">
        <v>72</v>
      </c>
    </row>
    <row r="3985" spans="1:8" x14ac:dyDescent="0.25">
      <c r="A3985" s="72" t="s">
        <v>3904</v>
      </c>
      <c r="B3985" s="72" t="s">
        <v>75</v>
      </c>
      <c r="C3985" s="73">
        <v>28</v>
      </c>
      <c r="D3985" s="73">
        <v>784918.37347396393</v>
      </c>
      <c r="E3985" s="72">
        <v>70642.653612656752</v>
      </c>
      <c r="F3985" s="72" t="s">
        <v>78</v>
      </c>
      <c r="G3985" s="72" t="s">
        <v>71</v>
      </c>
      <c r="H3985" s="72" t="s">
        <v>72</v>
      </c>
    </row>
    <row r="3986" spans="1:8" x14ac:dyDescent="0.25">
      <c r="A3986" s="72" t="s">
        <v>3954</v>
      </c>
      <c r="B3986" s="72" t="s">
        <v>97</v>
      </c>
      <c r="C3986" s="73">
        <v>28</v>
      </c>
      <c r="D3986" s="73">
        <v>763023.30838520231</v>
      </c>
      <c r="E3986" s="72">
        <v>68672.097754668212</v>
      </c>
      <c r="F3986" s="72" t="s">
        <v>70</v>
      </c>
      <c r="G3986" s="72" t="s">
        <v>71</v>
      </c>
      <c r="H3986" s="72" t="s">
        <v>72</v>
      </c>
    </row>
    <row r="3987" spans="1:8" x14ac:dyDescent="0.25">
      <c r="A3987" s="43" t="s">
        <v>4576</v>
      </c>
      <c r="B3987" s="43" t="s">
        <v>75</v>
      </c>
      <c r="C3987" s="46">
        <v>28</v>
      </c>
      <c r="D3987" s="46">
        <v>642540.69674242265</v>
      </c>
      <c r="E3987" s="43">
        <v>44977.848771969584</v>
      </c>
      <c r="F3987" s="43" t="s">
        <v>106</v>
      </c>
      <c r="G3987" s="43" t="s">
        <v>71</v>
      </c>
      <c r="H3987" s="43" t="s">
        <v>72</v>
      </c>
    </row>
    <row r="3988" spans="1:8" x14ac:dyDescent="0.25">
      <c r="A3988" s="72" t="s">
        <v>4447</v>
      </c>
      <c r="B3988" s="72" t="s">
        <v>75</v>
      </c>
      <c r="C3988" s="73">
        <v>28</v>
      </c>
      <c r="D3988" s="73">
        <v>719800.81052731373</v>
      </c>
      <c r="E3988" s="72">
        <v>50386.056736911953</v>
      </c>
      <c r="F3988" s="72" t="s">
        <v>78</v>
      </c>
      <c r="G3988" s="72" t="s">
        <v>71</v>
      </c>
      <c r="H3988" s="72" t="s">
        <v>72</v>
      </c>
    </row>
    <row r="3989" spans="1:8" x14ac:dyDescent="0.25">
      <c r="A3989" s="72" t="s">
        <v>3046</v>
      </c>
      <c r="B3989" s="72" t="s">
        <v>75</v>
      </c>
      <c r="C3989" s="73">
        <v>28</v>
      </c>
      <c r="D3989" s="73">
        <v>878311.31303383666</v>
      </c>
      <c r="E3989" s="72">
        <v>114180.47069439877</v>
      </c>
      <c r="F3989" s="72" t="s">
        <v>78</v>
      </c>
      <c r="G3989" s="72" t="s">
        <v>71</v>
      </c>
      <c r="H3989" s="72" t="s">
        <v>72</v>
      </c>
    </row>
    <row r="3990" spans="1:8" x14ac:dyDescent="0.25">
      <c r="A3990" s="72" t="s">
        <v>4577</v>
      </c>
      <c r="B3990" s="72" t="s">
        <v>73</v>
      </c>
      <c r="C3990" s="73">
        <v>28</v>
      </c>
      <c r="D3990" s="73">
        <v>642540.69674242265</v>
      </c>
      <c r="E3990" s="72">
        <v>44977.848771969584</v>
      </c>
      <c r="F3990" s="72" t="s">
        <v>106</v>
      </c>
      <c r="G3990" s="72" t="s">
        <v>71</v>
      </c>
      <c r="H3990" s="72" t="s">
        <v>72</v>
      </c>
    </row>
    <row r="3991" spans="1:8" x14ac:dyDescent="0.25">
      <c r="A3991" s="43" t="s">
        <v>3093</v>
      </c>
      <c r="B3991" s="43" t="s">
        <v>73</v>
      </c>
      <c r="C3991" s="46">
        <v>28</v>
      </c>
      <c r="D3991" s="46">
        <v>854054.37517329084</v>
      </c>
      <c r="E3991" s="43">
        <v>111027.06877252781</v>
      </c>
      <c r="F3991" s="43" t="s">
        <v>70</v>
      </c>
      <c r="G3991" s="43" t="s">
        <v>71</v>
      </c>
      <c r="H3991" s="43" t="s">
        <v>72</v>
      </c>
    </row>
    <row r="3992" spans="1:8" x14ac:dyDescent="0.25">
      <c r="A3992" s="43" t="s">
        <v>4108</v>
      </c>
      <c r="B3992" s="43" t="s">
        <v>73</v>
      </c>
      <c r="C3992" s="46">
        <v>28</v>
      </c>
      <c r="D3992" s="46">
        <v>790052.69736583321</v>
      </c>
      <c r="E3992" s="43">
        <v>63204.215789266658</v>
      </c>
      <c r="F3992" s="43" t="s">
        <v>87</v>
      </c>
      <c r="G3992" s="43" t="s">
        <v>71</v>
      </c>
      <c r="H3992" s="43" t="s">
        <v>88</v>
      </c>
    </row>
    <row r="3993" spans="1:8" x14ac:dyDescent="0.25">
      <c r="A3993" s="43" t="s">
        <v>4209</v>
      </c>
      <c r="B3993" s="43" t="s">
        <v>73</v>
      </c>
      <c r="C3993" s="46">
        <v>28</v>
      </c>
      <c r="D3993" s="46">
        <v>733696.68571085937</v>
      </c>
      <c r="E3993" s="43">
        <v>58695.734856868752</v>
      </c>
      <c r="F3993" s="43" t="s">
        <v>70</v>
      </c>
      <c r="G3993" s="43" t="s">
        <v>71</v>
      </c>
      <c r="H3993" s="43" t="s">
        <v>72</v>
      </c>
    </row>
    <row r="3994" spans="1:8" x14ac:dyDescent="0.25">
      <c r="A3994" s="72" t="s">
        <v>4384</v>
      </c>
      <c r="B3994" s="72" t="s">
        <v>75</v>
      </c>
      <c r="C3994" s="73">
        <v>28</v>
      </c>
      <c r="D3994" s="73">
        <v>654067.74904408876</v>
      </c>
      <c r="E3994" s="72">
        <v>52325.419923527101</v>
      </c>
      <c r="F3994" s="72" t="s">
        <v>106</v>
      </c>
      <c r="G3994" s="72" t="s">
        <v>71</v>
      </c>
      <c r="H3994" s="72" t="s">
        <v>72</v>
      </c>
    </row>
    <row r="3995" spans="1:8" x14ac:dyDescent="0.25">
      <c r="A3995" s="43" t="s">
        <v>3955</v>
      </c>
      <c r="B3995" s="43" t="s">
        <v>97</v>
      </c>
      <c r="C3995" s="46">
        <v>28</v>
      </c>
      <c r="D3995" s="46">
        <v>763023.30838520231</v>
      </c>
      <c r="E3995" s="43">
        <v>68672.097754668212</v>
      </c>
      <c r="F3995" s="43" t="s">
        <v>70</v>
      </c>
      <c r="G3995" s="43" t="s">
        <v>71</v>
      </c>
      <c r="H3995" s="43" t="s">
        <v>72</v>
      </c>
    </row>
    <row r="3996" spans="1:8" x14ac:dyDescent="0.25">
      <c r="A3996" s="43" t="s">
        <v>3465</v>
      </c>
      <c r="B3996" s="43" t="s">
        <v>97</v>
      </c>
      <c r="C3996" s="46">
        <v>28</v>
      </c>
      <c r="D3996" s="46">
        <v>812501.99203583912</v>
      </c>
      <c r="E3996" s="43">
        <v>89375.219123942312</v>
      </c>
      <c r="F3996" s="43" t="s">
        <v>70</v>
      </c>
      <c r="G3996" s="43" t="s">
        <v>71</v>
      </c>
      <c r="H3996" s="43" t="s">
        <v>72</v>
      </c>
    </row>
    <row r="3997" spans="1:8" x14ac:dyDescent="0.25">
      <c r="A3997" s="72" t="s">
        <v>3956</v>
      </c>
      <c r="B3997" s="72" t="s">
        <v>102</v>
      </c>
      <c r="C3997" s="73">
        <v>28</v>
      </c>
      <c r="D3997" s="73">
        <v>763023.30838520231</v>
      </c>
      <c r="E3997" s="72">
        <v>68672.097754668212</v>
      </c>
      <c r="F3997" s="72" t="s">
        <v>70</v>
      </c>
      <c r="G3997" s="72" t="s">
        <v>71</v>
      </c>
      <c r="H3997" s="72" t="s">
        <v>72</v>
      </c>
    </row>
    <row r="3998" spans="1:8" x14ac:dyDescent="0.25">
      <c r="A3998" s="72" t="s">
        <v>4867</v>
      </c>
      <c r="B3998" s="72" t="s">
        <v>93</v>
      </c>
      <c r="C3998" s="73">
        <v>28</v>
      </c>
      <c r="D3998" s="73">
        <v>612395.73636226717</v>
      </c>
      <c r="E3998" s="72">
        <v>30619.78681811336</v>
      </c>
      <c r="F3998" s="72" t="s">
        <v>106</v>
      </c>
      <c r="G3998" s="72" t="s">
        <v>71</v>
      </c>
      <c r="H3998" s="72" t="s">
        <v>72</v>
      </c>
    </row>
    <row r="3999" spans="1:8" x14ac:dyDescent="0.25">
      <c r="A3999" s="43" t="s">
        <v>3047</v>
      </c>
      <c r="B3999" s="43" t="s">
        <v>75</v>
      </c>
      <c r="C3999" s="46">
        <v>28</v>
      </c>
      <c r="D3999" s="46">
        <v>878311.31303383666</v>
      </c>
      <c r="E3999" s="43">
        <v>114180.47069439877</v>
      </c>
      <c r="F3999" s="43" t="s">
        <v>78</v>
      </c>
      <c r="G3999" s="43" t="s">
        <v>71</v>
      </c>
      <c r="H3999" s="43" t="s">
        <v>72</v>
      </c>
    </row>
    <row r="4000" spans="1:8" x14ac:dyDescent="0.25">
      <c r="A4000" s="72" t="s">
        <v>4589</v>
      </c>
      <c r="B4000" s="72" t="s">
        <v>93</v>
      </c>
      <c r="C4000" s="73">
        <v>28</v>
      </c>
      <c r="D4000" s="73">
        <v>738313.28925868555</v>
      </c>
      <c r="E4000" s="72">
        <v>44298.797355521128</v>
      </c>
      <c r="F4000" s="72" t="s">
        <v>87</v>
      </c>
      <c r="G4000" s="72" t="s">
        <v>71</v>
      </c>
      <c r="H4000" s="72" t="s">
        <v>88</v>
      </c>
    </row>
    <row r="4001" spans="1:8" x14ac:dyDescent="0.25">
      <c r="A4001" s="43" t="s">
        <v>4342</v>
      </c>
      <c r="B4001" s="43" t="s">
        <v>93</v>
      </c>
      <c r="C4001" s="46">
        <v>28</v>
      </c>
      <c r="D4001" s="46">
        <v>766473.43939690175</v>
      </c>
      <c r="E4001" s="43">
        <v>53653.14075778312</v>
      </c>
      <c r="F4001" s="43" t="s">
        <v>87</v>
      </c>
      <c r="G4001" s="43" t="s">
        <v>71</v>
      </c>
      <c r="H4001" s="43" t="s">
        <v>88</v>
      </c>
    </row>
    <row r="4002" spans="1:8" x14ac:dyDescent="0.25">
      <c r="A4002" s="72" t="s">
        <v>2918</v>
      </c>
      <c r="B4002" s="72" t="s">
        <v>73</v>
      </c>
      <c r="C4002" s="73">
        <v>28</v>
      </c>
      <c r="D4002" s="73">
        <v>872756.29043210507</v>
      </c>
      <c r="E4002" s="72">
        <v>122185.8806604947</v>
      </c>
      <c r="F4002" s="72" t="s">
        <v>70</v>
      </c>
      <c r="G4002" s="72" t="s">
        <v>71</v>
      </c>
      <c r="H4002" s="72" t="s">
        <v>72</v>
      </c>
    </row>
    <row r="4003" spans="1:8" x14ac:dyDescent="0.25">
      <c r="A4003" s="72" t="s">
        <v>4343</v>
      </c>
      <c r="B4003" s="72" t="s">
        <v>93</v>
      </c>
      <c r="C4003" s="73">
        <v>28</v>
      </c>
      <c r="D4003" s="73">
        <v>766473.43939690175</v>
      </c>
      <c r="E4003" s="72">
        <v>53653.14075778312</v>
      </c>
      <c r="F4003" s="72" t="s">
        <v>87</v>
      </c>
      <c r="G4003" s="72" t="s">
        <v>71</v>
      </c>
      <c r="H4003" s="72" t="s">
        <v>88</v>
      </c>
    </row>
    <row r="4004" spans="1:8" x14ac:dyDescent="0.25">
      <c r="A4004" s="72" t="s">
        <v>3466</v>
      </c>
      <c r="B4004" s="72" t="s">
        <v>107</v>
      </c>
      <c r="C4004" s="73">
        <v>28</v>
      </c>
      <c r="D4004" s="73">
        <v>812501.99203583912</v>
      </c>
      <c r="E4004" s="72">
        <v>89375.219123942312</v>
      </c>
      <c r="F4004" s="72" t="s">
        <v>70</v>
      </c>
      <c r="G4004" s="72" t="s">
        <v>71</v>
      </c>
      <c r="H4004" s="72" t="s">
        <v>72</v>
      </c>
    </row>
    <row r="4005" spans="1:8" x14ac:dyDescent="0.25">
      <c r="A4005" s="72" t="s">
        <v>4790</v>
      </c>
      <c r="B4005" s="72" t="s">
        <v>73</v>
      </c>
      <c r="C4005" s="73">
        <v>28</v>
      </c>
      <c r="D4005" s="73">
        <v>702532.15599339444</v>
      </c>
      <c r="E4005" s="72">
        <v>35126.60779966972</v>
      </c>
      <c r="F4005" s="72" t="s">
        <v>87</v>
      </c>
      <c r="G4005" s="72" t="s">
        <v>71</v>
      </c>
      <c r="H4005" s="72" t="s">
        <v>88</v>
      </c>
    </row>
    <row r="4006" spans="1:8" x14ac:dyDescent="0.25">
      <c r="A4006" s="43" t="s">
        <v>3404</v>
      </c>
      <c r="B4006" s="43" t="s">
        <v>73</v>
      </c>
      <c r="C4006" s="46">
        <v>28</v>
      </c>
      <c r="D4006" s="46">
        <v>845194.39324123401</v>
      </c>
      <c r="E4006" s="43">
        <v>92971.383256535759</v>
      </c>
      <c r="F4006" s="43" t="s">
        <v>87</v>
      </c>
      <c r="G4006" s="43" t="s">
        <v>71</v>
      </c>
      <c r="H4006" s="43" t="s">
        <v>88</v>
      </c>
    </row>
    <row r="4007" spans="1:8" x14ac:dyDescent="0.25">
      <c r="A4007" s="43" t="s">
        <v>2919</v>
      </c>
      <c r="B4007" s="43" t="s">
        <v>102</v>
      </c>
      <c r="C4007" s="46">
        <v>28</v>
      </c>
      <c r="D4007" s="46">
        <v>872756.29043210507</v>
      </c>
      <c r="E4007" s="43">
        <v>122185.8806604947</v>
      </c>
      <c r="F4007" s="43" t="s">
        <v>70</v>
      </c>
      <c r="G4007" s="43" t="s">
        <v>71</v>
      </c>
      <c r="H4007" s="43" t="s">
        <v>72</v>
      </c>
    </row>
    <row r="4008" spans="1:8" x14ac:dyDescent="0.25">
      <c r="A4008" s="72" t="s">
        <v>4109</v>
      </c>
      <c r="B4008" s="72" t="s">
        <v>93</v>
      </c>
      <c r="C4008" s="73">
        <v>28</v>
      </c>
      <c r="D4008" s="73">
        <v>790052.69736583321</v>
      </c>
      <c r="E4008" s="72">
        <v>63204.215789266658</v>
      </c>
      <c r="F4008" s="72" t="s">
        <v>87</v>
      </c>
      <c r="G4008" s="72" t="s">
        <v>71</v>
      </c>
      <c r="H4008" s="72" t="s">
        <v>88</v>
      </c>
    </row>
    <row r="4009" spans="1:8" x14ac:dyDescent="0.25">
      <c r="A4009" s="43" t="s">
        <v>4110</v>
      </c>
      <c r="B4009" s="43" t="s">
        <v>73</v>
      </c>
      <c r="C4009" s="46">
        <v>28</v>
      </c>
      <c r="D4009" s="46">
        <v>790052.69736583321</v>
      </c>
      <c r="E4009" s="43">
        <v>63204.215789266658</v>
      </c>
      <c r="F4009" s="43" t="s">
        <v>87</v>
      </c>
      <c r="G4009" s="43" t="s">
        <v>71</v>
      </c>
      <c r="H4009" s="43" t="s">
        <v>88</v>
      </c>
    </row>
    <row r="4010" spans="1:8" x14ac:dyDescent="0.25">
      <c r="A4010" s="72" t="s">
        <v>3094</v>
      </c>
      <c r="B4010" s="72" t="s">
        <v>102</v>
      </c>
      <c r="C4010" s="73">
        <v>28</v>
      </c>
      <c r="D4010" s="73">
        <v>854054.37517329084</v>
      </c>
      <c r="E4010" s="72">
        <v>111027.06877252781</v>
      </c>
      <c r="F4010" s="72" t="s">
        <v>70</v>
      </c>
      <c r="G4010" s="72" t="s">
        <v>71</v>
      </c>
      <c r="H4010" s="72" t="s">
        <v>72</v>
      </c>
    </row>
    <row r="4011" spans="1:8" x14ac:dyDescent="0.25">
      <c r="A4011" s="72" t="s">
        <v>3405</v>
      </c>
      <c r="B4011" s="72" t="s">
        <v>93</v>
      </c>
      <c r="C4011" s="73">
        <v>28</v>
      </c>
      <c r="D4011" s="73">
        <v>845194.39324123401</v>
      </c>
      <c r="E4011" s="72">
        <v>92971.383256535759</v>
      </c>
      <c r="F4011" s="72" t="s">
        <v>87</v>
      </c>
      <c r="G4011" s="72" t="s">
        <v>71</v>
      </c>
      <c r="H4011" s="72" t="s">
        <v>88</v>
      </c>
    </row>
    <row r="4012" spans="1:8" x14ac:dyDescent="0.25">
      <c r="A4012" s="43" t="s">
        <v>3467</v>
      </c>
      <c r="B4012" s="43" t="s">
        <v>73</v>
      </c>
      <c r="C4012" s="46">
        <v>28</v>
      </c>
      <c r="D4012" s="46">
        <v>812501.99203583912</v>
      </c>
      <c r="E4012" s="43">
        <v>89375.219123942312</v>
      </c>
      <c r="F4012" s="43" t="s">
        <v>70</v>
      </c>
      <c r="G4012" s="43" t="s">
        <v>71</v>
      </c>
      <c r="H4012" s="43" t="s">
        <v>72</v>
      </c>
    </row>
    <row r="4013" spans="1:8" x14ac:dyDescent="0.25">
      <c r="A4013" s="43" t="s">
        <v>3051</v>
      </c>
      <c r="B4013" s="43" t="s">
        <v>93</v>
      </c>
      <c r="C4013" s="46">
        <v>28</v>
      </c>
      <c r="D4013" s="46">
        <v>874223.8649605026</v>
      </c>
      <c r="E4013" s="43">
        <v>113649.10244486535</v>
      </c>
      <c r="F4013" s="43" t="s">
        <v>87</v>
      </c>
      <c r="G4013" s="43" t="s">
        <v>71</v>
      </c>
      <c r="H4013" s="43" t="s">
        <v>88</v>
      </c>
    </row>
    <row r="4014" spans="1:8" x14ac:dyDescent="0.25">
      <c r="A4014" s="43" t="s">
        <v>3406</v>
      </c>
      <c r="B4014" s="43" t="s">
        <v>93</v>
      </c>
      <c r="C4014" s="46">
        <v>28</v>
      </c>
      <c r="D4014" s="46">
        <v>845194.39324123401</v>
      </c>
      <c r="E4014" s="43">
        <v>92971.383256535759</v>
      </c>
      <c r="F4014" s="43" t="s">
        <v>87</v>
      </c>
      <c r="G4014" s="43" t="s">
        <v>71</v>
      </c>
      <c r="H4014" s="43" t="s">
        <v>88</v>
      </c>
    </row>
    <row r="4015" spans="1:8" x14ac:dyDescent="0.25">
      <c r="A4015" s="72" t="s">
        <v>3114</v>
      </c>
      <c r="B4015" s="72" t="s">
        <v>202</v>
      </c>
      <c r="C4015" s="73">
        <v>27</v>
      </c>
      <c r="D4015" s="73">
        <v>842676.97853170277</v>
      </c>
      <c r="E4015" s="72">
        <v>109548.00720912137</v>
      </c>
      <c r="F4015" s="72" t="s">
        <v>87</v>
      </c>
      <c r="G4015" s="72" t="s">
        <v>71</v>
      </c>
      <c r="H4015" s="72" t="s">
        <v>88</v>
      </c>
    </row>
    <row r="4016" spans="1:8" x14ac:dyDescent="0.25">
      <c r="A4016" s="72" t="s">
        <v>3667</v>
      </c>
      <c r="B4016" s="72" t="s">
        <v>93</v>
      </c>
      <c r="C4016" s="73">
        <v>27</v>
      </c>
      <c r="D4016" s="73">
        <v>798807.70822270855</v>
      </c>
      <c r="E4016" s="72">
        <v>79880.770822270861</v>
      </c>
      <c r="F4016" s="72" t="s">
        <v>87</v>
      </c>
      <c r="G4016" s="72" t="s">
        <v>71</v>
      </c>
      <c r="H4016" s="72" t="s">
        <v>88</v>
      </c>
    </row>
    <row r="4017" spans="1:8" x14ac:dyDescent="0.25">
      <c r="A4017" s="43" t="s">
        <v>3668</v>
      </c>
      <c r="B4017" s="43" t="s">
        <v>73</v>
      </c>
      <c r="C4017" s="46">
        <v>27</v>
      </c>
      <c r="D4017" s="46">
        <v>798807.70822270855</v>
      </c>
      <c r="E4017" s="43">
        <v>79880.770822270861</v>
      </c>
      <c r="F4017" s="43" t="s">
        <v>87</v>
      </c>
      <c r="G4017" s="43" t="s">
        <v>71</v>
      </c>
      <c r="H4017" s="43" t="s">
        <v>88</v>
      </c>
    </row>
    <row r="4018" spans="1:8" x14ac:dyDescent="0.25">
      <c r="A4018" s="43" t="s">
        <v>4255</v>
      </c>
      <c r="B4018" s="43" t="s">
        <v>211</v>
      </c>
      <c r="C4018" s="46">
        <v>27</v>
      </c>
      <c r="D4018" s="46">
        <v>707119.18943923141</v>
      </c>
      <c r="E4018" s="43">
        <v>56569.535155138517</v>
      </c>
      <c r="F4018" s="43" t="s">
        <v>70</v>
      </c>
      <c r="G4018" s="43" t="s">
        <v>71</v>
      </c>
      <c r="H4018" s="43" t="s">
        <v>72</v>
      </c>
    </row>
    <row r="4019" spans="1:8" x14ac:dyDescent="0.25">
      <c r="A4019" s="72" t="s">
        <v>3344</v>
      </c>
      <c r="B4019" s="72" t="s">
        <v>234</v>
      </c>
      <c r="C4019" s="73">
        <v>27</v>
      </c>
      <c r="D4019" s="73">
        <v>803897.69447020849</v>
      </c>
      <c r="E4019" s="72">
        <v>96467.723336425042</v>
      </c>
      <c r="F4019" s="72" t="s">
        <v>70</v>
      </c>
      <c r="G4019" s="72" t="s">
        <v>71</v>
      </c>
      <c r="H4019" s="72" t="s">
        <v>72</v>
      </c>
    </row>
    <row r="4020" spans="1:8" x14ac:dyDescent="0.25">
      <c r="A4020" s="43" t="s">
        <v>4519</v>
      </c>
      <c r="B4020" s="43" t="s">
        <v>97</v>
      </c>
      <c r="C4020" s="46">
        <v>27</v>
      </c>
      <c r="D4020" s="46">
        <v>674194.48177774576</v>
      </c>
      <c r="E4020" s="43">
        <v>47193.613724442199</v>
      </c>
      <c r="F4020" s="43" t="s">
        <v>70</v>
      </c>
      <c r="G4020" s="43" t="s">
        <v>71</v>
      </c>
      <c r="H4020" s="43" t="s">
        <v>72</v>
      </c>
    </row>
    <row r="4021" spans="1:8" x14ac:dyDescent="0.25">
      <c r="A4021" s="43" t="s">
        <v>2703</v>
      </c>
      <c r="B4021" s="43" t="s">
        <v>252</v>
      </c>
      <c r="C4021" s="46">
        <v>27</v>
      </c>
      <c r="D4021" s="46">
        <v>1044052.7237400245</v>
      </c>
      <c r="E4021" s="43">
        <v>135726.85408620318</v>
      </c>
      <c r="F4021" s="43" t="s">
        <v>84</v>
      </c>
      <c r="G4021" s="43" t="s">
        <v>71</v>
      </c>
      <c r="H4021" s="43" t="s">
        <v>72</v>
      </c>
    </row>
    <row r="4022" spans="1:8" x14ac:dyDescent="0.25">
      <c r="A4022" s="72" t="s">
        <v>4230</v>
      </c>
      <c r="B4022" s="72" t="s">
        <v>83</v>
      </c>
      <c r="C4022" s="73">
        <v>27</v>
      </c>
      <c r="D4022" s="73">
        <v>640061.19052482978</v>
      </c>
      <c r="E4022" s="72">
        <v>57605.507147234675</v>
      </c>
      <c r="F4022" s="72" t="s">
        <v>106</v>
      </c>
      <c r="G4022" s="72" t="s">
        <v>71</v>
      </c>
      <c r="H4022" s="72" t="s">
        <v>72</v>
      </c>
    </row>
    <row r="4023" spans="1:8" x14ac:dyDescent="0.25">
      <c r="A4023" s="72" t="s">
        <v>4631</v>
      </c>
      <c r="B4023" s="72" t="s">
        <v>202</v>
      </c>
      <c r="C4023" s="73">
        <v>27</v>
      </c>
      <c r="D4023" s="73">
        <v>711620.3519620935</v>
      </c>
      <c r="E4023" s="72">
        <v>42697.22111772561</v>
      </c>
      <c r="F4023" s="72" t="s">
        <v>87</v>
      </c>
      <c r="G4023" s="72" t="s">
        <v>71</v>
      </c>
      <c r="H4023" s="72" t="s">
        <v>88</v>
      </c>
    </row>
    <row r="4024" spans="1:8" x14ac:dyDescent="0.25">
      <c r="A4024" s="72" t="s">
        <v>4445</v>
      </c>
      <c r="B4024" s="72" t="s">
        <v>75</v>
      </c>
      <c r="C4024" s="73">
        <v>27</v>
      </c>
      <c r="D4024" s="73">
        <v>630341.83735792083</v>
      </c>
      <c r="E4024" s="72">
        <v>50427.346988633668</v>
      </c>
      <c r="F4024" s="72" t="s">
        <v>106</v>
      </c>
      <c r="G4024" s="72" t="s">
        <v>71</v>
      </c>
      <c r="H4024" s="72" t="s">
        <v>72</v>
      </c>
    </row>
    <row r="4025" spans="1:8" x14ac:dyDescent="0.25">
      <c r="A4025" s="43" t="s">
        <v>3674</v>
      </c>
      <c r="B4025" s="43" t="s">
        <v>75</v>
      </c>
      <c r="C4025" s="46">
        <v>27</v>
      </c>
      <c r="D4025" s="46">
        <v>663732.60852947994</v>
      </c>
      <c r="E4025" s="43">
        <v>79647.913023537592</v>
      </c>
      <c r="F4025" s="43" t="s">
        <v>106</v>
      </c>
      <c r="G4025" s="43" t="s">
        <v>71</v>
      </c>
      <c r="H4025" s="43" t="s">
        <v>72</v>
      </c>
    </row>
    <row r="4026" spans="1:8" x14ac:dyDescent="0.25">
      <c r="A4026" s="43" t="s">
        <v>3915</v>
      </c>
      <c r="B4026" s="43" t="s">
        <v>1247</v>
      </c>
      <c r="C4026" s="46">
        <v>27</v>
      </c>
      <c r="D4026" s="46">
        <v>781253.24826370378</v>
      </c>
      <c r="E4026" s="43">
        <v>70312.792343733337</v>
      </c>
      <c r="F4026" s="43" t="s">
        <v>87</v>
      </c>
      <c r="G4026" s="43" t="s">
        <v>71</v>
      </c>
      <c r="H4026" s="43" t="s">
        <v>88</v>
      </c>
    </row>
    <row r="4027" spans="1:8" x14ac:dyDescent="0.25">
      <c r="A4027" s="43" t="s">
        <v>4046</v>
      </c>
      <c r="B4027" s="43" t="s">
        <v>291</v>
      </c>
      <c r="C4027" s="46">
        <v>27</v>
      </c>
      <c r="D4027" s="46">
        <v>648726.11690711998</v>
      </c>
      <c r="E4027" s="43">
        <v>64872.611690712001</v>
      </c>
      <c r="F4027" s="43" t="s">
        <v>106</v>
      </c>
      <c r="G4027" s="43" t="s">
        <v>71</v>
      </c>
      <c r="H4027" s="43" t="s">
        <v>72</v>
      </c>
    </row>
    <row r="4028" spans="1:8" x14ac:dyDescent="0.25">
      <c r="A4028" s="72" t="s">
        <v>4256</v>
      </c>
      <c r="B4028" s="72" t="s">
        <v>73</v>
      </c>
      <c r="C4028" s="73">
        <v>27</v>
      </c>
      <c r="D4028" s="73">
        <v>707119.18943923141</v>
      </c>
      <c r="E4028" s="72">
        <v>56569.535155138517</v>
      </c>
      <c r="F4028" s="72" t="s">
        <v>70</v>
      </c>
      <c r="G4028" s="72" t="s">
        <v>71</v>
      </c>
      <c r="H4028" s="72" t="s">
        <v>72</v>
      </c>
    </row>
    <row r="4029" spans="1:8" x14ac:dyDescent="0.25">
      <c r="A4029" s="43" t="s">
        <v>3861</v>
      </c>
      <c r="B4029" s="43" t="s">
        <v>73</v>
      </c>
      <c r="C4029" s="46">
        <v>27</v>
      </c>
      <c r="D4029" s="46">
        <v>656563.58569799445</v>
      </c>
      <c r="E4029" s="43">
        <v>72221.994426779405</v>
      </c>
      <c r="F4029" s="43" t="s">
        <v>106</v>
      </c>
      <c r="G4029" s="43" t="s">
        <v>71</v>
      </c>
      <c r="H4029" s="43" t="s">
        <v>72</v>
      </c>
    </row>
    <row r="4030" spans="1:8" x14ac:dyDescent="0.25">
      <c r="A4030" s="43" t="s">
        <v>4019</v>
      </c>
      <c r="B4030" s="43" t="s">
        <v>149</v>
      </c>
      <c r="C4030" s="46">
        <v>27</v>
      </c>
      <c r="D4030" s="46">
        <v>735398.43273234775</v>
      </c>
      <c r="E4030" s="43">
        <v>66185.858945911299</v>
      </c>
      <c r="F4030" s="43" t="s">
        <v>70</v>
      </c>
      <c r="G4030" s="43" t="s">
        <v>71</v>
      </c>
      <c r="H4030" s="43" t="s">
        <v>72</v>
      </c>
    </row>
    <row r="4031" spans="1:8" x14ac:dyDescent="0.25">
      <c r="A4031" s="43" t="s">
        <v>4165</v>
      </c>
      <c r="B4031" s="43" t="s">
        <v>1247</v>
      </c>
      <c r="C4031" s="46">
        <v>27</v>
      </c>
      <c r="D4031" s="46">
        <v>761511.92406541447</v>
      </c>
      <c r="E4031" s="43">
        <v>60920.95392523316</v>
      </c>
      <c r="F4031" s="43" t="s">
        <v>87</v>
      </c>
      <c r="G4031" s="43" t="s">
        <v>71</v>
      </c>
      <c r="H4031" s="43" t="s">
        <v>88</v>
      </c>
    </row>
    <row r="4032" spans="1:8" x14ac:dyDescent="0.25">
      <c r="A4032" s="72" t="s">
        <v>3669</v>
      </c>
      <c r="B4032" s="72" t="s">
        <v>73</v>
      </c>
      <c r="C4032" s="73">
        <v>27</v>
      </c>
      <c r="D4032" s="73">
        <v>798807.70822270855</v>
      </c>
      <c r="E4032" s="72">
        <v>79880.770822270861</v>
      </c>
      <c r="F4032" s="72" t="s">
        <v>87</v>
      </c>
      <c r="G4032" s="72" t="s">
        <v>71</v>
      </c>
      <c r="H4032" s="72" t="s">
        <v>88</v>
      </c>
    </row>
    <row r="4033" spans="1:8" x14ac:dyDescent="0.25">
      <c r="A4033" s="72" t="s">
        <v>3000</v>
      </c>
      <c r="B4033" s="72" t="s">
        <v>97</v>
      </c>
      <c r="C4033" s="73">
        <v>27</v>
      </c>
      <c r="D4033" s="73">
        <v>841212.37970614701</v>
      </c>
      <c r="E4033" s="72">
        <v>117769.73315886057</v>
      </c>
      <c r="F4033" s="72" t="s">
        <v>70</v>
      </c>
      <c r="G4033" s="72" t="s">
        <v>71</v>
      </c>
      <c r="H4033" s="72" t="s">
        <v>72</v>
      </c>
    </row>
    <row r="4034" spans="1:8" x14ac:dyDescent="0.25">
      <c r="A4034" s="43" t="s">
        <v>4406</v>
      </c>
      <c r="B4034" s="43" t="s">
        <v>73</v>
      </c>
      <c r="C4034" s="46">
        <v>27</v>
      </c>
      <c r="D4034" s="46">
        <v>738774.78245251637</v>
      </c>
      <c r="E4034" s="43">
        <v>51714.234771676143</v>
      </c>
      <c r="F4034" s="43" t="s">
        <v>87</v>
      </c>
      <c r="G4034" s="43" t="s">
        <v>71</v>
      </c>
      <c r="H4034" s="43" t="s">
        <v>88</v>
      </c>
    </row>
    <row r="4035" spans="1:8" x14ac:dyDescent="0.25">
      <c r="A4035" s="43" t="s">
        <v>4231</v>
      </c>
      <c r="B4035" s="43" t="s">
        <v>73</v>
      </c>
      <c r="C4035" s="46">
        <v>27</v>
      </c>
      <c r="D4035" s="46">
        <v>640061.19052482978</v>
      </c>
      <c r="E4035" s="43">
        <v>57605.507147234675</v>
      </c>
      <c r="F4035" s="43" t="s">
        <v>106</v>
      </c>
      <c r="G4035" s="43" t="s">
        <v>71</v>
      </c>
      <c r="H4035" s="43" t="s">
        <v>72</v>
      </c>
    </row>
    <row r="4036" spans="1:8" x14ac:dyDescent="0.25">
      <c r="A4036" s="43" t="s">
        <v>4257</v>
      </c>
      <c r="B4036" s="43" t="s">
        <v>97</v>
      </c>
      <c r="C4036" s="46">
        <v>27</v>
      </c>
      <c r="D4036" s="46">
        <v>707119.18943923141</v>
      </c>
      <c r="E4036" s="43">
        <v>56569.535155138517</v>
      </c>
      <c r="F4036" s="43" t="s">
        <v>70</v>
      </c>
      <c r="G4036" s="43" t="s">
        <v>71</v>
      </c>
      <c r="H4036" s="43" t="s">
        <v>72</v>
      </c>
    </row>
    <row r="4037" spans="1:8" x14ac:dyDescent="0.25">
      <c r="A4037" s="43" t="s">
        <v>3001</v>
      </c>
      <c r="B4037" s="43" t="s">
        <v>102</v>
      </c>
      <c r="C4037" s="46">
        <v>27</v>
      </c>
      <c r="D4037" s="46">
        <v>841212.37970614701</v>
      </c>
      <c r="E4037" s="43">
        <v>117769.73315886057</v>
      </c>
      <c r="F4037" s="43" t="s">
        <v>70</v>
      </c>
      <c r="G4037" s="43" t="s">
        <v>71</v>
      </c>
      <c r="H4037" s="43" t="s">
        <v>72</v>
      </c>
    </row>
    <row r="4038" spans="1:8" x14ac:dyDescent="0.25">
      <c r="A4038" s="43" t="s">
        <v>3153</v>
      </c>
      <c r="B4038" s="43" t="s">
        <v>73</v>
      </c>
      <c r="C4038" s="46">
        <v>27</v>
      </c>
      <c r="D4038" s="46">
        <v>973906.95818070637</v>
      </c>
      <c r="E4038" s="43">
        <v>107129.76539987771</v>
      </c>
      <c r="F4038" s="43" t="s">
        <v>84</v>
      </c>
      <c r="G4038" s="43" t="s">
        <v>71</v>
      </c>
      <c r="H4038" s="43" t="s">
        <v>72</v>
      </c>
    </row>
    <row r="4039" spans="1:8" x14ac:dyDescent="0.25">
      <c r="A4039" s="43" t="s">
        <v>3115</v>
      </c>
      <c r="B4039" s="43" t="s">
        <v>93</v>
      </c>
      <c r="C4039" s="46">
        <v>27</v>
      </c>
      <c r="D4039" s="46">
        <v>842676.97853170277</v>
      </c>
      <c r="E4039" s="43">
        <v>109548.00720912137</v>
      </c>
      <c r="F4039" s="43" t="s">
        <v>87</v>
      </c>
      <c r="G4039" s="43" t="s">
        <v>71</v>
      </c>
      <c r="H4039" s="43" t="s">
        <v>88</v>
      </c>
    </row>
    <row r="4040" spans="1:8" x14ac:dyDescent="0.25">
      <c r="A4040" s="43" t="s">
        <v>4446</v>
      </c>
      <c r="B4040" s="43" t="s">
        <v>554</v>
      </c>
      <c r="C4040" s="46">
        <v>27</v>
      </c>
      <c r="D4040" s="46">
        <v>630341.83735792083</v>
      </c>
      <c r="E4040" s="43">
        <v>50427.346988633668</v>
      </c>
      <c r="F4040" s="43" t="s">
        <v>106</v>
      </c>
      <c r="G4040" s="43" t="s">
        <v>71</v>
      </c>
      <c r="H4040" s="43" t="s">
        <v>72</v>
      </c>
    </row>
    <row r="4041" spans="1:8" x14ac:dyDescent="0.25">
      <c r="A4041" s="72" t="s">
        <v>4407</v>
      </c>
      <c r="B4041" s="72" t="s">
        <v>93</v>
      </c>
      <c r="C4041" s="73">
        <v>27</v>
      </c>
      <c r="D4041" s="73">
        <v>738774.78245251637</v>
      </c>
      <c r="E4041" s="72">
        <v>51714.234771676143</v>
      </c>
      <c r="F4041" s="72" t="s">
        <v>87</v>
      </c>
      <c r="G4041" s="72" t="s">
        <v>71</v>
      </c>
      <c r="H4041" s="72" t="s">
        <v>88</v>
      </c>
    </row>
    <row r="4042" spans="1:8" x14ac:dyDescent="0.25">
      <c r="A4042" s="43" t="s">
        <v>3461</v>
      </c>
      <c r="B4042" s="43" t="s">
        <v>93</v>
      </c>
      <c r="C4042" s="46">
        <v>27</v>
      </c>
      <c r="D4042" s="46">
        <v>814684.27365955082</v>
      </c>
      <c r="E4042" s="43">
        <v>89615.270102550596</v>
      </c>
      <c r="F4042" s="43" t="s">
        <v>87</v>
      </c>
      <c r="G4042" s="43" t="s">
        <v>71</v>
      </c>
      <c r="H4042" s="43" t="s">
        <v>88</v>
      </c>
    </row>
    <row r="4043" spans="1:8" x14ac:dyDescent="0.25">
      <c r="A4043" s="72" t="s">
        <v>3108</v>
      </c>
      <c r="B4043" s="72" t="s">
        <v>73</v>
      </c>
      <c r="C4043" s="73">
        <v>27</v>
      </c>
      <c r="D4043" s="73">
        <v>846510.34249585611</v>
      </c>
      <c r="E4043" s="72">
        <v>110046.3445244613</v>
      </c>
      <c r="F4043" s="72" t="s">
        <v>78</v>
      </c>
      <c r="G4043" s="72" t="s">
        <v>71</v>
      </c>
      <c r="H4043" s="72" t="s">
        <v>72</v>
      </c>
    </row>
    <row r="4044" spans="1:8" x14ac:dyDescent="0.25">
      <c r="A4044" s="43" t="s">
        <v>3297</v>
      </c>
      <c r="B4044" s="43" t="s">
        <v>73</v>
      </c>
      <c r="C4044" s="46">
        <v>27</v>
      </c>
      <c r="D4044" s="46">
        <v>829226.17345047742</v>
      </c>
      <c r="E4044" s="43">
        <v>99507.140814057289</v>
      </c>
      <c r="F4044" s="43" t="s">
        <v>87</v>
      </c>
      <c r="G4044" s="43" t="s">
        <v>71</v>
      </c>
      <c r="H4044" s="43" t="s">
        <v>88</v>
      </c>
    </row>
    <row r="4045" spans="1:8" x14ac:dyDescent="0.25">
      <c r="A4045" s="43" t="s">
        <v>3345</v>
      </c>
      <c r="B4045" s="43" t="s">
        <v>102</v>
      </c>
      <c r="C4045" s="46">
        <v>27</v>
      </c>
      <c r="D4045" s="46">
        <v>803897.69447020849</v>
      </c>
      <c r="E4045" s="43">
        <v>96467.723336425042</v>
      </c>
      <c r="F4045" s="43" t="s">
        <v>70</v>
      </c>
      <c r="G4045" s="43" t="s">
        <v>71</v>
      </c>
      <c r="H4045" s="43" t="s">
        <v>72</v>
      </c>
    </row>
    <row r="4046" spans="1:8" x14ac:dyDescent="0.25">
      <c r="A4046" s="72" t="s">
        <v>3154</v>
      </c>
      <c r="B4046" s="72" t="s">
        <v>97</v>
      </c>
      <c r="C4046" s="73">
        <v>27</v>
      </c>
      <c r="D4046" s="73">
        <v>823178.38999229029</v>
      </c>
      <c r="E4046" s="72">
        <v>107013.19069899774</v>
      </c>
      <c r="F4046" s="72" t="s">
        <v>70</v>
      </c>
      <c r="G4046" s="72" t="s">
        <v>71</v>
      </c>
      <c r="H4046" s="72" t="s">
        <v>72</v>
      </c>
    </row>
    <row r="4047" spans="1:8" x14ac:dyDescent="0.25">
      <c r="A4047" s="43" t="s">
        <v>3670</v>
      </c>
      <c r="B4047" s="43" t="s">
        <v>73</v>
      </c>
      <c r="C4047" s="46">
        <v>27</v>
      </c>
      <c r="D4047" s="46">
        <v>798807.70822270855</v>
      </c>
      <c r="E4047" s="43">
        <v>79880.770822270861</v>
      </c>
      <c r="F4047" s="43" t="s">
        <v>87</v>
      </c>
      <c r="G4047" s="43" t="s">
        <v>71</v>
      </c>
      <c r="H4047" s="43" t="s">
        <v>88</v>
      </c>
    </row>
    <row r="4048" spans="1:8" x14ac:dyDescent="0.25">
      <c r="A4048" s="43" t="s">
        <v>4632</v>
      </c>
      <c r="B4048" s="43" t="s">
        <v>75</v>
      </c>
      <c r="C4048" s="46">
        <v>27</v>
      </c>
      <c r="D4048" s="46">
        <v>711620.3519620935</v>
      </c>
      <c r="E4048" s="43">
        <v>42697.22111772561</v>
      </c>
      <c r="F4048" s="43" t="s">
        <v>87</v>
      </c>
      <c r="G4048" s="43" t="s">
        <v>71</v>
      </c>
      <c r="H4048" s="43" t="s">
        <v>88</v>
      </c>
    </row>
    <row r="4049" spans="1:8" x14ac:dyDescent="0.25">
      <c r="A4049" s="43" t="s">
        <v>3967</v>
      </c>
      <c r="B4049" s="43" t="s">
        <v>75</v>
      </c>
      <c r="C4049" s="46">
        <v>27</v>
      </c>
      <c r="D4049" s="46">
        <v>756452.86506312166</v>
      </c>
      <c r="E4049" s="43">
        <v>68080.757855680946</v>
      </c>
      <c r="F4049" s="43" t="s">
        <v>78</v>
      </c>
      <c r="G4049" s="43" t="s">
        <v>71</v>
      </c>
      <c r="H4049" s="43" t="s">
        <v>72</v>
      </c>
    </row>
    <row r="4050" spans="1:8" x14ac:dyDescent="0.25">
      <c r="A4050" s="72" t="s">
        <v>3462</v>
      </c>
      <c r="B4050" s="72" t="s">
        <v>1247</v>
      </c>
      <c r="C4050" s="73">
        <v>27</v>
      </c>
      <c r="D4050" s="73">
        <v>814684.27365955082</v>
      </c>
      <c r="E4050" s="72">
        <v>89615.270102550596</v>
      </c>
      <c r="F4050" s="72" t="s">
        <v>87</v>
      </c>
      <c r="G4050" s="72" t="s">
        <v>71</v>
      </c>
      <c r="H4050" s="72" t="s">
        <v>88</v>
      </c>
    </row>
    <row r="4051" spans="1:8" x14ac:dyDescent="0.25">
      <c r="A4051" s="72" t="s">
        <v>4020</v>
      </c>
      <c r="B4051" s="72" t="s">
        <v>73</v>
      </c>
      <c r="C4051" s="73">
        <v>27</v>
      </c>
      <c r="D4051" s="73">
        <v>735398.43273234775</v>
      </c>
      <c r="E4051" s="72">
        <v>66185.858945911299</v>
      </c>
      <c r="F4051" s="72" t="s">
        <v>70</v>
      </c>
      <c r="G4051" s="72" t="s">
        <v>71</v>
      </c>
      <c r="H4051" s="72" t="s">
        <v>72</v>
      </c>
    </row>
    <row r="4052" spans="1:8" x14ac:dyDescent="0.25">
      <c r="A4052" s="72" t="s">
        <v>3758</v>
      </c>
      <c r="B4052" s="72" t="s">
        <v>93</v>
      </c>
      <c r="C4052" s="73">
        <v>26</v>
      </c>
      <c r="D4052" s="73">
        <v>638797.54210888955</v>
      </c>
      <c r="E4052" s="72">
        <v>76655.705053066747</v>
      </c>
      <c r="F4052" s="72" t="s">
        <v>106</v>
      </c>
      <c r="G4052" s="72" t="s">
        <v>71</v>
      </c>
      <c r="H4052" s="72" t="s">
        <v>72</v>
      </c>
    </row>
    <row r="4053" spans="1:8" x14ac:dyDescent="0.25">
      <c r="A4053" s="43" t="s">
        <v>3355</v>
      </c>
      <c r="B4053" s="43" t="s">
        <v>93</v>
      </c>
      <c r="C4053" s="46">
        <v>26</v>
      </c>
      <c r="D4053" s="46">
        <v>798201.75690372405</v>
      </c>
      <c r="E4053" s="43">
        <v>95784.210828446885</v>
      </c>
      <c r="F4053" s="43" t="s">
        <v>87</v>
      </c>
      <c r="G4053" s="43" t="s">
        <v>71</v>
      </c>
      <c r="H4053" s="43" t="s">
        <v>88</v>
      </c>
    </row>
    <row r="4054" spans="1:8" x14ac:dyDescent="0.25">
      <c r="A4054" s="43" t="s">
        <v>4662</v>
      </c>
      <c r="B4054" s="43" t="s">
        <v>93</v>
      </c>
      <c r="C4054" s="46">
        <v>26</v>
      </c>
      <c r="D4054" s="46">
        <v>595939.77474293089</v>
      </c>
      <c r="E4054" s="43">
        <v>41715.784232005157</v>
      </c>
      <c r="F4054" s="43" t="s">
        <v>106</v>
      </c>
      <c r="G4054" s="43" t="s">
        <v>71</v>
      </c>
      <c r="H4054" s="43" t="s">
        <v>72</v>
      </c>
    </row>
    <row r="4055" spans="1:8" x14ac:dyDescent="0.25">
      <c r="A4055" s="43" t="s">
        <v>4211</v>
      </c>
      <c r="B4055" s="43" t="s">
        <v>73</v>
      </c>
      <c r="C4055" s="46">
        <v>26</v>
      </c>
      <c r="D4055" s="46">
        <v>732995.442681071</v>
      </c>
      <c r="E4055" s="43">
        <v>58639.635414485681</v>
      </c>
      <c r="F4055" s="43" t="s">
        <v>87</v>
      </c>
      <c r="G4055" s="43" t="s">
        <v>71</v>
      </c>
      <c r="H4055" s="43" t="s">
        <v>88</v>
      </c>
    </row>
    <row r="4056" spans="1:8" x14ac:dyDescent="0.25">
      <c r="A4056" s="72" t="s">
        <v>4315</v>
      </c>
      <c r="B4056" s="72" t="s">
        <v>97</v>
      </c>
      <c r="C4056" s="73">
        <v>26</v>
      </c>
      <c r="D4056" s="73">
        <v>680569.73306350375</v>
      </c>
      <c r="E4056" s="72">
        <v>54445.578645080299</v>
      </c>
      <c r="F4056" s="72" t="s">
        <v>70</v>
      </c>
      <c r="G4056" s="72" t="s">
        <v>71</v>
      </c>
      <c r="H4056" s="72" t="s">
        <v>72</v>
      </c>
    </row>
    <row r="4057" spans="1:8" x14ac:dyDescent="0.25">
      <c r="A4057" s="72" t="s">
        <v>3356</v>
      </c>
      <c r="B4057" s="72" t="s">
        <v>93</v>
      </c>
      <c r="C4057" s="73">
        <v>26</v>
      </c>
      <c r="D4057" s="73">
        <v>798201.75690372405</v>
      </c>
      <c r="E4057" s="72">
        <v>95784.210828446885</v>
      </c>
      <c r="F4057" s="72" t="s">
        <v>87</v>
      </c>
      <c r="G4057" s="72" t="s">
        <v>71</v>
      </c>
      <c r="H4057" s="72" t="s">
        <v>88</v>
      </c>
    </row>
    <row r="4058" spans="1:8" x14ac:dyDescent="0.25">
      <c r="A4058" s="72" t="s">
        <v>3828</v>
      </c>
      <c r="B4058" s="72" t="s">
        <v>75</v>
      </c>
      <c r="C4058" s="73">
        <v>26</v>
      </c>
      <c r="D4058" s="73">
        <v>731928.48910445964</v>
      </c>
      <c r="E4058" s="72">
        <v>73192.848910445973</v>
      </c>
      <c r="F4058" s="72" t="s">
        <v>70</v>
      </c>
      <c r="G4058" s="72" t="s">
        <v>71</v>
      </c>
      <c r="H4058" s="72" t="s">
        <v>72</v>
      </c>
    </row>
    <row r="4059" spans="1:8" x14ac:dyDescent="0.25">
      <c r="A4059" s="43" t="s">
        <v>4560</v>
      </c>
      <c r="B4059" s="43" t="s">
        <v>77</v>
      </c>
      <c r="C4059" s="46">
        <v>26</v>
      </c>
      <c r="D4059" s="46">
        <v>648864.45901911007</v>
      </c>
      <c r="E4059" s="43">
        <v>45420.512131337702</v>
      </c>
      <c r="F4059" s="43" t="s">
        <v>70</v>
      </c>
      <c r="G4059" s="43" t="s">
        <v>71</v>
      </c>
      <c r="H4059" s="43" t="s">
        <v>72</v>
      </c>
    </row>
    <row r="4060" spans="1:8" x14ac:dyDescent="0.25">
      <c r="A4060" s="72" t="s">
        <v>4212</v>
      </c>
      <c r="B4060" s="72" t="s">
        <v>73</v>
      </c>
      <c r="C4060" s="73">
        <v>26</v>
      </c>
      <c r="D4060" s="73">
        <v>732995.442681071</v>
      </c>
      <c r="E4060" s="72">
        <v>58639.635414485681</v>
      </c>
      <c r="F4060" s="72" t="s">
        <v>87</v>
      </c>
      <c r="G4060" s="72" t="s">
        <v>71</v>
      </c>
      <c r="H4060" s="72" t="s">
        <v>88</v>
      </c>
    </row>
    <row r="4061" spans="1:8" x14ac:dyDescent="0.25">
      <c r="A4061" s="72" t="s">
        <v>3230</v>
      </c>
      <c r="B4061" s="72" t="s">
        <v>73</v>
      </c>
      <c r="C4061" s="73">
        <v>26</v>
      </c>
      <c r="D4061" s="73">
        <v>792330.44470719015</v>
      </c>
      <c r="E4061" s="72">
        <v>103002.95781193473</v>
      </c>
      <c r="F4061" s="72" t="s">
        <v>70</v>
      </c>
      <c r="G4061" s="72" t="s">
        <v>71</v>
      </c>
      <c r="H4061" s="72" t="s">
        <v>72</v>
      </c>
    </row>
    <row r="4062" spans="1:8" x14ac:dyDescent="0.25">
      <c r="A4062" s="43" t="s">
        <v>3187</v>
      </c>
      <c r="B4062" s="43" t="s">
        <v>93</v>
      </c>
      <c r="C4062" s="46">
        <v>26</v>
      </c>
      <c r="D4062" s="46">
        <v>811154.3840189781</v>
      </c>
      <c r="E4062" s="43">
        <v>105450.06992246716</v>
      </c>
      <c r="F4062" s="43" t="s">
        <v>87</v>
      </c>
      <c r="G4062" s="43" t="s">
        <v>71</v>
      </c>
      <c r="H4062" s="43" t="s">
        <v>88</v>
      </c>
    </row>
    <row r="4063" spans="1:8" x14ac:dyDescent="0.25">
      <c r="A4063" s="43" t="s">
        <v>4490</v>
      </c>
      <c r="B4063" s="43" t="s">
        <v>75</v>
      </c>
      <c r="C4063" s="46">
        <v>26</v>
      </c>
      <c r="D4063" s="46">
        <v>606643.46616590663</v>
      </c>
      <c r="E4063" s="43">
        <v>48531.477293272532</v>
      </c>
      <c r="F4063" s="43" t="s">
        <v>106</v>
      </c>
      <c r="G4063" s="43" t="s">
        <v>71</v>
      </c>
      <c r="H4063" s="43" t="s">
        <v>72</v>
      </c>
    </row>
    <row r="4064" spans="1:8" x14ac:dyDescent="0.25">
      <c r="A4064" s="43" t="s">
        <v>3829</v>
      </c>
      <c r="B4064" s="43" t="s">
        <v>97</v>
      </c>
      <c r="C4064" s="46">
        <v>26</v>
      </c>
      <c r="D4064" s="46">
        <v>731928.48910445964</v>
      </c>
      <c r="E4064" s="43">
        <v>73192.848910445973</v>
      </c>
      <c r="F4064" s="43" t="s">
        <v>70</v>
      </c>
      <c r="G4064" s="43" t="s">
        <v>71</v>
      </c>
      <c r="H4064" s="43" t="s">
        <v>72</v>
      </c>
    </row>
    <row r="4065" spans="1:8" x14ac:dyDescent="0.25">
      <c r="A4065" s="72" t="s">
        <v>3830</v>
      </c>
      <c r="B4065" s="72" t="s">
        <v>97</v>
      </c>
      <c r="C4065" s="73">
        <v>26</v>
      </c>
      <c r="D4065" s="73">
        <v>731928.48910445964</v>
      </c>
      <c r="E4065" s="72">
        <v>73192.848910445973</v>
      </c>
      <c r="F4065" s="72" t="s">
        <v>70</v>
      </c>
      <c r="G4065" s="72" t="s">
        <v>71</v>
      </c>
      <c r="H4065" s="72" t="s">
        <v>72</v>
      </c>
    </row>
    <row r="4066" spans="1:8" x14ac:dyDescent="0.25">
      <c r="A4066" s="43" t="s">
        <v>3357</v>
      </c>
      <c r="B4066" s="43" t="s">
        <v>73</v>
      </c>
      <c r="C4066" s="46">
        <v>26</v>
      </c>
      <c r="D4066" s="46">
        <v>798201.75690372405</v>
      </c>
      <c r="E4066" s="43">
        <v>95784.210828446885</v>
      </c>
      <c r="F4066" s="43" t="s">
        <v>87</v>
      </c>
      <c r="G4066" s="43" t="s">
        <v>71</v>
      </c>
      <c r="H4066" s="43" t="s">
        <v>88</v>
      </c>
    </row>
    <row r="4067" spans="1:8" x14ac:dyDescent="0.25">
      <c r="A4067" s="72" t="s">
        <v>4663</v>
      </c>
      <c r="B4067" s="72" t="s">
        <v>554</v>
      </c>
      <c r="C4067" s="73">
        <v>26</v>
      </c>
      <c r="D4067" s="73">
        <v>595939.77474293089</v>
      </c>
      <c r="E4067" s="72">
        <v>41715.784232005157</v>
      </c>
      <c r="F4067" s="72" t="s">
        <v>106</v>
      </c>
      <c r="G4067" s="72" t="s">
        <v>71</v>
      </c>
      <c r="H4067" s="72" t="s">
        <v>72</v>
      </c>
    </row>
    <row r="4068" spans="1:8" x14ac:dyDescent="0.25">
      <c r="A4068" s="72" t="s">
        <v>4459</v>
      </c>
      <c r="B4068" s="72" t="s">
        <v>93</v>
      </c>
      <c r="C4068" s="73">
        <v>26</v>
      </c>
      <c r="D4068" s="73">
        <v>711100.41742420616</v>
      </c>
      <c r="E4068" s="72">
        <v>49777.029219694428</v>
      </c>
      <c r="F4068" s="72" t="s">
        <v>87</v>
      </c>
      <c r="G4068" s="72" t="s">
        <v>71</v>
      </c>
      <c r="H4068" s="72" t="s">
        <v>88</v>
      </c>
    </row>
    <row r="4069" spans="1:8" x14ac:dyDescent="0.25">
      <c r="A4069" s="72" t="s">
        <v>4830</v>
      </c>
      <c r="B4069" s="72" t="s">
        <v>93</v>
      </c>
      <c r="C4069" s="73">
        <v>26</v>
      </c>
      <c r="D4069" s="73">
        <v>651726.36854952073</v>
      </c>
      <c r="E4069" s="72">
        <v>32586.318427476039</v>
      </c>
      <c r="F4069" s="72" t="s">
        <v>87</v>
      </c>
      <c r="G4069" s="72" t="s">
        <v>71</v>
      </c>
      <c r="H4069" s="72" t="s">
        <v>88</v>
      </c>
    </row>
    <row r="4070" spans="1:8" x14ac:dyDescent="0.25">
      <c r="A4070" s="43" t="s">
        <v>3831</v>
      </c>
      <c r="B4070" s="43" t="s">
        <v>75</v>
      </c>
      <c r="C4070" s="46">
        <v>26</v>
      </c>
      <c r="D4070" s="46">
        <v>731928.48910445964</v>
      </c>
      <c r="E4070" s="43">
        <v>73192.848910445973</v>
      </c>
      <c r="F4070" s="43" t="s">
        <v>70</v>
      </c>
      <c r="G4070" s="43" t="s">
        <v>71</v>
      </c>
      <c r="H4070" s="43" t="s">
        <v>72</v>
      </c>
    </row>
    <row r="4071" spans="1:8" x14ac:dyDescent="0.25">
      <c r="A4071" s="72" t="s">
        <v>3832</v>
      </c>
      <c r="B4071" s="72" t="s">
        <v>73</v>
      </c>
      <c r="C4071" s="73">
        <v>26</v>
      </c>
      <c r="D4071" s="73">
        <v>731928.48910445964</v>
      </c>
      <c r="E4071" s="72">
        <v>73192.848910445973</v>
      </c>
      <c r="F4071" s="72" t="s">
        <v>70</v>
      </c>
      <c r="G4071" s="72" t="s">
        <v>71</v>
      </c>
      <c r="H4071" s="72" t="s">
        <v>72</v>
      </c>
    </row>
    <row r="4072" spans="1:8" x14ac:dyDescent="0.25">
      <c r="A4072" s="43" t="s">
        <v>4078</v>
      </c>
      <c r="B4072" s="43" t="s">
        <v>97</v>
      </c>
      <c r="C4072" s="46">
        <v>26</v>
      </c>
      <c r="D4072" s="46">
        <v>707801.59697539359</v>
      </c>
      <c r="E4072" s="43">
        <v>63702.14372778542</v>
      </c>
      <c r="F4072" s="43" t="s">
        <v>70</v>
      </c>
      <c r="G4072" s="43" t="s">
        <v>71</v>
      </c>
      <c r="H4072" s="43" t="s">
        <v>72</v>
      </c>
    </row>
    <row r="4073" spans="1:8" x14ac:dyDescent="0.25">
      <c r="A4073" s="43" t="s">
        <v>4213</v>
      </c>
      <c r="B4073" s="43" t="s">
        <v>267</v>
      </c>
      <c r="C4073" s="46">
        <v>26</v>
      </c>
      <c r="D4073" s="46">
        <v>732995.442681071</v>
      </c>
      <c r="E4073" s="43">
        <v>58639.635414485681</v>
      </c>
      <c r="F4073" s="43" t="s">
        <v>87</v>
      </c>
      <c r="G4073" s="43" t="s">
        <v>71</v>
      </c>
      <c r="H4073" s="43" t="s">
        <v>88</v>
      </c>
    </row>
    <row r="4074" spans="1:8" x14ac:dyDescent="0.25">
      <c r="A4074" s="72" t="s">
        <v>4214</v>
      </c>
      <c r="B4074" s="72" t="s">
        <v>73</v>
      </c>
      <c r="C4074" s="73">
        <v>26</v>
      </c>
      <c r="D4074" s="73">
        <v>732995.442681071</v>
      </c>
      <c r="E4074" s="72">
        <v>58639.635414485681</v>
      </c>
      <c r="F4074" s="72" t="s">
        <v>87</v>
      </c>
      <c r="G4074" s="72" t="s">
        <v>71</v>
      </c>
      <c r="H4074" s="72" t="s">
        <v>88</v>
      </c>
    </row>
    <row r="4075" spans="1:8" x14ac:dyDescent="0.25">
      <c r="A4075" s="43" t="s">
        <v>3431</v>
      </c>
      <c r="B4075" s="43" t="s">
        <v>1977</v>
      </c>
      <c r="C4075" s="46">
        <v>26</v>
      </c>
      <c r="D4075" s="46">
        <v>911876.87374037388</v>
      </c>
      <c r="E4075" s="43">
        <v>91187.687374037399</v>
      </c>
      <c r="F4075" s="43" t="s">
        <v>84</v>
      </c>
      <c r="G4075" s="43" t="s">
        <v>71</v>
      </c>
      <c r="H4075" s="43" t="s">
        <v>72</v>
      </c>
    </row>
    <row r="4076" spans="1:8" x14ac:dyDescent="0.25">
      <c r="A4076" s="72" t="s">
        <v>3407</v>
      </c>
      <c r="B4076" s="72" t="s">
        <v>73</v>
      </c>
      <c r="C4076" s="73">
        <v>26</v>
      </c>
      <c r="D4076" s="73">
        <v>773763.84901925945</v>
      </c>
      <c r="E4076" s="72">
        <v>92851.661882311149</v>
      </c>
      <c r="F4076" s="72" t="s">
        <v>70</v>
      </c>
      <c r="G4076" s="72" t="s">
        <v>71</v>
      </c>
      <c r="H4076" s="72" t="s">
        <v>72</v>
      </c>
    </row>
    <row r="4077" spans="1:8" x14ac:dyDescent="0.25">
      <c r="A4077" s="43" t="s">
        <v>2215</v>
      </c>
      <c r="B4077" s="43" t="s">
        <v>73</v>
      </c>
      <c r="C4077" s="46">
        <v>26</v>
      </c>
      <c r="D4077" s="46">
        <v>567948.0258185009</v>
      </c>
      <c r="E4077" s="43">
        <v>28397.401290925045</v>
      </c>
      <c r="F4077" s="43" t="s">
        <v>106</v>
      </c>
      <c r="G4077" s="43" t="s">
        <v>71</v>
      </c>
      <c r="H4077" s="43" t="s">
        <v>72</v>
      </c>
    </row>
    <row r="4078" spans="1:8" x14ac:dyDescent="0.25">
      <c r="A4078" s="43" t="s">
        <v>3408</v>
      </c>
      <c r="B4078" s="43" t="s">
        <v>97</v>
      </c>
      <c r="C4078" s="46">
        <v>26</v>
      </c>
      <c r="D4078" s="46">
        <v>773763.84901925945</v>
      </c>
      <c r="E4078" s="43">
        <v>92851.661882311149</v>
      </c>
      <c r="F4078" s="43" t="s">
        <v>70</v>
      </c>
      <c r="G4078" s="43" t="s">
        <v>71</v>
      </c>
      <c r="H4078" s="43" t="s">
        <v>72</v>
      </c>
    </row>
    <row r="4079" spans="1:8" x14ac:dyDescent="0.25">
      <c r="A4079" s="43" t="s">
        <v>3751</v>
      </c>
      <c r="B4079" s="43" t="s">
        <v>73</v>
      </c>
      <c r="C4079" s="46">
        <v>26</v>
      </c>
      <c r="D4079" s="46">
        <v>768909.90149920608</v>
      </c>
      <c r="E4079" s="43">
        <v>76890.990149920617</v>
      </c>
      <c r="F4079" s="43" t="s">
        <v>87</v>
      </c>
      <c r="G4079" s="43" t="s">
        <v>71</v>
      </c>
      <c r="H4079" s="43" t="s">
        <v>88</v>
      </c>
    </row>
    <row r="4080" spans="1:8" x14ac:dyDescent="0.25">
      <c r="A4080" s="43" t="s">
        <v>4316</v>
      </c>
      <c r="B4080" s="43" t="s">
        <v>74</v>
      </c>
      <c r="C4080" s="46">
        <v>26</v>
      </c>
      <c r="D4080" s="46">
        <v>680569.73306350375</v>
      </c>
      <c r="E4080" s="43">
        <v>54445.578645080299</v>
      </c>
      <c r="F4080" s="43" t="s">
        <v>70</v>
      </c>
      <c r="G4080" s="43" t="s">
        <v>71</v>
      </c>
      <c r="H4080" s="43" t="s">
        <v>72</v>
      </c>
    </row>
    <row r="4081" spans="1:8" x14ac:dyDescent="0.25">
      <c r="A4081" s="72" t="s">
        <v>3432</v>
      </c>
      <c r="B4081" s="72" t="s">
        <v>83</v>
      </c>
      <c r="C4081" s="73">
        <v>26</v>
      </c>
      <c r="D4081" s="73">
        <v>911876.87374037388</v>
      </c>
      <c r="E4081" s="72">
        <v>91187.687374037399</v>
      </c>
      <c r="F4081" s="72" t="s">
        <v>84</v>
      </c>
      <c r="G4081" s="72" t="s">
        <v>71</v>
      </c>
      <c r="H4081" s="72" t="s">
        <v>72</v>
      </c>
    </row>
    <row r="4082" spans="1:8" x14ac:dyDescent="0.25">
      <c r="A4082" s="43" t="s">
        <v>3759</v>
      </c>
      <c r="B4082" s="43" t="s">
        <v>75</v>
      </c>
      <c r="C4082" s="46">
        <v>26</v>
      </c>
      <c r="D4082" s="46">
        <v>638797.54210888955</v>
      </c>
      <c r="E4082" s="43">
        <v>76655.705053066747</v>
      </c>
      <c r="F4082" s="43" t="s">
        <v>106</v>
      </c>
      <c r="G4082" s="43" t="s">
        <v>71</v>
      </c>
      <c r="H4082" s="43" t="s">
        <v>72</v>
      </c>
    </row>
    <row r="4083" spans="1:8" x14ac:dyDescent="0.25">
      <c r="A4083" s="72" t="s">
        <v>3752</v>
      </c>
      <c r="B4083" s="72" t="s">
        <v>73</v>
      </c>
      <c r="C4083" s="73">
        <v>26</v>
      </c>
      <c r="D4083" s="73">
        <v>768909.90149920608</v>
      </c>
      <c r="E4083" s="72">
        <v>76890.990149920617</v>
      </c>
      <c r="F4083" s="72" t="s">
        <v>87</v>
      </c>
      <c r="G4083" s="72" t="s">
        <v>71</v>
      </c>
      <c r="H4083" s="72" t="s">
        <v>88</v>
      </c>
    </row>
    <row r="4084" spans="1:8" x14ac:dyDescent="0.25">
      <c r="A4084" s="43" t="s">
        <v>3833</v>
      </c>
      <c r="B4084" s="43" t="s">
        <v>107</v>
      </c>
      <c r="C4084" s="46">
        <v>26</v>
      </c>
      <c r="D4084" s="46">
        <v>731928.48910445964</v>
      </c>
      <c r="E4084" s="43">
        <v>73192.848910445973</v>
      </c>
      <c r="F4084" s="43" t="s">
        <v>70</v>
      </c>
      <c r="G4084" s="43" t="s">
        <v>71</v>
      </c>
      <c r="H4084" s="43" t="s">
        <v>72</v>
      </c>
    </row>
    <row r="4085" spans="1:8" x14ac:dyDescent="0.25">
      <c r="A4085" s="43" t="s">
        <v>4680</v>
      </c>
      <c r="B4085" s="43" t="s">
        <v>93</v>
      </c>
      <c r="C4085" s="46">
        <v>26</v>
      </c>
      <c r="D4085" s="46">
        <v>684951.70658157673</v>
      </c>
      <c r="E4085" s="43">
        <v>41097.102394894602</v>
      </c>
      <c r="F4085" s="43" t="s">
        <v>87</v>
      </c>
      <c r="G4085" s="43" t="s">
        <v>71</v>
      </c>
      <c r="H4085" s="43" t="s">
        <v>88</v>
      </c>
    </row>
    <row r="4086" spans="1:8" x14ac:dyDescent="0.25">
      <c r="A4086" s="43" t="s">
        <v>4344</v>
      </c>
      <c r="B4086" s="43" t="s">
        <v>337</v>
      </c>
      <c r="C4086" s="46">
        <v>26</v>
      </c>
      <c r="D4086" s="46">
        <v>763318.27158126037</v>
      </c>
      <c r="E4086" s="43">
        <v>53432.279010688224</v>
      </c>
      <c r="F4086" s="43" t="s">
        <v>84</v>
      </c>
      <c r="G4086" s="43" t="s">
        <v>71</v>
      </c>
      <c r="H4086" s="43" t="s">
        <v>72</v>
      </c>
    </row>
    <row r="4087" spans="1:8" x14ac:dyDescent="0.25">
      <c r="A4087" s="72" t="s">
        <v>3538</v>
      </c>
      <c r="B4087" s="72" t="s">
        <v>69</v>
      </c>
      <c r="C4087" s="73">
        <v>26</v>
      </c>
      <c r="D4087" s="73">
        <v>784198.44599394302</v>
      </c>
      <c r="E4087" s="72">
        <v>86261.829059333744</v>
      </c>
      <c r="F4087" s="72" t="s">
        <v>87</v>
      </c>
      <c r="G4087" s="72" t="s">
        <v>71</v>
      </c>
      <c r="H4087" s="72" t="s">
        <v>88</v>
      </c>
    </row>
    <row r="4088" spans="1:8" x14ac:dyDescent="0.25">
      <c r="A4088" s="43" t="s">
        <v>3753</v>
      </c>
      <c r="B4088" s="43" t="s">
        <v>73</v>
      </c>
      <c r="C4088" s="46">
        <v>26</v>
      </c>
      <c r="D4088" s="46">
        <v>768909.90149920608</v>
      </c>
      <c r="E4088" s="43">
        <v>76890.990149920617</v>
      </c>
      <c r="F4088" s="43" t="s">
        <v>87</v>
      </c>
      <c r="G4088" s="43" t="s">
        <v>71</v>
      </c>
      <c r="H4088" s="43" t="s">
        <v>88</v>
      </c>
    </row>
    <row r="4089" spans="1:8" x14ac:dyDescent="0.25">
      <c r="A4089" s="43" t="s">
        <v>3063</v>
      </c>
      <c r="B4089" s="43" t="s">
        <v>77</v>
      </c>
      <c r="C4089" s="46">
        <v>26</v>
      </c>
      <c r="D4089" s="46">
        <v>809696.50887608912</v>
      </c>
      <c r="E4089" s="43">
        <v>113357.51124265247</v>
      </c>
      <c r="F4089" s="43" t="s">
        <v>70</v>
      </c>
      <c r="G4089" s="43" t="s">
        <v>71</v>
      </c>
      <c r="H4089" s="43" t="s">
        <v>72</v>
      </c>
    </row>
    <row r="4090" spans="1:8" x14ac:dyDescent="0.25">
      <c r="A4090" s="43" t="s">
        <v>4530</v>
      </c>
      <c r="B4090" s="43" t="s">
        <v>73</v>
      </c>
      <c r="C4090" s="46">
        <v>26</v>
      </c>
      <c r="D4090" s="46">
        <v>667553.53300812375</v>
      </c>
      <c r="E4090" s="43">
        <v>46728.747310568659</v>
      </c>
      <c r="F4090" s="43" t="s">
        <v>78</v>
      </c>
      <c r="G4090" s="43" t="s">
        <v>71</v>
      </c>
      <c r="H4090" s="43" t="s">
        <v>72</v>
      </c>
    </row>
    <row r="4091" spans="1:8" x14ac:dyDescent="0.25">
      <c r="A4091" s="43" t="s">
        <v>3789</v>
      </c>
      <c r="B4091" s="43" t="s">
        <v>75</v>
      </c>
      <c r="C4091" s="46">
        <v>26</v>
      </c>
      <c r="D4091" s="46">
        <v>752772.72481897462</v>
      </c>
      <c r="E4091" s="43">
        <v>75277.272481897468</v>
      </c>
      <c r="F4091" s="43" t="s">
        <v>78</v>
      </c>
      <c r="G4091" s="43" t="s">
        <v>71</v>
      </c>
      <c r="H4091" s="43" t="s">
        <v>72</v>
      </c>
    </row>
    <row r="4092" spans="1:8" x14ac:dyDescent="0.25">
      <c r="A4092" s="43" t="s">
        <v>4215</v>
      </c>
      <c r="B4092" s="43" t="s">
        <v>73</v>
      </c>
      <c r="C4092" s="46">
        <v>26</v>
      </c>
      <c r="D4092" s="46">
        <v>732995.442681071</v>
      </c>
      <c r="E4092" s="43">
        <v>58639.635414485681</v>
      </c>
      <c r="F4092" s="43" t="s">
        <v>87</v>
      </c>
      <c r="G4092" s="43" t="s">
        <v>71</v>
      </c>
      <c r="H4092" s="43" t="s">
        <v>88</v>
      </c>
    </row>
    <row r="4093" spans="1:8" x14ac:dyDescent="0.25">
      <c r="A4093" s="72" t="s">
        <v>4216</v>
      </c>
      <c r="B4093" s="72" t="s">
        <v>93</v>
      </c>
      <c r="C4093" s="73">
        <v>26</v>
      </c>
      <c r="D4093" s="73">
        <v>732995.442681071</v>
      </c>
      <c r="E4093" s="72">
        <v>58639.635414485681</v>
      </c>
      <c r="F4093" s="72" t="s">
        <v>87</v>
      </c>
      <c r="G4093" s="72" t="s">
        <v>71</v>
      </c>
      <c r="H4093" s="72" t="s">
        <v>88</v>
      </c>
    </row>
    <row r="4094" spans="1:8" x14ac:dyDescent="0.25">
      <c r="A4094" s="43" t="s">
        <v>4831</v>
      </c>
      <c r="B4094" s="43" t="s">
        <v>93</v>
      </c>
      <c r="C4094" s="46">
        <v>26</v>
      </c>
      <c r="D4094" s="46">
        <v>651726.36854952073</v>
      </c>
      <c r="E4094" s="43">
        <v>32586.318427476039</v>
      </c>
      <c r="F4094" s="43" t="s">
        <v>87</v>
      </c>
      <c r="G4094" s="43" t="s">
        <v>71</v>
      </c>
      <c r="H4094" s="43" t="s">
        <v>88</v>
      </c>
    </row>
    <row r="4095" spans="1:8" x14ac:dyDescent="0.25">
      <c r="A4095" s="72" t="s">
        <v>3092</v>
      </c>
      <c r="B4095" s="72" t="s">
        <v>89</v>
      </c>
      <c r="C4095" s="73">
        <v>26</v>
      </c>
      <c r="D4095" s="73">
        <v>740653.76554022194</v>
      </c>
      <c r="E4095" s="72">
        <v>111098.06483103329</v>
      </c>
      <c r="F4095" s="72" t="s">
        <v>95</v>
      </c>
      <c r="G4095" s="72" t="s">
        <v>96</v>
      </c>
      <c r="H4095" s="72" t="s">
        <v>88</v>
      </c>
    </row>
    <row r="4096" spans="1:8" x14ac:dyDescent="0.25">
      <c r="A4096" s="72" t="s">
        <v>3754</v>
      </c>
      <c r="B4096" s="72" t="s">
        <v>73</v>
      </c>
      <c r="C4096" s="73">
        <v>26</v>
      </c>
      <c r="D4096" s="73">
        <v>768909.90149920608</v>
      </c>
      <c r="E4096" s="72">
        <v>76890.990149920617</v>
      </c>
      <c r="F4096" s="72" t="s">
        <v>87</v>
      </c>
      <c r="G4096" s="72" t="s">
        <v>71</v>
      </c>
      <c r="H4096" s="72" t="s">
        <v>88</v>
      </c>
    </row>
    <row r="4097" spans="1:8" x14ac:dyDescent="0.25">
      <c r="A4097" s="72" t="s">
        <v>4832</v>
      </c>
      <c r="B4097" s="72" t="s">
        <v>439</v>
      </c>
      <c r="C4097" s="73">
        <v>26</v>
      </c>
      <c r="D4097" s="73">
        <v>651726.36854952073</v>
      </c>
      <c r="E4097" s="72">
        <v>32586.318427476039</v>
      </c>
      <c r="F4097" s="72" t="s">
        <v>87</v>
      </c>
      <c r="G4097" s="72" t="s">
        <v>71</v>
      </c>
      <c r="H4097" s="72" t="s">
        <v>88</v>
      </c>
    </row>
    <row r="4098" spans="1:8" x14ac:dyDescent="0.25">
      <c r="A4098" s="43" t="s">
        <v>3985</v>
      </c>
      <c r="B4098" s="43" t="s">
        <v>139</v>
      </c>
      <c r="C4098" s="46">
        <v>26</v>
      </c>
      <c r="D4098" s="46">
        <v>752005.60672386806</v>
      </c>
      <c r="E4098" s="43">
        <v>67680.504605148119</v>
      </c>
      <c r="F4098" s="43" t="s">
        <v>87</v>
      </c>
      <c r="G4098" s="43" t="s">
        <v>71</v>
      </c>
      <c r="H4098" s="43" t="s">
        <v>88</v>
      </c>
    </row>
    <row r="4099" spans="1:8" x14ac:dyDescent="0.25">
      <c r="A4099" s="72" t="s">
        <v>4079</v>
      </c>
      <c r="B4099" s="72" t="s">
        <v>103</v>
      </c>
      <c r="C4099" s="73">
        <v>26</v>
      </c>
      <c r="D4099" s="73">
        <v>707801.59697539359</v>
      </c>
      <c r="E4099" s="72">
        <v>63702.14372778542</v>
      </c>
      <c r="F4099" s="72" t="s">
        <v>70</v>
      </c>
      <c r="G4099" s="72" t="s">
        <v>71</v>
      </c>
      <c r="H4099" s="72" t="s">
        <v>72</v>
      </c>
    </row>
    <row r="4100" spans="1:8" x14ac:dyDescent="0.25">
      <c r="A4100" s="43" t="s">
        <v>3931</v>
      </c>
      <c r="B4100" s="43" t="s">
        <v>75</v>
      </c>
      <c r="C4100" s="46">
        <v>26</v>
      </c>
      <c r="D4100" s="46">
        <v>631894.03864153323</v>
      </c>
      <c r="E4100" s="43">
        <v>69508.344250568669</v>
      </c>
      <c r="F4100" s="43" t="s">
        <v>106</v>
      </c>
      <c r="G4100" s="43" t="s">
        <v>71</v>
      </c>
      <c r="H4100" s="43" t="s">
        <v>72</v>
      </c>
    </row>
    <row r="4101" spans="1:8" x14ac:dyDescent="0.25">
      <c r="A4101" s="72" t="s">
        <v>3409</v>
      </c>
      <c r="B4101" s="72" t="s">
        <v>102</v>
      </c>
      <c r="C4101" s="73">
        <v>26</v>
      </c>
      <c r="D4101" s="73">
        <v>773763.84901925945</v>
      </c>
      <c r="E4101" s="72">
        <v>92851.661882311149</v>
      </c>
      <c r="F4101" s="72" t="s">
        <v>70</v>
      </c>
      <c r="G4101" s="72" t="s">
        <v>71</v>
      </c>
      <c r="H4101" s="72" t="s">
        <v>72</v>
      </c>
    </row>
    <row r="4102" spans="1:8" x14ac:dyDescent="0.25">
      <c r="A4102" s="72" t="s">
        <v>4039</v>
      </c>
      <c r="B4102" s="72" t="s">
        <v>252</v>
      </c>
      <c r="C4102" s="73">
        <v>25</v>
      </c>
      <c r="D4102" s="73">
        <v>722782.22840525303</v>
      </c>
      <c r="E4102" s="72">
        <v>65050.40055647277</v>
      </c>
      <c r="F4102" s="72" t="s">
        <v>87</v>
      </c>
      <c r="G4102" s="72" t="s">
        <v>71</v>
      </c>
      <c r="H4102" s="72" t="s">
        <v>88</v>
      </c>
    </row>
    <row r="4103" spans="1:8" x14ac:dyDescent="0.25">
      <c r="A4103" s="72" t="s">
        <v>3420</v>
      </c>
      <c r="B4103" s="72" t="s">
        <v>73</v>
      </c>
      <c r="C4103" s="73">
        <v>25</v>
      </c>
      <c r="D4103" s="73">
        <v>767201.60357819137</v>
      </c>
      <c r="E4103" s="72">
        <v>92064.192429382965</v>
      </c>
      <c r="F4103" s="72" t="s">
        <v>87</v>
      </c>
      <c r="G4103" s="72" t="s">
        <v>71</v>
      </c>
      <c r="H4103" s="72" t="s">
        <v>88</v>
      </c>
    </row>
    <row r="4104" spans="1:8" x14ac:dyDescent="0.25">
      <c r="A4104" s="72" t="s">
        <v>3806</v>
      </c>
      <c r="B4104" s="72" t="s">
        <v>73</v>
      </c>
      <c r="C4104" s="73">
        <v>25</v>
      </c>
      <c r="D4104" s="73">
        <v>739036.35799692408</v>
      </c>
      <c r="E4104" s="72">
        <v>73903.635799692405</v>
      </c>
      <c r="F4104" s="72" t="s">
        <v>87</v>
      </c>
      <c r="G4104" s="72" t="s">
        <v>71</v>
      </c>
      <c r="H4104" s="72" t="s">
        <v>88</v>
      </c>
    </row>
    <row r="4105" spans="1:8" x14ac:dyDescent="0.25">
      <c r="A4105" s="43" t="s">
        <v>3913</v>
      </c>
      <c r="B4105" s="43" t="s">
        <v>97</v>
      </c>
      <c r="C4105" s="46">
        <v>25</v>
      </c>
      <c r="D4105" s="46">
        <v>703431.69713573321</v>
      </c>
      <c r="E4105" s="43">
        <v>70343.169713573327</v>
      </c>
      <c r="F4105" s="43" t="s">
        <v>70</v>
      </c>
      <c r="G4105" s="43" t="s">
        <v>71</v>
      </c>
      <c r="H4105" s="43" t="s">
        <v>72</v>
      </c>
    </row>
    <row r="4106" spans="1:8" x14ac:dyDescent="0.25">
      <c r="A4106" s="43" t="s">
        <v>3600</v>
      </c>
      <c r="B4106" s="43" t="s">
        <v>93</v>
      </c>
      <c r="C4106" s="46">
        <v>25</v>
      </c>
      <c r="D4106" s="46">
        <v>753736.88154955581</v>
      </c>
      <c r="E4106" s="43">
        <v>82911.056970451144</v>
      </c>
      <c r="F4106" s="43" t="s">
        <v>87</v>
      </c>
      <c r="G4106" s="43" t="s">
        <v>71</v>
      </c>
      <c r="H4106" s="43" t="s">
        <v>88</v>
      </c>
    </row>
    <row r="4107" spans="1:8" x14ac:dyDescent="0.25">
      <c r="A4107" s="72" t="s">
        <v>4264</v>
      </c>
      <c r="B4107" s="72" t="s">
        <v>73</v>
      </c>
      <c r="C4107" s="73">
        <v>25</v>
      </c>
      <c r="D4107" s="73">
        <v>704503.22451794811</v>
      </c>
      <c r="E4107" s="72">
        <v>56360.257961435847</v>
      </c>
      <c r="F4107" s="72" t="s">
        <v>87</v>
      </c>
      <c r="G4107" s="72" t="s">
        <v>71</v>
      </c>
      <c r="H4107" s="72" t="s">
        <v>88</v>
      </c>
    </row>
    <row r="4108" spans="1:8" x14ac:dyDescent="0.25">
      <c r="A4108" s="43" t="s">
        <v>4151</v>
      </c>
      <c r="B4108" s="43" t="s">
        <v>73</v>
      </c>
      <c r="C4108" s="46">
        <v>25</v>
      </c>
      <c r="D4108" s="46">
        <v>680232.76239624654</v>
      </c>
      <c r="E4108" s="43">
        <v>61220.948615662186</v>
      </c>
      <c r="F4108" s="43" t="s">
        <v>70</v>
      </c>
      <c r="G4108" s="43" t="s">
        <v>71</v>
      </c>
      <c r="H4108" s="43" t="s">
        <v>72</v>
      </c>
    </row>
    <row r="4109" spans="1:8" x14ac:dyDescent="0.25">
      <c r="A4109" s="72" t="s">
        <v>4710</v>
      </c>
      <c r="B4109" s="72" t="s">
        <v>176</v>
      </c>
      <c r="C4109" s="73">
        <v>25</v>
      </c>
      <c r="D4109" s="73">
        <v>572680.57748121419</v>
      </c>
      <c r="E4109" s="72">
        <v>40087.640423684992</v>
      </c>
      <c r="F4109" s="72" t="s">
        <v>106</v>
      </c>
      <c r="G4109" s="72" t="s">
        <v>71</v>
      </c>
      <c r="H4109" s="72" t="s">
        <v>72</v>
      </c>
    </row>
    <row r="4110" spans="1:8" x14ac:dyDescent="0.25">
      <c r="A4110" s="43" t="s">
        <v>4911</v>
      </c>
      <c r="B4110" s="43" t="s">
        <v>73</v>
      </c>
      <c r="C4110" s="46">
        <v>25</v>
      </c>
      <c r="D4110" s="46">
        <v>545765.43428464676</v>
      </c>
      <c r="E4110" s="43">
        <v>27288.271714232338</v>
      </c>
      <c r="F4110" s="43" t="s">
        <v>106</v>
      </c>
      <c r="G4110" s="43" t="s">
        <v>71</v>
      </c>
      <c r="H4110" s="43" t="s">
        <v>72</v>
      </c>
    </row>
    <row r="4111" spans="1:8" x14ac:dyDescent="0.25">
      <c r="A4111" s="72" t="s">
        <v>4609</v>
      </c>
      <c r="B4111" s="72" t="s">
        <v>77</v>
      </c>
      <c r="C4111" s="73">
        <v>25</v>
      </c>
      <c r="D4111" s="73">
        <v>623562.4374382816</v>
      </c>
      <c r="E4111" s="72">
        <v>43649.370620679707</v>
      </c>
      <c r="F4111" s="72" t="s">
        <v>70</v>
      </c>
      <c r="G4111" s="72" t="s">
        <v>71</v>
      </c>
      <c r="H4111" s="72" t="s">
        <v>72</v>
      </c>
    </row>
    <row r="4112" spans="1:8" x14ac:dyDescent="0.25">
      <c r="A4112" s="72" t="s">
        <v>3601</v>
      </c>
      <c r="B4112" s="72" t="s">
        <v>73</v>
      </c>
      <c r="C4112" s="73">
        <v>25</v>
      </c>
      <c r="D4112" s="73">
        <v>753736.88154955581</v>
      </c>
      <c r="E4112" s="72">
        <v>82911.056970451144</v>
      </c>
      <c r="F4112" s="72" t="s">
        <v>87</v>
      </c>
      <c r="G4112" s="72" t="s">
        <v>71</v>
      </c>
      <c r="H4112" s="72" t="s">
        <v>88</v>
      </c>
    </row>
    <row r="4113" spans="1:8" x14ac:dyDescent="0.25">
      <c r="A4113" s="43" t="s">
        <v>4265</v>
      </c>
      <c r="B4113" s="43" t="s">
        <v>73</v>
      </c>
      <c r="C4113" s="46">
        <v>25</v>
      </c>
      <c r="D4113" s="46">
        <v>704503.22451794811</v>
      </c>
      <c r="E4113" s="43">
        <v>56360.257961435847</v>
      </c>
      <c r="F4113" s="43" t="s">
        <v>87</v>
      </c>
      <c r="G4113" s="43" t="s">
        <v>71</v>
      </c>
      <c r="H4113" s="43" t="s">
        <v>88</v>
      </c>
    </row>
    <row r="4114" spans="1:8" x14ac:dyDescent="0.25">
      <c r="A4114" s="72" t="s">
        <v>4535</v>
      </c>
      <c r="B4114" s="72" t="s">
        <v>75</v>
      </c>
      <c r="C4114" s="73">
        <v>25</v>
      </c>
      <c r="D4114" s="73">
        <v>582972.58846484462</v>
      </c>
      <c r="E4114" s="72">
        <v>46637.807077187572</v>
      </c>
      <c r="F4114" s="72" t="s">
        <v>106</v>
      </c>
      <c r="G4114" s="72" t="s">
        <v>71</v>
      </c>
      <c r="H4114" s="72" t="s">
        <v>72</v>
      </c>
    </row>
    <row r="4115" spans="1:8" x14ac:dyDescent="0.25">
      <c r="A4115" s="43" t="s">
        <v>3857</v>
      </c>
      <c r="B4115" s="43" t="s">
        <v>73</v>
      </c>
      <c r="C4115" s="46">
        <v>25</v>
      </c>
      <c r="D4115" s="46">
        <v>723420.10173787025</v>
      </c>
      <c r="E4115" s="43">
        <v>72342.010173787028</v>
      </c>
      <c r="F4115" s="43" t="s">
        <v>78</v>
      </c>
      <c r="G4115" s="43" t="s">
        <v>71</v>
      </c>
      <c r="H4115" s="43" t="s">
        <v>72</v>
      </c>
    </row>
    <row r="4116" spans="1:8" x14ac:dyDescent="0.25">
      <c r="A4116" s="72" t="s">
        <v>3914</v>
      </c>
      <c r="B4116" s="72" t="s">
        <v>97</v>
      </c>
      <c r="C4116" s="73">
        <v>25</v>
      </c>
      <c r="D4116" s="73">
        <v>703431.69713573321</v>
      </c>
      <c r="E4116" s="72">
        <v>70343.169713573327</v>
      </c>
      <c r="F4116" s="72" t="s">
        <v>70</v>
      </c>
      <c r="G4116" s="72" t="s">
        <v>71</v>
      </c>
      <c r="H4116" s="72" t="s">
        <v>72</v>
      </c>
    </row>
    <row r="4117" spans="1:8" x14ac:dyDescent="0.25">
      <c r="A4117" s="43" t="s">
        <v>4350</v>
      </c>
      <c r="B4117" s="43" t="s">
        <v>108</v>
      </c>
      <c r="C4117" s="46">
        <v>25</v>
      </c>
      <c r="D4117" s="46">
        <v>591971.98954531597</v>
      </c>
      <c r="E4117" s="43">
        <v>53277.479059078432</v>
      </c>
      <c r="F4117" s="43" t="s">
        <v>106</v>
      </c>
      <c r="G4117" s="43" t="s">
        <v>71</v>
      </c>
      <c r="H4117" s="43" t="s">
        <v>72</v>
      </c>
    </row>
    <row r="4118" spans="1:8" x14ac:dyDescent="0.25">
      <c r="A4118" s="43" t="s">
        <v>4711</v>
      </c>
      <c r="B4118" s="43" t="s">
        <v>73</v>
      </c>
      <c r="C4118" s="46">
        <v>25</v>
      </c>
      <c r="D4118" s="46">
        <v>572680.57748121419</v>
      </c>
      <c r="E4118" s="43">
        <v>40087.640423684992</v>
      </c>
      <c r="F4118" s="43" t="s">
        <v>106</v>
      </c>
      <c r="G4118" s="43" t="s">
        <v>71</v>
      </c>
      <c r="H4118" s="43" t="s">
        <v>72</v>
      </c>
    </row>
    <row r="4119" spans="1:8" x14ac:dyDescent="0.25">
      <c r="A4119" s="72" t="s">
        <v>4152</v>
      </c>
      <c r="B4119" s="72" t="s">
        <v>97</v>
      </c>
      <c r="C4119" s="73">
        <v>25</v>
      </c>
      <c r="D4119" s="73">
        <v>680232.76239624654</v>
      </c>
      <c r="E4119" s="72">
        <v>61220.948615662186</v>
      </c>
      <c r="F4119" s="72" t="s">
        <v>70</v>
      </c>
      <c r="G4119" s="72" t="s">
        <v>71</v>
      </c>
      <c r="H4119" s="72" t="s">
        <v>72</v>
      </c>
    </row>
    <row r="4120" spans="1:8" x14ac:dyDescent="0.25">
      <c r="A4120" s="72" t="s">
        <v>3422</v>
      </c>
      <c r="B4120" s="72" t="s">
        <v>383</v>
      </c>
      <c r="C4120" s="73">
        <v>25</v>
      </c>
      <c r="D4120" s="73">
        <v>764690.11260261247</v>
      </c>
      <c r="E4120" s="72">
        <v>91762.813512313514</v>
      </c>
      <c r="F4120" s="72" t="s">
        <v>78</v>
      </c>
      <c r="G4120" s="72" t="s">
        <v>71</v>
      </c>
      <c r="H4120" s="72" t="s">
        <v>72</v>
      </c>
    </row>
    <row r="4121" spans="1:8" x14ac:dyDescent="0.25">
      <c r="A4121" s="43" t="s">
        <v>3469</v>
      </c>
      <c r="B4121" s="43" t="s">
        <v>73</v>
      </c>
      <c r="C4121" s="46">
        <v>25</v>
      </c>
      <c r="D4121" s="46">
        <v>743658.00474611763</v>
      </c>
      <c r="E4121" s="43">
        <v>89238.960569534131</v>
      </c>
      <c r="F4121" s="43" t="s">
        <v>70</v>
      </c>
      <c r="G4121" s="43" t="s">
        <v>71</v>
      </c>
      <c r="H4121" s="43" t="s">
        <v>72</v>
      </c>
    </row>
    <row r="4122" spans="1:8" x14ac:dyDescent="0.25">
      <c r="A4122" s="43" t="s">
        <v>3773</v>
      </c>
      <c r="B4122" s="43" t="s">
        <v>73</v>
      </c>
      <c r="C4122" s="46">
        <v>25</v>
      </c>
      <c r="D4122" s="46">
        <v>846864.57224430784</v>
      </c>
      <c r="E4122" s="43">
        <v>76217.8115019877</v>
      </c>
      <c r="F4122" s="43" t="s">
        <v>84</v>
      </c>
      <c r="G4122" s="43" t="s">
        <v>71</v>
      </c>
      <c r="H4122" s="43" t="s">
        <v>72</v>
      </c>
    </row>
    <row r="4123" spans="1:8" x14ac:dyDescent="0.25">
      <c r="A4123" s="43" t="s">
        <v>4536</v>
      </c>
      <c r="B4123" s="43" t="s">
        <v>73</v>
      </c>
      <c r="C4123" s="46">
        <v>25</v>
      </c>
      <c r="D4123" s="46">
        <v>582972.58846484462</v>
      </c>
      <c r="E4123" s="43">
        <v>46637.807077187572</v>
      </c>
      <c r="F4123" s="43" t="s">
        <v>106</v>
      </c>
      <c r="G4123" s="43" t="s">
        <v>71</v>
      </c>
      <c r="H4123" s="43" t="s">
        <v>72</v>
      </c>
    </row>
    <row r="4124" spans="1:8" x14ac:dyDescent="0.25">
      <c r="A4124" s="43" t="s">
        <v>3257</v>
      </c>
      <c r="B4124" s="43" t="s">
        <v>73</v>
      </c>
      <c r="C4124" s="46">
        <v>25</v>
      </c>
      <c r="D4124" s="46">
        <v>779656.05272747425</v>
      </c>
      <c r="E4124" s="43">
        <v>101355.28685457166</v>
      </c>
      <c r="F4124" s="43" t="s">
        <v>87</v>
      </c>
      <c r="G4124" s="43" t="s">
        <v>71</v>
      </c>
      <c r="H4124" s="43" t="s">
        <v>88</v>
      </c>
    </row>
    <row r="4125" spans="1:8" x14ac:dyDescent="0.25">
      <c r="A4125" s="43" t="s">
        <v>3119</v>
      </c>
      <c r="B4125" s="43" t="s">
        <v>73</v>
      </c>
      <c r="C4125" s="46">
        <v>25</v>
      </c>
      <c r="D4125" s="46">
        <v>778208.63922383846</v>
      </c>
      <c r="E4125" s="43">
        <v>108949.20949133737</v>
      </c>
      <c r="F4125" s="43" t="s">
        <v>70</v>
      </c>
      <c r="G4125" s="43" t="s">
        <v>71</v>
      </c>
      <c r="H4125" s="43" t="s">
        <v>72</v>
      </c>
    </row>
    <row r="4126" spans="1:8" x14ac:dyDescent="0.25">
      <c r="A4126" s="43" t="s">
        <v>3672</v>
      </c>
      <c r="B4126" s="43" t="s">
        <v>93</v>
      </c>
      <c r="C4126" s="46">
        <v>25</v>
      </c>
      <c r="D4126" s="46">
        <v>724410.15851288673</v>
      </c>
      <c r="E4126" s="43">
        <v>79685.117436417553</v>
      </c>
      <c r="F4126" s="43" t="s">
        <v>70</v>
      </c>
      <c r="G4126" s="43" t="s">
        <v>71</v>
      </c>
      <c r="H4126" s="43" t="s">
        <v>72</v>
      </c>
    </row>
    <row r="4127" spans="1:8" x14ac:dyDescent="0.25">
      <c r="A4127" s="43" t="s">
        <v>4153</v>
      </c>
      <c r="B4127" s="43" t="s">
        <v>73</v>
      </c>
      <c r="C4127" s="46">
        <v>25</v>
      </c>
      <c r="D4127" s="46">
        <v>680232.76239624654</v>
      </c>
      <c r="E4127" s="43">
        <v>61220.948615662186</v>
      </c>
      <c r="F4127" s="43" t="s">
        <v>70</v>
      </c>
      <c r="G4127" s="43" t="s">
        <v>71</v>
      </c>
      <c r="H4127" s="43" t="s">
        <v>72</v>
      </c>
    </row>
    <row r="4128" spans="1:8" x14ac:dyDescent="0.25">
      <c r="A4128" s="72" t="s">
        <v>3470</v>
      </c>
      <c r="B4128" s="72" t="s">
        <v>102</v>
      </c>
      <c r="C4128" s="73">
        <v>25</v>
      </c>
      <c r="D4128" s="73">
        <v>743658.00474611763</v>
      </c>
      <c r="E4128" s="72">
        <v>89238.960569534131</v>
      </c>
      <c r="F4128" s="72" t="s">
        <v>70</v>
      </c>
      <c r="G4128" s="72" t="s">
        <v>71</v>
      </c>
      <c r="H4128" s="72" t="s">
        <v>72</v>
      </c>
    </row>
    <row r="4129" spans="1:8" x14ac:dyDescent="0.25">
      <c r="A4129" s="43" t="s">
        <v>4040</v>
      </c>
      <c r="B4129" s="43" t="s">
        <v>73</v>
      </c>
      <c r="C4129" s="46">
        <v>25</v>
      </c>
      <c r="D4129" s="46">
        <v>722782.22840525303</v>
      </c>
      <c r="E4129" s="43">
        <v>65050.40055647277</v>
      </c>
      <c r="F4129" s="43" t="s">
        <v>87</v>
      </c>
      <c r="G4129" s="43" t="s">
        <v>71</v>
      </c>
      <c r="H4129" s="43" t="s">
        <v>88</v>
      </c>
    </row>
    <row r="4130" spans="1:8" x14ac:dyDescent="0.25">
      <c r="A4130" s="72" t="s">
        <v>4154</v>
      </c>
      <c r="B4130" s="72" t="s">
        <v>102</v>
      </c>
      <c r="C4130" s="73">
        <v>25</v>
      </c>
      <c r="D4130" s="73">
        <v>680232.76239624654</v>
      </c>
      <c r="E4130" s="72">
        <v>61220.948615662186</v>
      </c>
      <c r="F4130" s="72" t="s">
        <v>70</v>
      </c>
      <c r="G4130" s="72" t="s">
        <v>71</v>
      </c>
      <c r="H4130" s="72" t="s">
        <v>72</v>
      </c>
    </row>
    <row r="4131" spans="1:8" x14ac:dyDescent="0.25">
      <c r="A4131" s="72" t="s">
        <v>4858</v>
      </c>
      <c r="B4131" s="72" t="s">
        <v>73</v>
      </c>
      <c r="C4131" s="73">
        <v>25</v>
      </c>
      <c r="D4131" s="73">
        <v>626359.88400684204</v>
      </c>
      <c r="E4131" s="72">
        <v>31317.994200342102</v>
      </c>
      <c r="F4131" s="72" t="s">
        <v>87</v>
      </c>
      <c r="G4131" s="72" t="s">
        <v>71</v>
      </c>
      <c r="H4131" s="72" t="s">
        <v>88</v>
      </c>
    </row>
    <row r="4132" spans="1:8" x14ac:dyDescent="0.25">
      <c r="A4132" s="72" t="s">
        <v>3120</v>
      </c>
      <c r="B4132" s="72" t="s">
        <v>243</v>
      </c>
      <c r="C4132" s="73">
        <v>25</v>
      </c>
      <c r="D4132" s="73">
        <v>778208.63922383846</v>
      </c>
      <c r="E4132" s="72">
        <v>108949.20949133737</v>
      </c>
      <c r="F4132" s="72" t="s">
        <v>70</v>
      </c>
      <c r="G4132" s="72" t="s">
        <v>71</v>
      </c>
      <c r="H4132" s="72" t="s">
        <v>72</v>
      </c>
    </row>
    <row r="4133" spans="1:8" x14ac:dyDescent="0.25">
      <c r="A4133" s="72" t="s">
        <v>4723</v>
      </c>
      <c r="B4133" s="72" t="s">
        <v>93</v>
      </c>
      <c r="C4133" s="73">
        <v>25</v>
      </c>
      <c r="D4133" s="73">
        <v>658307.32442228042</v>
      </c>
      <c r="E4133" s="72">
        <v>39498.439465336822</v>
      </c>
      <c r="F4133" s="72" t="s">
        <v>87</v>
      </c>
      <c r="G4133" s="72" t="s">
        <v>71</v>
      </c>
      <c r="H4133" s="72" t="s">
        <v>88</v>
      </c>
    </row>
    <row r="4134" spans="1:8" x14ac:dyDescent="0.25">
      <c r="A4134" s="72" t="s">
        <v>4266</v>
      </c>
      <c r="B4134" s="72" t="s">
        <v>73</v>
      </c>
      <c r="C4134" s="73">
        <v>25</v>
      </c>
      <c r="D4134" s="73">
        <v>704503.22451794811</v>
      </c>
      <c r="E4134" s="72">
        <v>56360.257961435847</v>
      </c>
      <c r="F4134" s="72" t="s">
        <v>87</v>
      </c>
      <c r="G4134" s="72" t="s">
        <v>71</v>
      </c>
      <c r="H4134" s="72" t="s">
        <v>88</v>
      </c>
    </row>
    <row r="4135" spans="1:8" x14ac:dyDescent="0.25">
      <c r="A4135" s="43" t="s">
        <v>3121</v>
      </c>
      <c r="B4135" s="43" t="s">
        <v>73</v>
      </c>
      <c r="C4135" s="46">
        <v>25</v>
      </c>
      <c r="D4135" s="46">
        <v>778208.63922383846</v>
      </c>
      <c r="E4135" s="43">
        <v>108949.20949133737</v>
      </c>
      <c r="F4135" s="43" t="s">
        <v>70</v>
      </c>
      <c r="G4135" s="43" t="s">
        <v>71</v>
      </c>
      <c r="H4135" s="43" t="s">
        <v>72</v>
      </c>
    </row>
    <row r="4136" spans="1:8" x14ac:dyDescent="0.25">
      <c r="A4136" s="43" t="s">
        <v>4385</v>
      </c>
      <c r="B4136" s="43" t="s">
        <v>69</v>
      </c>
      <c r="C4136" s="46">
        <v>25</v>
      </c>
      <c r="D4136" s="46">
        <v>654048.27786558319</v>
      </c>
      <c r="E4136" s="43">
        <v>52323.862229246653</v>
      </c>
      <c r="F4136" s="43" t="s">
        <v>70</v>
      </c>
      <c r="G4136" s="43" t="s">
        <v>71</v>
      </c>
      <c r="H4136" s="43" t="s">
        <v>72</v>
      </c>
    </row>
    <row r="4137" spans="1:8" x14ac:dyDescent="0.25">
      <c r="A4137" s="43" t="s">
        <v>3602</v>
      </c>
      <c r="B4137" s="43" t="s">
        <v>93</v>
      </c>
      <c r="C4137" s="46">
        <v>25</v>
      </c>
      <c r="D4137" s="46">
        <v>753736.88154955581</v>
      </c>
      <c r="E4137" s="43">
        <v>82911.056970451144</v>
      </c>
      <c r="F4137" s="43" t="s">
        <v>87</v>
      </c>
      <c r="G4137" s="43" t="s">
        <v>71</v>
      </c>
      <c r="H4137" s="43" t="s">
        <v>88</v>
      </c>
    </row>
    <row r="4138" spans="1:8" x14ac:dyDescent="0.25">
      <c r="A4138" s="43" t="s">
        <v>3471</v>
      </c>
      <c r="B4138" s="43" t="s">
        <v>102</v>
      </c>
      <c r="C4138" s="46">
        <v>25</v>
      </c>
      <c r="D4138" s="46">
        <v>743658.00474611763</v>
      </c>
      <c r="E4138" s="43">
        <v>89238.960569534131</v>
      </c>
      <c r="F4138" s="43" t="s">
        <v>70</v>
      </c>
      <c r="G4138" s="43" t="s">
        <v>71</v>
      </c>
      <c r="H4138" s="43" t="s">
        <v>72</v>
      </c>
    </row>
    <row r="4139" spans="1:8" x14ac:dyDescent="0.25">
      <c r="A4139" s="72" t="s">
        <v>4712</v>
      </c>
      <c r="B4139" s="72" t="s">
        <v>75</v>
      </c>
      <c r="C4139" s="73">
        <v>25</v>
      </c>
      <c r="D4139" s="73">
        <v>572680.57748121419</v>
      </c>
      <c r="E4139" s="72">
        <v>40087.640423684992</v>
      </c>
      <c r="F4139" s="72" t="s">
        <v>106</v>
      </c>
      <c r="G4139" s="72" t="s">
        <v>71</v>
      </c>
      <c r="H4139" s="72" t="s">
        <v>72</v>
      </c>
    </row>
    <row r="4140" spans="1:8" x14ac:dyDescent="0.25">
      <c r="A4140" s="72" t="s">
        <v>3472</v>
      </c>
      <c r="B4140" s="72" t="s">
        <v>97</v>
      </c>
      <c r="C4140" s="73">
        <v>25</v>
      </c>
      <c r="D4140" s="73">
        <v>743658.00474611763</v>
      </c>
      <c r="E4140" s="72">
        <v>89238.960569534131</v>
      </c>
      <c r="F4140" s="72" t="s">
        <v>70</v>
      </c>
      <c r="G4140" s="72" t="s">
        <v>71</v>
      </c>
      <c r="H4140" s="72" t="s">
        <v>72</v>
      </c>
    </row>
    <row r="4141" spans="1:8" x14ac:dyDescent="0.25">
      <c r="A4141" s="72" t="s">
        <v>4351</v>
      </c>
      <c r="B4141" s="72" t="s">
        <v>93</v>
      </c>
      <c r="C4141" s="73">
        <v>25</v>
      </c>
      <c r="D4141" s="73">
        <v>591971.98954531597</v>
      </c>
      <c r="E4141" s="72">
        <v>53277.479059078432</v>
      </c>
      <c r="F4141" s="72" t="s">
        <v>106</v>
      </c>
      <c r="G4141" s="72" t="s">
        <v>71</v>
      </c>
      <c r="H4141" s="72" t="s">
        <v>72</v>
      </c>
    </row>
    <row r="4142" spans="1:8" x14ac:dyDescent="0.25">
      <c r="A4142" s="72" t="s">
        <v>3603</v>
      </c>
      <c r="B4142" s="72" t="s">
        <v>73</v>
      </c>
      <c r="C4142" s="73">
        <v>25</v>
      </c>
      <c r="D4142" s="73">
        <v>753736.88154955581</v>
      </c>
      <c r="E4142" s="72">
        <v>82911.056970451144</v>
      </c>
      <c r="F4142" s="72" t="s">
        <v>87</v>
      </c>
      <c r="G4142" s="72" t="s">
        <v>71</v>
      </c>
      <c r="H4142" s="72" t="s">
        <v>88</v>
      </c>
    </row>
    <row r="4143" spans="1:8" x14ac:dyDescent="0.25">
      <c r="A4143" s="72" t="s">
        <v>4537</v>
      </c>
      <c r="B4143" s="72" t="s">
        <v>93</v>
      </c>
      <c r="C4143" s="73">
        <v>25</v>
      </c>
      <c r="D4143" s="73">
        <v>582972.58846484462</v>
      </c>
      <c r="E4143" s="72">
        <v>46637.807077187572</v>
      </c>
      <c r="F4143" s="72" t="s">
        <v>106</v>
      </c>
      <c r="G4143" s="72" t="s">
        <v>71</v>
      </c>
      <c r="H4143" s="72" t="s">
        <v>72</v>
      </c>
    </row>
    <row r="4144" spans="1:8" x14ac:dyDescent="0.25">
      <c r="A4144" s="72" t="s">
        <v>4386</v>
      </c>
      <c r="B4144" s="72" t="s">
        <v>69</v>
      </c>
      <c r="C4144" s="73">
        <v>25</v>
      </c>
      <c r="D4144" s="73">
        <v>654048.27786558319</v>
      </c>
      <c r="E4144" s="72">
        <v>52323.862229246653</v>
      </c>
      <c r="F4144" s="72" t="s">
        <v>70</v>
      </c>
      <c r="G4144" s="72" t="s">
        <v>71</v>
      </c>
      <c r="H4144" s="72" t="s">
        <v>72</v>
      </c>
    </row>
    <row r="4145" spans="1:8" x14ac:dyDescent="0.25">
      <c r="A4145" s="43" t="s">
        <v>4859</v>
      </c>
      <c r="B4145" s="43" t="s">
        <v>73</v>
      </c>
      <c r="C4145" s="46">
        <v>25</v>
      </c>
      <c r="D4145" s="46">
        <v>626359.88400684204</v>
      </c>
      <c r="E4145" s="43">
        <v>31317.994200342102</v>
      </c>
      <c r="F4145" s="43" t="s">
        <v>87</v>
      </c>
      <c r="G4145" s="43" t="s">
        <v>71</v>
      </c>
      <c r="H4145" s="43" t="s">
        <v>88</v>
      </c>
    </row>
    <row r="4146" spans="1:8" x14ac:dyDescent="0.25">
      <c r="A4146" s="43" t="s">
        <v>4724</v>
      </c>
      <c r="B4146" s="43" t="s">
        <v>73</v>
      </c>
      <c r="C4146" s="46">
        <v>25</v>
      </c>
      <c r="D4146" s="46">
        <v>658307.32442228042</v>
      </c>
      <c r="E4146" s="43">
        <v>39498.439465336822</v>
      </c>
      <c r="F4146" s="43" t="s">
        <v>87</v>
      </c>
      <c r="G4146" s="43" t="s">
        <v>71</v>
      </c>
      <c r="H4146" s="43" t="s">
        <v>88</v>
      </c>
    </row>
    <row r="4147" spans="1:8" x14ac:dyDescent="0.25">
      <c r="A4147" s="43" t="s">
        <v>3807</v>
      </c>
      <c r="B4147" s="43" t="s">
        <v>93</v>
      </c>
      <c r="C4147" s="46">
        <v>25</v>
      </c>
      <c r="D4147" s="46">
        <v>739036.35799692408</v>
      </c>
      <c r="E4147" s="43">
        <v>73903.635799692405</v>
      </c>
      <c r="F4147" s="43" t="s">
        <v>87</v>
      </c>
      <c r="G4147" s="43" t="s">
        <v>71</v>
      </c>
      <c r="H4147" s="43" t="s">
        <v>88</v>
      </c>
    </row>
    <row r="4148" spans="1:8" x14ac:dyDescent="0.25">
      <c r="A4148" s="72" t="s">
        <v>3122</v>
      </c>
      <c r="B4148" s="72" t="s">
        <v>234</v>
      </c>
      <c r="C4148" s="73">
        <v>25</v>
      </c>
      <c r="D4148" s="73">
        <v>778208.63922383846</v>
      </c>
      <c r="E4148" s="72">
        <v>108949.20949133737</v>
      </c>
      <c r="F4148" s="72" t="s">
        <v>70</v>
      </c>
      <c r="G4148" s="72" t="s">
        <v>71</v>
      </c>
      <c r="H4148" s="72" t="s">
        <v>72</v>
      </c>
    </row>
    <row r="4149" spans="1:8" x14ac:dyDescent="0.25">
      <c r="A4149" s="72" t="s">
        <v>3808</v>
      </c>
      <c r="B4149" s="72" t="s">
        <v>73</v>
      </c>
      <c r="C4149" s="73">
        <v>25</v>
      </c>
      <c r="D4149" s="73">
        <v>739036.35799692408</v>
      </c>
      <c r="E4149" s="72">
        <v>73903.635799692405</v>
      </c>
      <c r="F4149" s="72" t="s">
        <v>87</v>
      </c>
      <c r="G4149" s="72" t="s">
        <v>71</v>
      </c>
      <c r="H4149" s="72" t="s">
        <v>88</v>
      </c>
    </row>
    <row r="4150" spans="1:8" x14ac:dyDescent="0.25">
      <c r="A4150" s="43" t="s">
        <v>4267</v>
      </c>
      <c r="B4150" s="43" t="s">
        <v>93</v>
      </c>
      <c r="C4150" s="46">
        <v>25</v>
      </c>
      <c r="D4150" s="46">
        <v>704503.22451794811</v>
      </c>
      <c r="E4150" s="43">
        <v>56360.257961435847</v>
      </c>
      <c r="F4150" s="43" t="s">
        <v>87</v>
      </c>
      <c r="G4150" s="43" t="s">
        <v>71</v>
      </c>
      <c r="H4150" s="43" t="s">
        <v>88</v>
      </c>
    </row>
    <row r="4151" spans="1:8" x14ac:dyDescent="0.25">
      <c r="A4151" s="43" t="s">
        <v>4387</v>
      </c>
      <c r="B4151" s="43" t="s">
        <v>75</v>
      </c>
      <c r="C4151" s="46">
        <v>25</v>
      </c>
      <c r="D4151" s="46">
        <v>654048.27786558319</v>
      </c>
      <c r="E4151" s="43">
        <v>52323.862229246653</v>
      </c>
      <c r="F4151" s="43" t="s">
        <v>70</v>
      </c>
      <c r="G4151" s="43" t="s">
        <v>71</v>
      </c>
      <c r="H4151" s="43" t="s">
        <v>72</v>
      </c>
    </row>
    <row r="4152" spans="1:8" x14ac:dyDescent="0.25">
      <c r="A4152" s="43" t="s">
        <v>3473</v>
      </c>
      <c r="B4152" s="43" t="s">
        <v>378</v>
      </c>
      <c r="C4152" s="46">
        <v>25</v>
      </c>
      <c r="D4152" s="46">
        <v>743658.00474611763</v>
      </c>
      <c r="E4152" s="43">
        <v>89238.960569534131</v>
      </c>
      <c r="F4152" s="43" t="s">
        <v>70</v>
      </c>
      <c r="G4152" s="43" t="s">
        <v>71</v>
      </c>
      <c r="H4152" s="43" t="s">
        <v>72</v>
      </c>
    </row>
    <row r="4153" spans="1:8" x14ac:dyDescent="0.25">
      <c r="A4153" s="72" t="s">
        <v>3673</v>
      </c>
      <c r="B4153" s="72" t="s">
        <v>97</v>
      </c>
      <c r="C4153" s="73">
        <v>25</v>
      </c>
      <c r="D4153" s="73">
        <v>724410.15851288673</v>
      </c>
      <c r="E4153" s="72">
        <v>79685.117436417553</v>
      </c>
      <c r="F4153" s="72" t="s">
        <v>70</v>
      </c>
      <c r="G4153" s="72" t="s">
        <v>71</v>
      </c>
      <c r="H4153" s="72" t="s">
        <v>72</v>
      </c>
    </row>
    <row r="4154" spans="1:8" x14ac:dyDescent="0.25">
      <c r="A4154" s="72" t="s">
        <v>4945</v>
      </c>
      <c r="B4154" s="72" t="s">
        <v>75</v>
      </c>
      <c r="C4154" s="73">
        <v>24</v>
      </c>
      <c r="D4154" s="73">
        <v>523610.28931003722</v>
      </c>
      <c r="E4154" s="72">
        <v>26180.514465501863</v>
      </c>
      <c r="F4154" s="72" t="s">
        <v>106</v>
      </c>
      <c r="G4154" s="72" t="s">
        <v>71</v>
      </c>
      <c r="H4154" s="72" t="s">
        <v>72</v>
      </c>
    </row>
    <row r="4155" spans="1:8" x14ac:dyDescent="0.25">
      <c r="A4155" s="72" t="s">
        <v>3986</v>
      </c>
      <c r="B4155" s="72" t="s">
        <v>73</v>
      </c>
      <c r="C4155" s="73">
        <v>24</v>
      </c>
      <c r="D4155" s="73">
        <v>674962.86767434445</v>
      </c>
      <c r="E4155" s="72">
        <v>67496.286767434445</v>
      </c>
      <c r="F4155" s="72" t="s">
        <v>70</v>
      </c>
      <c r="G4155" s="72" t="s">
        <v>71</v>
      </c>
      <c r="H4155" s="72" t="s">
        <v>72</v>
      </c>
    </row>
    <row r="4156" spans="1:8" x14ac:dyDescent="0.25">
      <c r="A4156" s="43" t="s">
        <v>3333</v>
      </c>
      <c r="B4156" s="43" t="s">
        <v>73</v>
      </c>
      <c r="C4156" s="46">
        <v>24</v>
      </c>
      <c r="D4156" s="46">
        <v>748181.95599252102</v>
      </c>
      <c r="E4156" s="43">
        <v>97263.654279027731</v>
      </c>
      <c r="F4156" s="43" t="s">
        <v>87</v>
      </c>
      <c r="G4156" s="43" t="s">
        <v>71</v>
      </c>
      <c r="H4156" s="43" t="s">
        <v>88</v>
      </c>
    </row>
    <row r="4157" spans="1:8" x14ac:dyDescent="0.25">
      <c r="A4157" s="72" t="s">
        <v>3500</v>
      </c>
      <c r="B4157" s="72" t="s">
        <v>93</v>
      </c>
      <c r="C4157" s="73">
        <v>24</v>
      </c>
      <c r="D4157" s="73">
        <v>736225.68480920955</v>
      </c>
      <c r="E4157" s="72">
        <v>88347.082177105141</v>
      </c>
      <c r="F4157" s="72" t="s">
        <v>87</v>
      </c>
      <c r="G4157" s="72" t="s">
        <v>71</v>
      </c>
      <c r="H4157" s="72" t="s">
        <v>88</v>
      </c>
    </row>
    <row r="4158" spans="1:8" x14ac:dyDescent="0.25">
      <c r="A4158" s="72" t="s">
        <v>3373</v>
      </c>
      <c r="B4158" s="72" t="s">
        <v>102</v>
      </c>
      <c r="C4158" s="73">
        <v>24</v>
      </c>
      <c r="D4158" s="73">
        <v>730718.51899994176</v>
      </c>
      <c r="E4158" s="72">
        <v>94993.407469992439</v>
      </c>
      <c r="F4158" s="72" t="s">
        <v>70</v>
      </c>
      <c r="G4158" s="72" t="s">
        <v>71</v>
      </c>
      <c r="H4158" s="72" t="s">
        <v>72</v>
      </c>
    </row>
    <row r="4159" spans="1:8" x14ac:dyDescent="0.25">
      <c r="A4159" s="43" t="s">
        <v>4448</v>
      </c>
      <c r="B4159" s="43" t="s">
        <v>73</v>
      </c>
      <c r="C4159" s="46">
        <v>24</v>
      </c>
      <c r="D4159" s="46">
        <v>627554.78517500055</v>
      </c>
      <c r="E4159" s="43">
        <v>50204.382814000048</v>
      </c>
      <c r="F4159" s="43" t="s">
        <v>70</v>
      </c>
      <c r="G4159" s="43" t="s">
        <v>71</v>
      </c>
      <c r="H4159" s="43" t="s">
        <v>72</v>
      </c>
    </row>
    <row r="4160" spans="1:8" x14ac:dyDescent="0.25">
      <c r="A4160" s="72" t="s">
        <v>4200</v>
      </c>
      <c r="B4160" s="72" t="s">
        <v>439</v>
      </c>
      <c r="C4160" s="73">
        <v>24</v>
      </c>
      <c r="D4160" s="73">
        <v>652691.89032443729</v>
      </c>
      <c r="E4160" s="72">
        <v>58742.270129199351</v>
      </c>
      <c r="F4160" s="72" t="s">
        <v>70</v>
      </c>
      <c r="G4160" s="72" t="s">
        <v>71</v>
      </c>
      <c r="H4160" s="72" t="s">
        <v>72</v>
      </c>
    </row>
    <row r="4161" spans="1:8" x14ac:dyDescent="0.25">
      <c r="A4161" s="72" t="s">
        <v>3675</v>
      </c>
      <c r="B4161" s="72" t="s">
        <v>73</v>
      </c>
      <c r="C4161" s="73">
        <v>24</v>
      </c>
      <c r="D4161" s="73">
        <v>723299.55166171934</v>
      </c>
      <c r="E4161" s="72">
        <v>79562.950682789131</v>
      </c>
      <c r="F4161" s="72" t="s">
        <v>87</v>
      </c>
      <c r="G4161" s="72" t="s">
        <v>71</v>
      </c>
      <c r="H4161" s="72" t="s">
        <v>88</v>
      </c>
    </row>
    <row r="4162" spans="1:8" x14ac:dyDescent="0.25">
      <c r="A4162" s="43" t="s">
        <v>4746</v>
      </c>
      <c r="B4162" s="43" t="s">
        <v>73</v>
      </c>
      <c r="C4162" s="46">
        <v>24</v>
      </c>
      <c r="D4162" s="46">
        <v>631687.17681953497</v>
      </c>
      <c r="E4162" s="43">
        <v>37901.230609172097</v>
      </c>
      <c r="F4162" s="43" t="s">
        <v>87</v>
      </c>
      <c r="G4162" s="43" t="s">
        <v>71</v>
      </c>
      <c r="H4162" s="43" t="s">
        <v>88</v>
      </c>
    </row>
    <row r="4163" spans="1:8" x14ac:dyDescent="0.25">
      <c r="A4163" s="43" t="s">
        <v>4129</v>
      </c>
      <c r="B4163" s="43" t="s">
        <v>73</v>
      </c>
      <c r="C4163" s="46">
        <v>24</v>
      </c>
      <c r="D4163" s="46">
        <v>693583.08464318863</v>
      </c>
      <c r="E4163" s="43">
        <v>62422.477617886972</v>
      </c>
      <c r="F4163" s="43" t="s">
        <v>87</v>
      </c>
      <c r="G4163" s="43" t="s">
        <v>71</v>
      </c>
      <c r="H4163" s="43" t="s">
        <v>88</v>
      </c>
    </row>
    <row r="4164" spans="1:8" x14ac:dyDescent="0.25">
      <c r="A4164" s="72" t="s">
        <v>4130</v>
      </c>
      <c r="B4164" s="72" t="s">
        <v>176</v>
      </c>
      <c r="C4164" s="73">
        <v>24</v>
      </c>
      <c r="D4164" s="73">
        <v>693583.08464318863</v>
      </c>
      <c r="E4164" s="72">
        <v>62422.477617886972</v>
      </c>
      <c r="F4164" s="72" t="s">
        <v>87</v>
      </c>
      <c r="G4164" s="72" t="s">
        <v>71</v>
      </c>
      <c r="H4164" s="72" t="s">
        <v>88</v>
      </c>
    </row>
    <row r="4165" spans="1:8" x14ac:dyDescent="0.25">
      <c r="A4165" s="72" t="s">
        <v>4178</v>
      </c>
      <c r="B4165" s="72" t="s">
        <v>75</v>
      </c>
      <c r="C4165" s="73">
        <v>24</v>
      </c>
      <c r="D4165" s="73">
        <v>671251.04750795115</v>
      </c>
      <c r="E4165" s="72">
        <v>60412.594275715601</v>
      </c>
      <c r="F4165" s="72" t="s">
        <v>78</v>
      </c>
      <c r="G4165" s="72" t="s">
        <v>71</v>
      </c>
      <c r="H4165" s="72" t="s">
        <v>72</v>
      </c>
    </row>
    <row r="4166" spans="1:8" x14ac:dyDescent="0.25">
      <c r="A4166" s="43" t="s">
        <v>4651</v>
      </c>
      <c r="B4166" s="43" t="s">
        <v>97</v>
      </c>
      <c r="C4166" s="46">
        <v>24</v>
      </c>
      <c r="D4166" s="46">
        <v>598288.37836479105</v>
      </c>
      <c r="E4166" s="43">
        <v>41880.186485535371</v>
      </c>
      <c r="F4166" s="43" t="s">
        <v>70</v>
      </c>
      <c r="G4166" s="43" t="s">
        <v>71</v>
      </c>
      <c r="H4166" s="43" t="s">
        <v>72</v>
      </c>
    </row>
    <row r="4167" spans="1:8" x14ac:dyDescent="0.25">
      <c r="A4167" s="72" t="s">
        <v>4613</v>
      </c>
      <c r="B4167" s="72" t="s">
        <v>75</v>
      </c>
      <c r="C4167" s="73">
        <v>24</v>
      </c>
      <c r="D4167" s="73">
        <v>480110.12091122672</v>
      </c>
      <c r="E4167" s="72">
        <v>43209.910882010401</v>
      </c>
      <c r="F4167" s="72" t="s">
        <v>95</v>
      </c>
      <c r="G4167" s="72" t="s">
        <v>96</v>
      </c>
      <c r="H4167" s="72" t="s">
        <v>88</v>
      </c>
    </row>
    <row r="4168" spans="1:8" x14ac:dyDescent="0.25">
      <c r="A4168" s="43" t="s">
        <v>3501</v>
      </c>
      <c r="B4168" s="43" t="s">
        <v>93</v>
      </c>
      <c r="C4168" s="46">
        <v>24</v>
      </c>
      <c r="D4168" s="46">
        <v>736225.68480920955</v>
      </c>
      <c r="E4168" s="43">
        <v>88347.082177105141</v>
      </c>
      <c r="F4168" s="43" t="s">
        <v>87</v>
      </c>
      <c r="G4168" s="43" t="s">
        <v>71</v>
      </c>
      <c r="H4168" s="43" t="s">
        <v>88</v>
      </c>
    </row>
    <row r="4169" spans="1:8" x14ac:dyDescent="0.25">
      <c r="A4169" s="72" t="s">
        <v>4449</v>
      </c>
      <c r="B4169" s="72" t="s">
        <v>97</v>
      </c>
      <c r="C4169" s="73">
        <v>24</v>
      </c>
      <c r="D4169" s="73">
        <v>627554.78517500055</v>
      </c>
      <c r="E4169" s="72">
        <v>50204.382814000048</v>
      </c>
      <c r="F4169" s="72" t="s">
        <v>70</v>
      </c>
      <c r="G4169" s="72" t="s">
        <v>71</v>
      </c>
      <c r="H4169" s="72" t="s">
        <v>72</v>
      </c>
    </row>
    <row r="4170" spans="1:8" x14ac:dyDescent="0.25">
      <c r="A4170" s="43" t="s">
        <v>3676</v>
      </c>
      <c r="B4170" s="43" t="s">
        <v>93</v>
      </c>
      <c r="C4170" s="46">
        <v>24</v>
      </c>
      <c r="D4170" s="46">
        <v>723299.55166171934</v>
      </c>
      <c r="E4170" s="43">
        <v>79562.950682789131</v>
      </c>
      <c r="F4170" s="43" t="s">
        <v>87</v>
      </c>
      <c r="G4170" s="43" t="s">
        <v>71</v>
      </c>
      <c r="H4170" s="43" t="s">
        <v>88</v>
      </c>
    </row>
    <row r="4171" spans="1:8" x14ac:dyDescent="0.25">
      <c r="A4171" s="43" t="s">
        <v>4201</v>
      </c>
      <c r="B4171" s="43" t="s">
        <v>107</v>
      </c>
      <c r="C4171" s="46">
        <v>24</v>
      </c>
      <c r="D4171" s="46">
        <v>652691.89032443729</v>
      </c>
      <c r="E4171" s="43">
        <v>58742.270129199351</v>
      </c>
      <c r="F4171" s="43" t="s">
        <v>70</v>
      </c>
      <c r="G4171" s="43" t="s">
        <v>71</v>
      </c>
      <c r="H4171" s="43" t="s">
        <v>72</v>
      </c>
    </row>
    <row r="4172" spans="1:8" x14ac:dyDescent="0.25">
      <c r="A4172" s="43" t="s">
        <v>4554</v>
      </c>
      <c r="B4172" s="43" t="s">
        <v>73</v>
      </c>
      <c r="C4172" s="46">
        <v>24</v>
      </c>
      <c r="D4172" s="46">
        <v>655824.4483665775</v>
      </c>
      <c r="E4172" s="43">
        <v>45907.711385660419</v>
      </c>
      <c r="F4172" s="43" t="s">
        <v>87</v>
      </c>
      <c r="G4172" s="43" t="s">
        <v>71</v>
      </c>
      <c r="H4172" s="43" t="s">
        <v>88</v>
      </c>
    </row>
    <row r="4173" spans="1:8" x14ac:dyDescent="0.25">
      <c r="A4173" s="72" t="s">
        <v>4202</v>
      </c>
      <c r="B4173" s="72" t="s">
        <v>211</v>
      </c>
      <c r="C4173" s="73">
        <v>24</v>
      </c>
      <c r="D4173" s="73">
        <v>652691.89032443729</v>
      </c>
      <c r="E4173" s="72">
        <v>58742.270129199351</v>
      </c>
      <c r="F4173" s="72" t="s">
        <v>70</v>
      </c>
      <c r="G4173" s="72" t="s">
        <v>71</v>
      </c>
      <c r="H4173" s="72" t="s">
        <v>72</v>
      </c>
    </row>
    <row r="4174" spans="1:8" x14ac:dyDescent="0.25">
      <c r="A4174" s="72" t="s">
        <v>4875</v>
      </c>
      <c r="B4174" s="72" t="s">
        <v>1247</v>
      </c>
      <c r="C4174" s="73">
        <v>24</v>
      </c>
      <c r="D4174" s="73">
        <v>601017.63402071409</v>
      </c>
      <c r="E4174" s="72">
        <v>30050.881701035705</v>
      </c>
      <c r="F4174" s="72" t="s">
        <v>87</v>
      </c>
      <c r="G4174" s="72" t="s">
        <v>71</v>
      </c>
      <c r="H4174" s="72" t="s">
        <v>88</v>
      </c>
    </row>
    <row r="4175" spans="1:8" x14ac:dyDescent="0.25">
      <c r="A4175" s="72" t="s">
        <v>3548</v>
      </c>
      <c r="B4175" s="72" t="s">
        <v>97</v>
      </c>
      <c r="C4175" s="73">
        <v>24</v>
      </c>
      <c r="D4175" s="73">
        <v>713580.12298031349</v>
      </c>
      <c r="E4175" s="72">
        <v>85629.614757637639</v>
      </c>
      <c r="F4175" s="72" t="s">
        <v>70</v>
      </c>
      <c r="G4175" s="72" t="s">
        <v>71</v>
      </c>
      <c r="H4175" s="72" t="s">
        <v>72</v>
      </c>
    </row>
    <row r="4176" spans="1:8" x14ac:dyDescent="0.25">
      <c r="A4176" s="43" t="s">
        <v>4876</v>
      </c>
      <c r="B4176" s="43" t="s">
        <v>93</v>
      </c>
      <c r="C4176" s="46">
        <v>24</v>
      </c>
      <c r="D4176" s="46">
        <v>601017.63402071409</v>
      </c>
      <c r="E4176" s="43">
        <v>30050.881701035705</v>
      </c>
      <c r="F4176" s="43" t="s">
        <v>87</v>
      </c>
      <c r="G4176" s="43" t="s">
        <v>71</v>
      </c>
      <c r="H4176" s="43" t="s">
        <v>88</v>
      </c>
    </row>
    <row r="4177" spans="1:8" x14ac:dyDescent="0.25">
      <c r="A4177" s="72" t="s">
        <v>4579</v>
      </c>
      <c r="B4177" s="72" t="s">
        <v>73</v>
      </c>
      <c r="C4177" s="73">
        <v>24</v>
      </c>
      <c r="D4177" s="73">
        <v>559329.15732302703</v>
      </c>
      <c r="E4177" s="72">
        <v>44746.332585842167</v>
      </c>
      <c r="F4177" s="72" t="s">
        <v>106</v>
      </c>
      <c r="G4177" s="72" t="s">
        <v>71</v>
      </c>
      <c r="H4177" s="72" t="s">
        <v>72</v>
      </c>
    </row>
    <row r="4178" spans="1:8" x14ac:dyDescent="0.25">
      <c r="A4178" s="72" t="s">
        <v>4652</v>
      </c>
      <c r="B4178" s="72" t="s">
        <v>73</v>
      </c>
      <c r="C4178" s="73">
        <v>24</v>
      </c>
      <c r="D4178" s="73">
        <v>598288.37836479105</v>
      </c>
      <c r="E4178" s="72">
        <v>41880.186485535371</v>
      </c>
      <c r="F4178" s="72" t="s">
        <v>70</v>
      </c>
      <c r="G4178" s="72" t="s">
        <v>71</v>
      </c>
      <c r="H4178" s="72" t="s">
        <v>72</v>
      </c>
    </row>
    <row r="4179" spans="1:8" x14ac:dyDescent="0.25">
      <c r="A4179" s="43" t="s">
        <v>3203</v>
      </c>
      <c r="B4179" s="43" t="s">
        <v>97</v>
      </c>
      <c r="C4179" s="46">
        <v>24</v>
      </c>
      <c r="D4179" s="46">
        <v>746748.73207892536</v>
      </c>
      <c r="E4179" s="43">
        <v>104544.82249104953</v>
      </c>
      <c r="F4179" s="43" t="s">
        <v>70</v>
      </c>
      <c r="G4179" s="43" t="s">
        <v>71</v>
      </c>
      <c r="H4179" s="43" t="s">
        <v>72</v>
      </c>
    </row>
    <row r="4180" spans="1:8" x14ac:dyDescent="0.25">
      <c r="A4180" s="43" t="s">
        <v>4653</v>
      </c>
      <c r="B4180" s="43" t="s">
        <v>97</v>
      </c>
      <c r="C4180" s="46">
        <v>24</v>
      </c>
      <c r="D4180" s="46">
        <v>598288.37836479105</v>
      </c>
      <c r="E4180" s="43">
        <v>41880.186485535371</v>
      </c>
      <c r="F4180" s="43" t="s">
        <v>70</v>
      </c>
      <c r="G4180" s="43" t="s">
        <v>71</v>
      </c>
      <c r="H4180" s="43" t="s">
        <v>72</v>
      </c>
    </row>
    <row r="4181" spans="1:8" x14ac:dyDescent="0.25">
      <c r="A4181" s="43" t="s">
        <v>3987</v>
      </c>
      <c r="B4181" s="43" t="s">
        <v>73</v>
      </c>
      <c r="C4181" s="46">
        <v>24</v>
      </c>
      <c r="D4181" s="46">
        <v>674962.86767434445</v>
      </c>
      <c r="E4181" s="43">
        <v>67496.286767434445</v>
      </c>
      <c r="F4181" s="43" t="s">
        <v>70</v>
      </c>
      <c r="G4181" s="43" t="s">
        <v>71</v>
      </c>
      <c r="H4181" s="43" t="s">
        <v>72</v>
      </c>
    </row>
    <row r="4182" spans="1:8" x14ac:dyDescent="0.25">
      <c r="A4182" s="43" t="s">
        <v>4417</v>
      </c>
      <c r="B4182" s="43" t="s">
        <v>93</v>
      </c>
      <c r="C4182" s="46">
        <v>24</v>
      </c>
      <c r="D4182" s="46">
        <v>567968.58236027951</v>
      </c>
      <c r="E4182" s="43">
        <v>51117.172412425156</v>
      </c>
      <c r="F4182" s="43" t="s">
        <v>106</v>
      </c>
      <c r="G4182" s="43" t="s">
        <v>71</v>
      </c>
      <c r="H4182" s="43" t="s">
        <v>72</v>
      </c>
    </row>
    <row r="4183" spans="1:8" x14ac:dyDescent="0.25">
      <c r="A4183" s="43" t="s">
        <v>4131</v>
      </c>
      <c r="B4183" s="43" t="s">
        <v>73</v>
      </c>
      <c r="C4183" s="46">
        <v>24</v>
      </c>
      <c r="D4183" s="46">
        <v>693583.08464318863</v>
      </c>
      <c r="E4183" s="43">
        <v>62422.477617886972</v>
      </c>
      <c r="F4183" s="43" t="s">
        <v>87</v>
      </c>
      <c r="G4183" s="43" t="s">
        <v>71</v>
      </c>
      <c r="H4183" s="43" t="s">
        <v>88</v>
      </c>
    </row>
    <row r="4184" spans="1:8" x14ac:dyDescent="0.25">
      <c r="A4184" s="43" t="s">
        <v>3549</v>
      </c>
      <c r="B4184" s="43" t="s">
        <v>73</v>
      </c>
      <c r="C4184" s="46">
        <v>24</v>
      </c>
      <c r="D4184" s="46">
        <v>713580.12298031349</v>
      </c>
      <c r="E4184" s="43">
        <v>85629.614757637639</v>
      </c>
      <c r="F4184" s="43" t="s">
        <v>70</v>
      </c>
      <c r="G4184" s="43" t="s">
        <v>71</v>
      </c>
      <c r="H4184" s="43" t="s">
        <v>72</v>
      </c>
    </row>
    <row r="4185" spans="1:8" x14ac:dyDescent="0.25">
      <c r="A4185" s="43" t="s">
        <v>4450</v>
      </c>
      <c r="B4185" s="43" t="s">
        <v>2263</v>
      </c>
      <c r="C4185" s="46">
        <v>24</v>
      </c>
      <c r="D4185" s="46">
        <v>627554.78517500055</v>
      </c>
      <c r="E4185" s="43">
        <v>50204.382814000048</v>
      </c>
      <c r="F4185" s="43" t="s">
        <v>70</v>
      </c>
      <c r="G4185" s="43" t="s">
        <v>71</v>
      </c>
      <c r="H4185" s="43" t="s">
        <v>72</v>
      </c>
    </row>
    <row r="4186" spans="1:8" x14ac:dyDescent="0.25">
      <c r="A4186" s="72" t="s">
        <v>4232</v>
      </c>
      <c r="B4186" s="72" t="s">
        <v>75</v>
      </c>
      <c r="C4186" s="73">
        <v>24</v>
      </c>
      <c r="D4186" s="73">
        <v>575670.73914453748</v>
      </c>
      <c r="E4186" s="72">
        <v>57567.073914453751</v>
      </c>
      <c r="F4186" s="72" t="s">
        <v>106</v>
      </c>
      <c r="G4186" s="72" t="s">
        <v>71</v>
      </c>
      <c r="H4186" s="72" t="s">
        <v>72</v>
      </c>
    </row>
    <row r="4187" spans="1:8" x14ac:dyDescent="0.25">
      <c r="A4187" s="72" t="s">
        <v>3988</v>
      </c>
      <c r="B4187" s="72" t="s">
        <v>73</v>
      </c>
      <c r="C4187" s="73">
        <v>24</v>
      </c>
      <c r="D4187" s="73">
        <v>674962.86767434445</v>
      </c>
      <c r="E4187" s="72">
        <v>67496.286767434445</v>
      </c>
      <c r="F4187" s="72" t="s">
        <v>70</v>
      </c>
      <c r="G4187" s="72" t="s">
        <v>71</v>
      </c>
      <c r="H4187" s="72" t="s">
        <v>72</v>
      </c>
    </row>
    <row r="4188" spans="1:8" x14ac:dyDescent="0.25">
      <c r="A4188" s="43" t="s">
        <v>3763</v>
      </c>
      <c r="B4188" s="43" t="s">
        <v>73</v>
      </c>
      <c r="C4188" s="46">
        <v>24</v>
      </c>
      <c r="D4188" s="46">
        <v>695102.19059641194</v>
      </c>
      <c r="E4188" s="43">
        <v>76461.240965605321</v>
      </c>
      <c r="F4188" s="43" t="s">
        <v>70</v>
      </c>
      <c r="G4188" s="43" t="s">
        <v>71</v>
      </c>
      <c r="H4188" s="43" t="s">
        <v>72</v>
      </c>
    </row>
    <row r="4189" spans="1:8" x14ac:dyDescent="0.25">
      <c r="A4189" s="43" t="s">
        <v>3989</v>
      </c>
      <c r="B4189" s="43" t="s">
        <v>93</v>
      </c>
      <c r="C4189" s="46">
        <v>24</v>
      </c>
      <c r="D4189" s="46">
        <v>674962.86767434445</v>
      </c>
      <c r="E4189" s="43">
        <v>67496.286767434445</v>
      </c>
      <c r="F4189" s="43" t="s">
        <v>70</v>
      </c>
      <c r="G4189" s="43" t="s">
        <v>71</v>
      </c>
      <c r="H4189" s="43" t="s">
        <v>72</v>
      </c>
    </row>
    <row r="4190" spans="1:8" x14ac:dyDescent="0.25">
      <c r="A4190" s="72" t="s">
        <v>4877</v>
      </c>
      <c r="B4190" s="72" t="s">
        <v>75</v>
      </c>
      <c r="C4190" s="73">
        <v>24</v>
      </c>
      <c r="D4190" s="73">
        <v>601017.63402071409</v>
      </c>
      <c r="E4190" s="72">
        <v>30050.881701035705</v>
      </c>
      <c r="F4190" s="72" t="s">
        <v>87</v>
      </c>
      <c r="G4190" s="72" t="s">
        <v>71</v>
      </c>
      <c r="H4190" s="72" t="s">
        <v>88</v>
      </c>
    </row>
    <row r="4191" spans="1:8" x14ac:dyDescent="0.25">
      <c r="A4191" s="43" t="s">
        <v>3374</v>
      </c>
      <c r="B4191" s="43" t="s">
        <v>89</v>
      </c>
      <c r="C4191" s="46">
        <v>24</v>
      </c>
      <c r="D4191" s="46">
        <v>730718.51899994176</v>
      </c>
      <c r="E4191" s="43">
        <v>94993.407469992439</v>
      </c>
      <c r="F4191" s="43" t="s">
        <v>70</v>
      </c>
      <c r="G4191" s="43" t="s">
        <v>71</v>
      </c>
      <c r="H4191" s="43" t="s">
        <v>72</v>
      </c>
    </row>
    <row r="4192" spans="1:8" x14ac:dyDescent="0.25">
      <c r="A4192" s="43" t="s">
        <v>4233</v>
      </c>
      <c r="B4192" s="43" t="s">
        <v>73</v>
      </c>
      <c r="C4192" s="46">
        <v>24</v>
      </c>
      <c r="D4192" s="46">
        <v>575670.73914453748</v>
      </c>
      <c r="E4192" s="43">
        <v>57567.073914453751</v>
      </c>
      <c r="F4192" s="43" t="s">
        <v>106</v>
      </c>
      <c r="G4192" s="43" t="s">
        <v>71</v>
      </c>
      <c r="H4192" s="43" t="s">
        <v>72</v>
      </c>
    </row>
    <row r="4193" spans="1:8" x14ac:dyDescent="0.25">
      <c r="A4193" s="72" t="s">
        <v>4451</v>
      </c>
      <c r="B4193" s="72" t="s">
        <v>107</v>
      </c>
      <c r="C4193" s="73">
        <v>24</v>
      </c>
      <c r="D4193" s="73">
        <v>627554.78517500055</v>
      </c>
      <c r="E4193" s="72">
        <v>50204.382814000048</v>
      </c>
      <c r="F4193" s="72" t="s">
        <v>70</v>
      </c>
      <c r="G4193" s="72" t="s">
        <v>71</v>
      </c>
      <c r="H4193" s="72" t="s">
        <v>72</v>
      </c>
    </row>
    <row r="4194" spans="1:8" x14ac:dyDescent="0.25">
      <c r="A4194" s="72" t="s">
        <v>3900</v>
      </c>
      <c r="B4194" s="72" t="s">
        <v>1247</v>
      </c>
      <c r="C4194" s="73">
        <v>24</v>
      </c>
      <c r="D4194" s="73">
        <v>709187.04905119282</v>
      </c>
      <c r="E4194" s="72">
        <v>70918.704905119288</v>
      </c>
      <c r="F4194" s="72" t="s">
        <v>87</v>
      </c>
      <c r="G4194" s="72" t="s">
        <v>71</v>
      </c>
      <c r="H4194" s="72" t="s">
        <v>88</v>
      </c>
    </row>
    <row r="4195" spans="1:8" x14ac:dyDescent="0.25">
      <c r="A4195" s="43" t="s">
        <v>4878</v>
      </c>
      <c r="B4195" s="43" t="s">
        <v>73</v>
      </c>
      <c r="C4195" s="46">
        <v>24</v>
      </c>
      <c r="D4195" s="46">
        <v>601017.63402071409</v>
      </c>
      <c r="E4195" s="43">
        <v>30050.881701035705</v>
      </c>
      <c r="F4195" s="43" t="s">
        <v>87</v>
      </c>
      <c r="G4195" s="43" t="s">
        <v>71</v>
      </c>
      <c r="H4195" s="43" t="s">
        <v>88</v>
      </c>
    </row>
    <row r="4196" spans="1:8" x14ac:dyDescent="0.25">
      <c r="A4196" s="72" t="s">
        <v>4747</v>
      </c>
      <c r="B4196" s="72" t="s">
        <v>73</v>
      </c>
      <c r="C4196" s="73">
        <v>24</v>
      </c>
      <c r="D4196" s="73">
        <v>631687.17681953497</v>
      </c>
      <c r="E4196" s="72">
        <v>37901.230609172097</v>
      </c>
      <c r="F4196" s="72" t="s">
        <v>87</v>
      </c>
      <c r="G4196" s="72" t="s">
        <v>71</v>
      </c>
      <c r="H4196" s="72" t="s">
        <v>88</v>
      </c>
    </row>
    <row r="4197" spans="1:8" x14ac:dyDescent="0.25">
      <c r="A4197" s="72" t="s">
        <v>3334</v>
      </c>
      <c r="B4197" s="72" t="s">
        <v>73</v>
      </c>
      <c r="C4197" s="73">
        <v>24</v>
      </c>
      <c r="D4197" s="73">
        <v>748181.95599252102</v>
      </c>
      <c r="E4197" s="72">
        <v>97263.654279027731</v>
      </c>
      <c r="F4197" s="72" t="s">
        <v>87</v>
      </c>
      <c r="G4197" s="72" t="s">
        <v>71</v>
      </c>
      <c r="H4197" s="72" t="s">
        <v>88</v>
      </c>
    </row>
    <row r="4198" spans="1:8" x14ac:dyDescent="0.25">
      <c r="A4198" s="72" t="s">
        <v>3328</v>
      </c>
      <c r="B4198" s="72" t="s">
        <v>75</v>
      </c>
      <c r="C4198" s="73">
        <v>24</v>
      </c>
      <c r="D4198" s="73">
        <v>751302.13855927077</v>
      </c>
      <c r="E4198" s="72">
        <v>97669.27801270521</v>
      </c>
      <c r="F4198" s="72" t="s">
        <v>78</v>
      </c>
      <c r="G4198" s="72" t="s">
        <v>71</v>
      </c>
      <c r="H4198" s="72" t="s">
        <v>72</v>
      </c>
    </row>
    <row r="4199" spans="1:8" x14ac:dyDescent="0.25">
      <c r="A4199" s="43" t="s">
        <v>4452</v>
      </c>
      <c r="B4199" s="43" t="s">
        <v>73</v>
      </c>
      <c r="C4199" s="46">
        <v>24</v>
      </c>
      <c r="D4199" s="46">
        <v>627554.78517500055</v>
      </c>
      <c r="E4199" s="43">
        <v>50204.382814000048</v>
      </c>
      <c r="F4199" s="43" t="s">
        <v>70</v>
      </c>
      <c r="G4199" s="43" t="s">
        <v>71</v>
      </c>
      <c r="H4199" s="43" t="s">
        <v>72</v>
      </c>
    </row>
    <row r="4200" spans="1:8" x14ac:dyDescent="0.25">
      <c r="A4200" s="43" t="s">
        <v>3901</v>
      </c>
      <c r="B4200" s="43" t="s">
        <v>73</v>
      </c>
      <c r="C4200" s="46">
        <v>24</v>
      </c>
      <c r="D4200" s="46">
        <v>709187.04905119282</v>
      </c>
      <c r="E4200" s="43">
        <v>70918.704905119288</v>
      </c>
      <c r="F4200" s="43" t="s">
        <v>87</v>
      </c>
      <c r="G4200" s="43" t="s">
        <v>71</v>
      </c>
      <c r="H4200" s="43" t="s">
        <v>88</v>
      </c>
    </row>
    <row r="4201" spans="1:8" x14ac:dyDescent="0.25">
      <c r="A4201" s="72" t="s">
        <v>3204</v>
      </c>
      <c r="B4201" s="72" t="s">
        <v>102</v>
      </c>
      <c r="C4201" s="73">
        <v>24</v>
      </c>
      <c r="D4201" s="73">
        <v>746748.73207892536</v>
      </c>
      <c r="E4201" s="72">
        <v>104544.82249104953</v>
      </c>
      <c r="F4201" s="72" t="s">
        <v>70</v>
      </c>
      <c r="G4201" s="72" t="s">
        <v>71</v>
      </c>
      <c r="H4201" s="72" t="s">
        <v>72</v>
      </c>
    </row>
    <row r="4202" spans="1:8" x14ac:dyDescent="0.25">
      <c r="A4202" s="72" t="s">
        <v>4453</v>
      </c>
      <c r="B4202" s="72" t="s">
        <v>97</v>
      </c>
      <c r="C4202" s="73">
        <v>24</v>
      </c>
      <c r="D4202" s="73">
        <v>627554.78517500055</v>
      </c>
      <c r="E4202" s="72">
        <v>50204.382814000048</v>
      </c>
      <c r="F4202" s="72" t="s">
        <v>70</v>
      </c>
      <c r="G4202" s="72" t="s">
        <v>71</v>
      </c>
      <c r="H4202" s="72" t="s">
        <v>72</v>
      </c>
    </row>
    <row r="4203" spans="1:8" x14ac:dyDescent="0.25">
      <c r="A4203" s="72" t="s">
        <v>3764</v>
      </c>
      <c r="B4203" s="72" t="s">
        <v>107</v>
      </c>
      <c r="C4203" s="73">
        <v>24</v>
      </c>
      <c r="D4203" s="73">
        <v>695102.19059641194</v>
      </c>
      <c r="E4203" s="72">
        <v>76461.240965605321</v>
      </c>
      <c r="F4203" s="72" t="s">
        <v>70</v>
      </c>
      <c r="G4203" s="72" t="s">
        <v>71</v>
      </c>
      <c r="H4203" s="72" t="s">
        <v>72</v>
      </c>
    </row>
    <row r="4204" spans="1:8" x14ac:dyDescent="0.25">
      <c r="A4204" s="43" t="s">
        <v>3765</v>
      </c>
      <c r="B4204" s="43" t="s">
        <v>75</v>
      </c>
      <c r="C4204" s="46">
        <v>24</v>
      </c>
      <c r="D4204" s="46">
        <v>695102.19059641194</v>
      </c>
      <c r="E4204" s="43">
        <v>76461.240965605321</v>
      </c>
      <c r="F4204" s="43" t="s">
        <v>70</v>
      </c>
      <c r="G4204" s="43" t="s">
        <v>71</v>
      </c>
      <c r="H4204" s="43" t="s">
        <v>72</v>
      </c>
    </row>
    <row r="4205" spans="1:8" x14ac:dyDescent="0.25">
      <c r="A4205" s="43" t="s">
        <v>4334</v>
      </c>
      <c r="B4205" s="43" t="s">
        <v>73</v>
      </c>
      <c r="C4205" s="46">
        <v>24</v>
      </c>
      <c r="D4205" s="46">
        <v>676035.24091137585</v>
      </c>
      <c r="E4205" s="43">
        <v>54082.81927291007</v>
      </c>
      <c r="F4205" s="43" t="s">
        <v>87</v>
      </c>
      <c r="G4205" s="43" t="s">
        <v>71</v>
      </c>
      <c r="H4205" s="43" t="s">
        <v>88</v>
      </c>
    </row>
    <row r="4206" spans="1:8" x14ac:dyDescent="0.25">
      <c r="A4206" s="72" t="s">
        <v>4555</v>
      </c>
      <c r="B4206" s="72" t="s">
        <v>93</v>
      </c>
      <c r="C4206" s="73">
        <v>24</v>
      </c>
      <c r="D4206" s="73">
        <v>655824.4483665775</v>
      </c>
      <c r="E4206" s="72">
        <v>45907.711385660419</v>
      </c>
      <c r="F4206" s="72" t="s">
        <v>87</v>
      </c>
      <c r="G4206" s="72" t="s">
        <v>71</v>
      </c>
      <c r="H4206" s="72" t="s">
        <v>88</v>
      </c>
    </row>
    <row r="4207" spans="1:8" x14ac:dyDescent="0.25">
      <c r="A4207" s="43" t="s">
        <v>4748</v>
      </c>
      <c r="B4207" s="43" t="s">
        <v>1247</v>
      </c>
      <c r="C4207" s="46">
        <v>24</v>
      </c>
      <c r="D4207" s="46">
        <v>631687.17681953497</v>
      </c>
      <c r="E4207" s="43">
        <v>37901.230609172097</v>
      </c>
      <c r="F4207" s="43" t="s">
        <v>87</v>
      </c>
      <c r="G4207" s="43" t="s">
        <v>71</v>
      </c>
      <c r="H4207" s="43" t="s">
        <v>88</v>
      </c>
    </row>
    <row r="4208" spans="1:8" x14ac:dyDescent="0.25">
      <c r="A4208" s="72" t="s">
        <v>4335</v>
      </c>
      <c r="B4208" s="72" t="s">
        <v>93</v>
      </c>
      <c r="C4208" s="73">
        <v>24</v>
      </c>
      <c r="D4208" s="73">
        <v>676035.24091137585</v>
      </c>
      <c r="E4208" s="72">
        <v>54082.81927291007</v>
      </c>
      <c r="F4208" s="72" t="s">
        <v>87</v>
      </c>
      <c r="G4208" s="72" t="s">
        <v>71</v>
      </c>
      <c r="H4208" s="72" t="s">
        <v>88</v>
      </c>
    </row>
    <row r="4209" spans="1:8" x14ac:dyDescent="0.25">
      <c r="A4209" s="72" t="s">
        <v>4879</v>
      </c>
      <c r="B4209" s="72" t="s">
        <v>93</v>
      </c>
      <c r="C4209" s="73">
        <v>24</v>
      </c>
      <c r="D4209" s="73">
        <v>601017.63402071409</v>
      </c>
      <c r="E4209" s="72">
        <v>30050.881701035705</v>
      </c>
      <c r="F4209" s="72" t="s">
        <v>87</v>
      </c>
      <c r="G4209" s="72" t="s">
        <v>71</v>
      </c>
      <c r="H4209" s="72" t="s">
        <v>88</v>
      </c>
    </row>
    <row r="4210" spans="1:8" x14ac:dyDescent="0.25">
      <c r="A4210" s="72" t="s">
        <v>3677</v>
      </c>
      <c r="B4210" s="72" t="s">
        <v>73</v>
      </c>
      <c r="C4210" s="73">
        <v>24</v>
      </c>
      <c r="D4210" s="73">
        <v>723299.55166171934</v>
      </c>
      <c r="E4210" s="72">
        <v>79562.950682789131</v>
      </c>
      <c r="F4210" s="72" t="s">
        <v>87</v>
      </c>
      <c r="G4210" s="72" t="s">
        <v>71</v>
      </c>
      <c r="H4210" s="72" t="s">
        <v>88</v>
      </c>
    </row>
    <row r="4211" spans="1:8" x14ac:dyDescent="0.25">
      <c r="A4211" s="72" t="s">
        <v>3502</v>
      </c>
      <c r="B4211" s="72" t="s">
        <v>202</v>
      </c>
      <c r="C4211" s="73">
        <v>24</v>
      </c>
      <c r="D4211" s="73">
        <v>736225.68480920955</v>
      </c>
      <c r="E4211" s="72">
        <v>88347.082177105141</v>
      </c>
      <c r="F4211" s="72" t="s">
        <v>87</v>
      </c>
      <c r="G4211" s="72" t="s">
        <v>71</v>
      </c>
      <c r="H4211" s="72" t="s">
        <v>88</v>
      </c>
    </row>
    <row r="4212" spans="1:8" x14ac:dyDescent="0.25">
      <c r="A4212" s="43" t="s">
        <v>3622</v>
      </c>
      <c r="B4212" s="43" t="s">
        <v>265</v>
      </c>
      <c r="C4212" s="46">
        <v>23</v>
      </c>
      <c r="D4212" s="46">
        <v>683530.16509894689</v>
      </c>
      <c r="E4212" s="43">
        <v>82023.619811873636</v>
      </c>
      <c r="F4212" s="43" t="s">
        <v>70</v>
      </c>
      <c r="G4212" s="43" t="s">
        <v>71</v>
      </c>
      <c r="H4212" s="43" t="s">
        <v>72</v>
      </c>
    </row>
    <row r="4213" spans="1:8" x14ac:dyDescent="0.25">
      <c r="A4213" s="43" t="s">
        <v>4129</v>
      </c>
      <c r="B4213" s="43" t="s">
        <v>75</v>
      </c>
      <c r="C4213" s="46">
        <v>23</v>
      </c>
      <c r="D4213" s="46">
        <v>551373.80845908646</v>
      </c>
      <c r="E4213" s="43">
        <v>55137.38084590865</v>
      </c>
      <c r="F4213" s="43" t="s">
        <v>106</v>
      </c>
      <c r="G4213" s="43" t="s">
        <v>71</v>
      </c>
      <c r="H4213" s="43" t="s">
        <v>72</v>
      </c>
    </row>
    <row r="4214" spans="1:8" x14ac:dyDescent="0.25">
      <c r="A4214" s="43" t="s">
        <v>4476</v>
      </c>
      <c r="B4214" s="43" t="s">
        <v>73</v>
      </c>
      <c r="C4214" s="46">
        <v>23</v>
      </c>
      <c r="D4214" s="46">
        <v>543992.57487417245</v>
      </c>
      <c r="E4214" s="43">
        <v>48959.331738675523</v>
      </c>
      <c r="F4214" s="43" t="s">
        <v>106</v>
      </c>
      <c r="G4214" s="43" t="s">
        <v>71</v>
      </c>
      <c r="H4214" s="43" t="s">
        <v>72</v>
      </c>
    </row>
    <row r="4215" spans="1:8" x14ac:dyDescent="0.25">
      <c r="A4215" s="43" t="s">
        <v>3437</v>
      </c>
      <c r="B4215" s="43" t="s">
        <v>69</v>
      </c>
      <c r="C4215" s="46">
        <v>23</v>
      </c>
      <c r="D4215" s="46">
        <v>699954.46128442383</v>
      </c>
      <c r="E4215" s="43">
        <v>90994.0799669751</v>
      </c>
      <c r="F4215" s="43" t="s">
        <v>70</v>
      </c>
      <c r="G4215" s="43" t="s">
        <v>71</v>
      </c>
      <c r="H4215" s="43" t="s">
        <v>72</v>
      </c>
    </row>
    <row r="4216" spans="1:8" x14ac:dyDescent="0.25">
      <c r="A4216" s="72" t="s">
        <v>4623</v>
      </c>
      <c r="B4216" s="72" t="s">
        <v>378</v>
      </c>
      <c r="C4216" s="73">
        <v>23</v>
      </c>
      <c r="D4216" s="73">
        <v>535713.12588013883</v>
      </c>
      <c r="E4216" s="72">
        <v>42857.050070411111</v>
      </c>
      <c r="F4216" s="72" t="s">
        <v>106</v>
      </c>
      <c r="G4216" s="72" t="s">
        <v>71</v>
      </c>
      <c r="H4216" s="72" t="s">
        <v>72</v>
      </c>
    </row>
    <row r="4217" spans="1:8" x14ac:dyDescent="0.25">
      <c r="A4217" s="72" t="s">
        <v>3566</v>
      </c>
      <c r="B4217" s="72" t="s">
        <v>73</v>
      </c>
      <c r="C4217" s="73">
        <v>23</v>
      </c>
      <c r="D4217" s="73">
        <v>705273.97196226299</v>
      </c>
      <c r="E4217" s="72">
        <v>84632.876635471563</v>
      </c>
      <c r="F4217" s="72" t="s">
        <v>87</v>
      </c>
      <c r="G4217" s="72" t="s">
        <v>71</v>
      </c>
      <c r="H4217" s="72" t="s">
        <v>88</v>
      </c>
    </row>
    <row r="4218" spans="1:8" x14ac:dyDescent="0.25">
      <c r="A4218" s="72" t="s">
        <v>3395</v>
      </c>
      <c r="B4218" s="72" t="s">
        <v>93</v>
      </c>
      <c r="C4218" s="73">
        <v>23</v>
      </c>
      <c r="D4218" s="73">
        <v>716732.06517960306</v>
      </c>
      <c r="E4218" s="72">
        <v>93175.1684733484</v>
      </c>
      <c r="F4218" s="72" t="s">
        <v>87</v>
      </c>
      <c r="G4218" s="72" t="s">
        <v>71</v>
      </c>
      <c r="H4218" s="72" t="s">
        <v>88</v>
      </c>
    </row>
    <row r="4219" spans="1:8" x14ac:dyDescent="0.25">
      <c r="A4219" s="72" t="s">
        <v>3438</v>
      </c>
      <c r="B4219" s="72" t="s">
        <v>75</v>
      </c>
      <c r="C4219" s="73">
        <v>23</v>
      </c>
      <c r="D4219" s="73">
        <v>699954.46128442383</v>
      </c>
      <c r="E4219" s="72">
        <v>90994.0799669751</v>
      </c>
      <c r="F4219" s="72" t="s">
        <v>70</v>
      </c>
      <c r="G4219" s="72" t="s">
        <v>71</v>
      </c>
      <c r="H4219" s="72" t="s">
        <v>72</v>
      </c>
    </row>
    <row r="4220" spans="1:8" x14ac:dyDescent="0.25">
      <c r="A4220" s="72" t="s">
        <v>3774</v>
      </c>
      <c r="B4220" s="72" t="s">
        <v>93</v>
      </c>
      <c r="C4220" s="73">
        <v>23</v>
      </c>
      <c r="D4220" s="73">
        <v>692886.42769591813</v>
      </c>
      <c r="E4220" s="72">
        <v>76217.507046551007</v>
      </c>
      <c r="F4220" s="72" t="s">
        <v>87</v>
      </c>
      <c r="G4220" s="72" t="s">
        <v>71</v>
      </c>
      <c r="H4220" s="72" t="s">
        <v>88</v>
      </c>
    </row>
    <row r="4221" spans="1:8" x14ac:dyDescent="0.25">
      <c r="A4221" s="43" t="s">
        <v>3396</v>
      </c>
      <c r="B4221" s="43" t="s">
        <v>93</v>
      </c>
      <c r="C4221" s="46">
        <v>23</v>
      </c>
      <c r="D4221" s="46">
        <v>716732.06517960306</v>
      </c>
      <c r="E4221" s="43">
        <v>93175.1684733484</v>
      </c>
      <c r="F4221" s="43" t="s">
        <v>87</v>
      </c>
      <c r="G4221" s="43" t="s">
        <v>71</v>
      </c>
      <c r="H4221" s="43" t="s">
        <v>88</v>
      </c>
    </row>
    <row r="4222" spans="1:8" x14ac:dyDescent="0.25">
      <c r="A4222" s="72" t="s">
        <v>3623</v>
      </c>
      <c r="B4222" s="72" t="s">
        <v>439</v>
      </c>
      <c r="C4222" s="73">
        <v>23</v>
      </c>
      <c r="D4222" s="73">
        <v>683530.16509894689</v>
      </c>
      <c r="E4222" s="72">
        <v>82023.619811873636</v>
      </c>
      <c r="F4222" s="72" t="s">
        <v>70</v>
      </c>
      <c r="G4222" s="72" t="s">
        <v>71</v>
      </c>
      <c r="H4222" s="72" t="s">
        <v>72</v>
      </c>
    </row>
    <row r="4223" spans="1:8" x14ac:dyDescent="0.25">
      <c r="A4223" s="43" t="s">
        <v>4271</v>
      </c>
      <c r="B4223" s="43" t="s">
        <v>102</v>
      </c>
      <c r="C4223" s="46">
        <v>23</v>
      </c>
      <c r="D4223" s="46">
        <v>625178.94213706546</v>
      </c>
      <c r="E4223" s="43">
        <v>56266.104792335893</v>
      </c>
      <c r="F4223" s="43" t="s">
        <v>70</v>
      </c>
      <c r="G4223" s="43" t="s">
        <v>71</v>
      </c>
      <c r="H4223" s="43" t="s">
        <v>72</v>
      </c>
    </row>
    <row r="4224" spans="1:8" x14ac:dyDescent="0.25">
      <c r="A4224" s="43" t="s">
        <v>3973</v>
      </c>
      <c r="B4224" s="43" t="s">
        <v>73</v>
      </c>
      <c r="C4224" s="46">
        <v>23</v>
      </c>
      <c r="D4224" s="46">
        <v>679361.94602749706</v>
      </c>
      <c r="E4224" s="43">
        <v>67936.194602749703</v>
      </c>
      <c r="F4224" s="43" t="s">
        <v>87</v>
      </c>
      <c r="G4224" s="43" t="s">
        <v>71</v>
      </c>
      <c r="H4224" s="43" t="s">
        <v>88</v>
      </c>
    </row>
    <row r="4225" spans="1:8" x14ac:dyDescent="0.25">
      <c r="A4225" s="72" t="s">
        <v>4893</v>
      </c>
      <c r="B4225" s="72" t="s">
        <v>93</v>
      </c>
      <c r="C4225" s="73">
        <v>23</v>
      </c>
      <c r="D4225" s="73">
        <v>575699.58995662152</v>
      </c>
      <c r="E4225" s="72">
        <v>28784.979497831078</v>
      </c>
      <c r="F4225" s="72" t="s">
        <v>87</v>
      </c>
      <c r="G4225" s="72" t="s">
        <v>71</v>
      </c>
      <c r="H4225" s="72" t="s">
        <v>88</v>
      </c>
    </row>
    <row r="4226" spans="1:8" x14ac:dyDescent="0.25">
      <c r="A4226" s="43" t="s">
        <v>3624</v>
      </c>
      <c r="B4226" s="43" t="s">
        <v>97</v>
      </c>
      <c r="C4226" s="46">
        <v>23</v>
      </c>
      <c r="D4226" s="46">
        <v>683530.16509894689</v>
      </c>
      <c r="E4226" s="43">
        <v>82023.619811873636</v>
      </c>
      <c r="F4226" s="43" t="s">
        <v>70</v>
      </c>
      <c r="G4226" s="43" t="s">
        <v>71</v>
      </c>
      <c r="H4226" s="43" t="s">
        <v>72</v>
      </c>
    </row>
    <row r="4227" spans="1:8" x14ac:dyDescent="0.25">
      <c r="A4227" s="72" t="s">
        <v>4272</v>
      </c>
      <c r="B4227" s="72" t="s">
        <v>73</v>
      </c>
      <c r="C4227" s="73">
        <v>23</v>
      </c>
      <c r="D4227" s="73">
        <v>625178.94213706546</v>
      </c>
      <c r="E4227" s="72">
        <v>56266.104792335893</v>
      </c>
      <c r="F4227" s="72" t="s">
        <v>70</v>
      </c>
      <c r="G4227" s="72" t="s">
        <v>71</v>
      </c>
      <c r="H4227" s="72" t="s">
        <v>72</v>
      </c>
    </row>
    <row r="4228" spans="1:8" x14ac:dyDescent="0.25">
      <c r="A4228" s="43" t="s">
        <v>4624</v>
      </c>
      <c r="B4228" s="43" t="s">
        <v>73</v>
      </c>
      <c r="C4228" s="46">
        <v>23</v>
      </c>
      <c r="D4228" s="46">
        <v>535713.12588013883</v>
      </c>
      <c r="E4228" s="43">
        <v>42857.050070411111</v>
      </c>
      <c r="F4228" s="43" t="s">
        <v>106</v>
      </c>
      <c r="G4228" s="43" t="s">
        <v>71</v>
      </c>
      <c r="H4228" s="43" t="s">
        <v>72</v>
      </c>
    </row>
    <row r="4229" spans="1:8" x14ac:dyDescent="0.25">
      <c r="A4229" s="43" t="s">
        <v>3775</v>
      </c>
      <c r="B4229" s="43" t="s">
        <v>73</v>
      </c>
      <c r="C4229" s="46">
        <v>23</v>
      </c>
      <c r="D4229" s="46">
        <v>692886.42769591813</v>
      </c>
      <c r="E4229" s="43">
        <v>76217.507046551007</v>
      </c>
      <c r="F4229" s="43" t="s">
        <v>87</v>
      </c>
      <c r="G4229" s="43" t="s">
        <v>71</v>
      </c>
      <c r="H4229" s="43" t="s">
        <v>88</v>
      </c>
    </row>
    <row r="4230" spans="1:8" x14ac:dyDescent="0.25">
      <c r="A4230" s="72" t="s">
        <v>4865</v>
      </c>
      <c r="B4230" s="72" t="s">
        <v>93</v>
      </c>
      <c r="C4230" s="73">
        <v>23</v>
      </c>
      <c r="D4230" s="73">
        <v>515115.96007506148</v>
      </c>
      <c r="E4230" s="72">
        <v>30906.957604503696</v>
      </c>
      <c r="F4230" s="72" t="s">
        <v>106</v>
      </c>
      <c r="G4230" s="72" t="s">
        <v>71</v>
      </c>
      <c r="H4230" s="72" t="s">
        <v>72</v>
      </c>
    </row>
    <row r="4231" spans="1:8" x14ac:dyDescent="0.25">
      <c r="A4231" s="72" t="s">
        <v>3580</v>
      </c>
      <c r="B4231" s="72" t="s">
        <v>75</v>
      </c>
      <c r="C4231" s="73">
        <v>23</v>
      </c>
      <c r="D4231" s="73">
        <v>702780.36818482447</v>
      </c>
      <c r="E4231" s="72">
        <v>84333.644182178949</v>
      </c>
      <c r="F4231" s="72" t="s">
        <v>78</v>
      </c>
      <c r="G4231" s="72" t="s">
        <v>71</v>
      </c>
      <c r="H4231" s="72" t="s">
        <v>72</v>
      </c>
    </row>
    <row r="4232" spans="1:8" x14ac:dyDescent="0.25">
      <c r="A4232" s="43" t="s">
        <v>3567</v>
      </c>
      <c r="B4232" s="43" t="s">
        <v>73</v>
      </c>
      <c r="C4232" s="46">
        <v>23</v>
      </c>
      <c r="D4232" s="46">
        <v>705273.97196226299</v>
      </c>
      <c r="E4232" s="43">
        <v>84632.876635471563</v>
      </c>
      <c r="F4232" s="43" t="s">
        <v>87</v>
      </c>
      <c r="G4232" s="43" t="s">
        <v>71</v>
      </c>
      <c r="H4232" s="43" t="s">
        <v>88</v>
      </c>
    </row>
    <row r="4233" spans="1:8" x14ac:dyDescent="0.25">
      <c r="A4233" s="43" t="s">
        <v>4760</v>
      </c>
      <c r="B4233" s="43" t="s">
        <v>234</v>
      </c>
      <c r="C4233" s="46">
        <v>23</v>
      </c>
      <c r="D4233" s="46">
        <v>526244.47577519889</v>
      </c>
      <c r="E4233" s="43">
        <v>36837.113304263919</v>
      </c>
      <c r="F4233" s="43" t="s">
        <v>106</v>
      </c>
      <c r="G4233" s="43" t="s">
        <v>71</v>
      </c>
      <c r="H4233" s="43" t="s">
        <v>72</v>
      </c>
    </row>
    <row r="4234" spans="1:8" x14ac:dyDescent="0.25">
      <c r="A4234" s="72" t="s">
        <v>4953</v>
      </c>
      <c r="B4234" s="72" t="s">
        <v>73</v>
      </c>
      <c r="C4234" s="73">
        <v>23</v>
      </c>
      <c r="D4234" s="73">
        <v>501482.54403435695</v>
      </c>
      <c r="E4234" s="72">
        <v>25074.127201717849</v>
      </c>
      <c r="F4234" s="72" t="s">
        <v>106</v>
      </c>
      <c r="G4234" s="72" t="s">
        <v>71</v>
      </c>
      <c r="H4234" s="72" t="s">
        <v>72</v>
      </c>
    </row>
    <row r="4235" spans="1:8" x14ac:dyDescent="0.25">
      <c r="A4235" s="72" t="s">
        <v>4470</v>
      </c>
      <c r="B4235" s="72" t="s">
        <v>73</v>
      </c>
      <c r="C4235" s="73">
        <v>23</v>
      </c>
      <c r="D4235" s="73">
        <v>618200.42406606011</v>
      </c>
      <c r="E4235" s="72">
        <v>49456.033925284806</v>
      </c>
      <c r="F4235" s="72" t="s">
        <v>78</v>
      </c>
      <c r="G4235" s="72" t="s">
        <v>71</v>
      </c>
      <c r="H4235" s="72" t="s">
        <v>72</v>
      </c>
    </row>
    <row r="4236" spans="1:8" x14ac:dyDescent="0.25">
      <c r="A4236" s="72" t="s">
        <v>3974</v>
      </c>
      <c r="B4236" s="72" t="s">
        <v>73</v>
      </c>
      <c r="C4236" s="73">
        <v>23</v>
      </c>
      <c r="D4236" s="73">
        <v>679361.94602749706</v>
      </c>
      <c r="E4236" s="72">
        <v>67936.194602749703</v>
      </c>
      <c r="F4236" s="72" t="s">
        <v>87</v>
      </c>
      <c r="G4236" s="72" t="s">
        <v>71</v>
      </c>
      <c r="H4236" s="72" t="s">
        <v>88</v>
      </c>
    </row>
    <row r="4237" spans="1:8" x14ac:dyDescent="0.25">
      <c r="A4237" s="72" t="s">
        <v>4403</v>
      </c>
      <c r="B4237" s="72" t="s">
        <v>73</v>
      </c>
      <c r="C4237" s="73">
        <v>23</v>
      </c>
      <c r="D4237" s="73">
        <v>647591.46322683909</v>
      </c>
      <c r="E4237" s="72">
        <v>51807.317058147128</v>
      </c>
      <c r="F4237" s="72" t="s">
        <v>87</v>
      </c>
      <c r="G4237" s="72" t="s">
        <v>71</v>
      </c>
      <c r="H4237" s="72" t="s">
        <v>88</v>
      </c>
    </row>
    <row r="4238" spans="1:8" x14ac:dyDescent="0.25">
      <c r="A4238" s="72" t="s">
        <v>3397</v>
      </c>
      <c r="B4238" s="72" t="s">
        <v>73</v>
      </c>
      <c r="C4238" s="73">
        <v>23</v>
      </c>
      <c r="D4238" s="73">
        <v>716732.06517960306</v>
      </c>
      <c r="E4238" s="72">
        <v>93175.1684733484</v>
      </c>
      <c r="F4238" s="72" t="s">
        <v>87</v>
      </c>
      <c r="G4238" s="72" t="s">
        <v>71</v>
      </c>
      <c r="H4238" s="72" t="s">
        <v>88</v>
      </c>
    </row>
    <row r="4239" spans="1:8" x14ac:dyDescent="0.25">
      <c r="A4239" s="43" t="s">
        <v>3123</v>
      </c>
      <c r="B4239" s="43" t="s">
        <v>89</v>
      </c>
      <c r="C4239" s="46">
        <v>23</v>
      </c>
      <c r="D4239" s="46">
        <v>680463.22284873179</v>
      </c>
      <c r="E4239" s="43">
        <v>108874.11565579708</v>
      </c>
      <c r="F4239" s="43" t="s">
        <v>95</v>
      </c>
      <c r="G4239" s="43" t="s">
        <v>96</v>
      </c>
      <c r="H4239" s="43" t="s">
        <v>88</v>
      </c>
    </row>
    <row r="4240" spans="1:8" x14ac:dyDescent="0.25">
      <c r="A4240" s="43" t="s">
        <v>4054</v>
      </c>
      <c r="B4240" s="43" t="s">
        <v>97</v>
      </c>
      <c r="C4240" s="46">
        <v>23</v>
      </c>
      <c r="D4240" s="46">
        <v>646521.962097393</v>
      </c>
      <c r="E4240" s="43">
        <v>64652.196209739304</v>
      </c>
      <c r="F4240" s="43" t="s">
        <v>70</v>
      </c>
      <c r="G4240" s="43" t="s">
        <v>71</v>
      </c>
      <c r="H4240" s="43" t="s">
        <v>72</v>
      </c>
    </row>
    <row r="4241" spans="1:8" x14ac:dyDescent="0.25">
      <c r="A4241" s="72" t="s">
        <v>4761</v>
      </c>
      <c r="B4241" s="72" t="s">
        <v>73</v>
      </c>
      <c r="C4241" s="73">
        <v>23</v>
      </c>
      <c r="D4241" s="73">
        <v>526244.47577519889</v>
      </c>
      <c r="E4241" s="72">
        <v>36837.113304263919</v>
      </c>
      <c r="F4241" s="72" t="s">
        <v>106</v>
      </c>
      <c r="G4241" s="72" t="s">
        <v>71</v>
      </c>
      <c r="H4241" s="72" t="s">
        <v>72</v>
      </c>
    </row>
    <row r="4242" spans="1:8" x14ac:dyDescent="0.25">
      <c r="A4242" s="72" t="s">
        <v>3984</v>
      </c>
      <c r="B4242" s="72" t="s">
        <v>554</v>
      </c>
      <c r="C4242" s="73">
        <v>23</v>
      </c>
      <c r="D4242" s="73">
        <v>564157.11613739294</v>
      </c>
      <c r="E4242" s="72">
        <v>67698.853936487154</v>
      </c>
      <c r="F4242" s="72" t="s">
        <v>106</v>
      </c>
      <c r="G4242" s="72" t="s">
        <v>71</v>
      </c>
      <c r="H4242" s="72" t="s">
        <v>72</v>
      </c>
    </row>
    <row r="4243" spans="1:8" x14ac:dyDescent="0.25">
      <c r="A4243" s="72" t="s">
        <v>4055</v>
      </c>
      <c r="B4243" s="72" t="s">
        <v>102</v>
      </c>
      <c r="C4243" s="73">
        <v>23</v>
      </c>
      <c r="D4243" s="73">
        <v>646521.962097393</v>
      </c>
      <c r="E4243" s="72">
        <v>64652.196209739304</v>
      </c>
      <c r="F4243" s="72" t="s">
        <v>70</v>
      </c>
      <c r="G4243" s="72" t="s">
        <v>71</v>
      </c>
      <c r="H4243" s="72" t="s">
        <v>72</v>
      </c>
    </row>
    <row r="4244" spans="1:8" x14ac:dyDescent="0.25">
      <c r="A4244" s="43" t="s">
        <v>3279</v>
      </c>
      <c r="B4244" s="43" t="s">
        <v>211</v>
      </c>
      <c r="C4244" s="46">
        <v>23</v>
      </c>
      <c r="D4244" s="46">
        <v>715316.74881844991</v>
      </c>
      <c r="E4244" s="43">
        <v>100144.34483458298</v>
      </c>
      <c r="F4244" s="43" t="s">
        <v>70</v>
      </c>
      <c r="G4244" s="43" t="s">
        <v>71</v>
      </c>
      <c r="H4244" s="43" t="s">
        <v>72</v>
      </c>
    </row>
    <row r="4245" spans="1:8" x14ac:dyDescent="0.25">
      <c r="A4245" s="43" t="s">
        <v>4596</v>
      </c>
      <c r="B4245" s="43" t="s">
        <v>73</v>
      </c>
      <c r="C4245" s="46">
        <v>23</v>
      </c>
      <c r="D4245" s="46">
        <v>628222.78703807399</v>
      </c>
      <c r="E4245" s="43">
        <v>43975.595092665171</v>
      </c>
      <c r="F4245" s="43" t="s">
        <v>87</v>
      </c>
      <c r="G4245" s="43" t="s">
        <v>71</v>
      </c>
      <c r="H4245" s="43" t="s">
        <v>88</v>
      </c>
    </row>
    <row r="4246" spans="1:8" x14ac:dyDescent="0.25">
      <c r="A4246" s="43" t="s">
        <v>4011</v>
      </c>
      <c r="B4246" s="43" t="s">
        <v>75</v>
      </c>
      <c r="C4246" s="46">
        <v>23</v>
      </c>
      <c r="D4246" s="46">
        <v>664811.95818926138</v>
      </c>
      <c r="E4246" s="43">
        <v>66481.195818926135</v>
      </c>
      <c r="F4246" s="43" t="s">
        <v>78</v>
      </c>
      <c r="G4246" s="43" t="s">
        <v>71</v>
      </c>
      <c r="H4246" s="43" t="s">
        <v>72</v>
      </c>
    </row>
    <row r="4247" spans="1:8" x14ac:dyDescent="0.25">
      <c r="A4247" s="72" t="s">
        <v>4597</v>
      </c>
      <c r="B4247" s="72" t="s">
        <v>124</v>
      </c>
      <c r="C4247" s="73">
        <v>23</v>
      </c>
      <c r="D4247" s="73">
        <v>628222.78703807399</v>
      </c>
      <c r="E4247" s="72">
        <v>43975.595092665171</v>
      </c>
      <c r="F4247" s="72" t="s">
        <v>87</v>
      </c>
      <c r="G4247" s="72" t="s">
        <v>71</v>
      </c>
      <c r="H4247" s="72" t="s">
        <v>88</v>
      </c>
    </row>
    <row r="4248" spans="1:8" x14ac:dyDescent="0.25">
      <c r="A4248" s="43" t="s">
        <v>3975</v>
      </c>
      <c r="B4248" s="43" t="s">
        <v>73</v>
      </c>
      <c r="C4248" s="46">
        <v>23</v>
      </c>
      <c r="D4248" s="46">
        <v>679361.94602749706</v>
      </c>
      <c r="E4248" s="43">
        <v>67936.194602749703</v>
      </c>
      <c r="F4248" s="43" t="s">
        <v>87</v>
      </c>
      <c r="G4248" s="43" t="s">
        <v>71</v>
      </c>
      <c r="H4248" s="43" t="s">
        <v>88</v>
      </c>
    </row>
    <row r="4249" spans="1:8" x14ac:dyDescent="0.25">
      <c r="A4249" s="43" t="s">
        <v>4471</v>
      </c>
      <c r="B4249" s="43" t="s">
        <v>75</v>
      </c>
      <c r="C4249" s="46">
        <v>23</v>
      </c>
      <c r="D4249" s="46">
        <v>618200.42406606011</v>
      </c>
      <c r="E4249" s="43">
        <v>49456.033925284806</v>
      </c>
      <c r="F4249" s="43" t="s">
        <v>78</v>
      </c>
      <c r="G4249" s="43" t="s">
        <v>71</v>
      </c>
      <c r="H4249" s="43" t="s">
        <v>72</v>
      </c>
    </row>
    <row r="4250" spans="1:8" x14ac:dyDescent="0.25">
      <c r="A4250" s="43" t="s">
        <v>4404</v>
      </c>
      <c r="B4250" s="43" t="s">
        <v>93</v>
      </c>
      <c r="C4250" s="46">
        <v>23</v>
      </c>
      <c r="D4250" s="46">
        <v>647591.46322683909</v>
      </c>
      <c r="E4250" s="43">
        <v>51807.317058147128</v>
      </c>
      <c r="F4250" s="43" t="s">
        <v>87</v>
      </c>
      <c r="G4250" s="43" t="s">
        <v>71</v>
      </c>
      <c r="H4250" s="43" t="s">
        <v>88</v>
      </c>
    </row>
    <row r="4251" spans="1:8" x14ac:dyDescent="0.25">
      <c r="A4251" s="72" t="s">
        <v>3788</v>
      </c>
      <c r="B4251" s="72" t="s">
        <v>75</v>
      </c>
      <c r="C4251" s="73">
        <v>23</v>
      </c>
      <c r="D4251" s="73">
        <v>684612.90115321928</v>
      </c>
      <c r="E4251" s="72">
        <v>75307.419126854133</v>
      </c>
      <c r="F4251" s="72" t="s">
        <v>78</v>
      </c>
      <c r="G4251" s="72" t="s">
        <v>71</v>
      </c>
      <c r="H4251" s="72" t="s">
        <v>72</v>
      </c>
    </row>
    <row r="4252" spans="1:8" x14ac:dyDescent="0.25">
      <c r="A4252" s="43" t="s">
        <v>3398</v>
      </c>
      <c r="B4252" s="43" t="s">
        <v>93</v>
      </c>
      <c r="C4252" s="46">
        <v>23</v>
      </c>
      <c r="D4252" s="46">
        <v>716732.06517960306</v>
      </c>
      <c r="E4252" s="43">
        <v>93175.1684733484</v>
      </c>
      <c r="F4252" s="43" t="s">
        <v>87</v>
      </c>
      <c r="G4252" s="43" t="s">
        <v>71</v>
      </c>
      <c r="H4252" s="43" t="s">
        <v>88</v>
      </c>
    </row>
    <row r="4253" spans="1:8" x14ac:dyDescent="0.25">
      <c r="A4253" s="43" t="s">
        <v>3837</v>
      </c>
      <c r="B4253" s="43" t="s">
        <v>83</v>
      </c>
      <c r="C4253" s="46">
        <v>22</v>
      </c>
      <c r="D4253" s="46">
        <v>662497.48104776244</v>
      </c>
      <c r="E4253" s="43">
        <v>72874.722915253878</v>
      </c>
      <c r="F4253" s="43" t="s">
        <v>87</v>
      </c>
      <c r="G4253" s="43" t="s">
        <v>71</v>
      </c>
      <c r="H4253" s="43" t="s">
        <v>88</v>
      </c>
    </row>
    <row r="4254" spans="1:8" x14ac:dyDescent="0.25">
      <c r="A4254" s="43" t="s">
        <v>4645</v>
      </c>
      <c r="B4254" s="43" t="s">
        <v>73</v>
      </c>
      <c r="C4254" s="46">
        <v>22</v>
      </c>
      <c r="D4254" s="46">
        <v>600645.303027216</v>
      </c>
      <c r="E4254" s="43">
        <v>42045.171211905115</v>
      </c>
      <c r="F4254" s="43" t="s">
        <v>87</v>
      </c>
      <c r="G4254" s="43" t="s">
        <v>71</v>
      </c>
      <c r="H4254" s="43" t="s">
        <v>88</v>
      </c>
    </row>
    <row r="4255" spans="1:8" x14ac:dyDescent="0.25">
      <c r="A4255" s="72" t="s">
        <v>3838</v>
      </c>
      <c r="B4255" s="72" t="s">
        <v>73</v>
      </c>
      <c r="C4255" s="73">
        <v>22</v>
      </c>
      <c r="D4255" s="73">
        <v>662497.48104776244</v>
      </c>
      <c r="E4255" s="72">
        <v>72874.722915253878</v>
      </c>
      <c r="F4255" s="72" t="s">
        <v>87</v>
      </c>
      <c r="G4255" s="72" t="s">
        <v>71</v>
      </c>
      <c r="H4255" s="72" t="s">
        <v>88</v>
      </c>
    </row>
    <row r="4256" spans="1:8" x14ac:dyDescent="0.25">
      <c r="A4256" s="43" t="s">
        <v>3475</v>
      </c>
      <c r="B4256" s="43" t="s">
        <v>93</v>
      </c>
      <c r="C4256" s="46">
        <v>22</v>
      </c>
      <c r="D4256" s="46">
        <v>685306.35168433073</v>
      </c>
      <c r="E4256" s="43">
        <v>89089.825718962995</v>
      </c>
      <c r="F4256" s="43" t="s">
        <v>87</v>
      </c>
      <c r="G4256" s="43" t="s">
        <v>71</v>
      </c>
      <c r="H4256" s="43" t="s">
        <v>88</v>
      </c>
    </row>
    <row r="4257" spans="1:8" x14ac:dyDescent="0.25">
      <c r="A4257" s="72" t="s">
        <v>4646</v>
      </c>
      <c r="B4257" s="72" t="s">
        <v>73</v>
      </c>
      <c r="C4257" s="73">
        <v>22</v>
      </c>
      <c r="D4257" s="73">
        <v>600645.303027216</v>
      </c>
      <c r="E4257" s="72">
        <v>42045.171211905115</v>
      </c>
      <c r="F4257" s="72" t="s">
        <v>87</v>
      </c>
      <c r="G4257" s="72" t="s">
        <v>71</v>
      </c>
      <c r="H4257" s="72" t="s">
        <v>88</v>
      </c>
    </row>
    <row r="4258" spans="1:8" x14ac:dyDescent="0.25">
      <c r="A4258" s="43" t="s">
        <v>4340</v>
      </c>
      <c r="B4258" s="43" t="s">
        <v>97</v>
      </c>
      <c r="C4258" s="46">
        <v>22</v>
      </c>
      <c r="D4258" s="46">
        <v>597693.87925874384</v>
      </c>
      <c r="E4258" s="43">
        <v>53792.449133286944</v>
      </c>
      <c r="F4258" s="43" t="s">
        <v>70</v>
      </c>
      <c r="G4258" s="43" t="s">
        <v>71</v>
      </c>
      <c r="H4258" s="43" t="s">
        <v>72</v>
      </c>
    </row>
    <row r="4259" spans="1:8" x14ac:dyDescent="0.25">
      <c r="A4259" s="72" t="s">
        <v>4527</v>
      </c>
      <c r="B4259" s="72" t="s">
        <v>75</v>
      </c>
      <c r="C4259" s="73">
        <v>22</v>
      </c>
      <c r="D4259" s="73">
        <v>520043.92029796995</v>
      </c>
      <c r="E4259" s="72">
        <v>46803.952826817294</v>
      </c>
      <c r="F4259" s="72" t="s">
        <v>106</v>
      </c>
      <c r="G4259" s="72" t="s">
        <v>71</v>
      </c>
      <c r="H4259" s="72" t="s">
        <v>72</v>
      </c>
    </row>
    <row r="4260" spans="1:8" x14ac:dyDescent="0.25">
      <c r="A4260" s="72" t="s">
        <v>3476</v>
      </c>
      <c r="B4260" s="72" t="s">
        <v>73</v>
      </c>
      <c r="C4260" s="73">
        <v>22</v>
      </c>
      <c r="D4260" s="73">
        <v>685306.35168433073</v>
      </c>
      <c r="E4260" s="72">
        <v>89089.825718962995</v>
      </c>
      <c r="F4260" s="72" t="s">
        <v>87</v>
      </c>
      <c r="G4260" s="72" t="s">
        <v>71</v>
      </c>
      <c r="H4260" s="72" t="s">
        <v>88</v>
      </c>
    </row>
    <row r="4261" spans="1:8" x14ac:dyDescent="0.25">
      <c r="A4261" s="43" t="s">
        <v>4907</v>
      </c>
      <c r="B4261" s="43" t="s">
        <v>176</v>
      </c>
      <c r="C4261" s="46">
        <v>22</v>
      </c>
      <c r="D4261" s="46">
        <v>550405.72321017447</v>
      </c>
      <c r="E4261" s="43">
        <v>27520.286160508724</v>
      </c>
      <c r="F4261" s="43" t="s">
        <v>87</v>
      </c>
      <c r="G4261" s="43" t="s">
        <v>71</v>
      </c>
      <c r="H4261" s="43" t="s">
        <v>88</v>
      </c>
    </row>
    <row r="4262" spans="1:8" x14ac:dyDescent="0.25">
      <c r="A4262" s="43" t="s">
        <v>3477</v>
      </c>
      <c r="B4262" s="43" t="s">
        <v>93</v>
      </c>
      <c r="C4262" s="46">
        <v>22</v>
      </c>
      <c r="D4262" s="46">
        <v>685306.35168433073</v>
      </c>
      <c r="E4262" s="43">
        <v>89089.825718962995</v>
      </c>
      <c r="F4262" s="43" t="s">
        <v>87</v>
      </c>
      <c r="G4262" s="43" t="s">
        <v>71</v>
      </c>
      <c r="H4262" s="43" t="s">
        <v>88</v>
      </c>
    </row>
    <row r="4263" spans="1:8" x14ac:dyDescent="0.25">
      <c r="A4263" s="43" t="s">
        <v>4243</v>
      </c>
      <c r="B4263" s="43" t="s">
        <v>73</v>
      </c>
      <c r="C4263" s="46">
        <v>22</v>
      </c>
      <c r="D4263" s="46">
        <v>635257.38628077623</v>
      </c>
      <c r="E4263" s="43">
        <v>57173.164765269859</v>
      </c>
      <c r="F4263" s="43" t="s">
        <v>87</v>
      </c>
      <c r="G4263" s="43" t="s">
        <v>71</v>
      </c>
      <c r="H4263" s="43" t="s">
        <v>88</v>
      </c>
    </row>
    <row r="4264" spans="1:8" x14ac:dyDescent="0.25">
      <c r="A4264" s="72" t="s">
        <v>4043</v>
      </c>
      <c r="B4264" s="72" t="s">
        <v>108</v>
      </c>
      <c r="C4264" s="73">
        <v>22</v>
      </c>
      <c r="D4264" s="73">
        <v>649561.0203214467</v>
      </c>
      <c r="E4264" s="72">
        <v>64956.10203214467</v>
      </c>
      <c r="F4264" s="72" t="s">
        <v>87</v>
      </c>
      <c r="G4264" s="72" t="s">
        <v>71</v>
      </c>
      <c r="H4264" s="72" t="s">
        <v>88</v>
      </c>
    </row>
    <row r="4265" spans="1:8" x14ac:dyDescent="0.25">
      <c r="A4265" s="72" t="s">
        <v>4908</v>
      </c>
      <c r="B4265" s="72" t="s">
        <v>73</v>
      </c>
      <c r="C4265" s="73">
        <v>22</v>
      </c>
      <c r="D4265" s="73">
        <v>550405.72321017447</v>
      </c>
      <c r="E4265" s="72">
        <v>27520.286160508724</v>
      </c>
      <c r="F4265" s="72" t="s">
        <v>87</v>
      </c>
      <c r="G4265" s="72" t="s">
        <v>71</v>
      </c>
      <c r="H4265" s="72" t="s">
        <v>88</v>
      </c>
    </row>
    <row r="4266" spans="1:8" x14ac:dyDescent="0.25">
      <c r="A4266" s="72" t="s">
        <v>4095</v>
      </c>
      <c r="B4266" s="72" t="s">
        <v>75</v>
      </c>
      <c r="C4266" s="73">
        <v>22</v>
      </c>
      <c r="D4266" s="73">
        <v>635556.33745353797</v>
      </c>
      <c r="E4266" s="72">
        <v>63555.6337453538</v>
      </c>
      <c r="F4266" s="72" t="s">
        <v>78</v>
      </c>
      <c r="G4266" s="72" t="s">
        <v>71</v>
      </c>
      <c r="H4266" s="72" t="s">
        <v>72</v>
      </c>
    </row>
    <row r="4267" spans="1:8" x14ac:dyDescent="0.25">
      <c r="A4267" s="72" t="s">
        <v>4210</v>
      </c>
      <c r="B4267" s="72" t="s">
        <v>75</v>
      </c>
      <c r="C4267" s="73">
        <v>22</v>
      </c>
      <c r="D4267" s="73">
        <v>533490.31636499299</v>
      </c>
      <c r="E4267" s="72">
        <v>58683.93480014924</v>
      </c>
      <c r="F4267" s="72" t="s">
        <v>106</v>
      </c>
      <c r="G4267" s="72" t="s">
        <v>71</v>
      </c>
      <c r="H4267" s="72" t="s">
        <v>72</v>
      </c>
    </row>
    <row r="4268" spans="1:8" x14ac:dyDescent="0.25">
      <c r="A4268" s="43" t="s">
        <v>3839</v>
      </c>
      <c r="B4268" s="43" t="s">
        <v>93</v>
      </c>
      <c r="C4268" s="46">
        <v>22</v>
      </c>
      <c r="D4268" s="46">
        <v>662497.48104776244</v>
      </c>
      <c r="E4268" s="43">
        <v>72874.722915253878</v>
      </c>
      <c r="F4268" s="43" t="s">
        <v>87</v>
      </c>
      <c r="G4268" s="43" t="s">
        <v>71</v>
      </c>
      <c r="H4268" s="43" t="s">
        <v>88</v>
      </c>
    </row>
    <row r="4269" spans="1:8" x14ac:dyDescent="0.25">
      <c r="A4269" s="43" t="s">
        <v>4647</v>
      </c>
      <c r="B4269" s="43" t="s">
        <v>73</v>
      </c>
      <c r="C4269" s="46">
        <v>22</v>
      </c>
      <c r="D4269" s="46">
        <v>600645.303027216</v>
      </c>
      <c r="E4269" s="43">
        <v>42045.171211905115</v>
      </c>
      <c r="F4269" s="43" t="s">
        <v>87</v>
      </c>
      <c r="G4269" s="43" t="s">
        <v>71</v>
      </c>
      <c r="H4269" s="43" t="s">
        <v>88</v>
      </c>
    </row>
    <row r="4270" spans="1:8" x14ac:dyDescent="0.25">
      <c r="A4270" s="43" t="s">
        <v>4044</v>
      </c>
      <c r="B4270" s="43" t="s">
        <v>202</v>
      </c>
      <c r="C4270" s="46">
        <v>22</v>
      </c>
      <c r="D4270" s="46">
        <v>649561.0203214467</v>
      </c>
      <c r="E4270" s="43">
        <v>64956.10203214467</v>
      </c>
      <c r="F4270" s="43" t="s">
        <v>87</v>
      </c>
      <c r="G4270" s="43" t="s">
        <v>71</v>
      </c>
      <c r="H4270" s="43" t="s">
        <v>88</v>
      </c>
    </row>
    <row r="4271" spans="1:8" x14ac:dyDescent="0.25">
      <c r="A4271" s="72" t="s">
        <v>3922</v>
      </c>
      <c r="B4271" s="72" t="s">
        <v>97</v>
      </c>
      <c r="C4271" s="73">
        <v>22</v>
      </c>
      <c r="D4271" s="73">
        <v>636569.98784138705</v>
      </c>
      <c r="E4271" s="72">
        <v>70022.69866255259</v>
      </c>
      <c r="F4271" s="72" t="s">
        <v>70</v>
      </c>
      <c r="G4271" s="72" t="s">
        <v>71</v>
      </c>
      <c r="H4271" s="72" t="s">
        <v>72</v>
      </c>
    </row>
    <row r="4272" spans="1:8" x14ac:dyDescent="0.25">
      <c r="A4272" s="43" t="s">
        <v>4682</v>
      </c>
      <c r="B4272" s="43" t="s">
        <v>554</v>
      </c>
      <c r="C4272" s="46">
        <v>22</v>
      </c>
      <c r="D4272" s="46">
        <v>512124.44734715513</v>
      </c>
      <c r="E4272" s="43">
        <v>40969.955787772415</v>
      </c>
      <c r="F4272" s="43" t="s">
        <v>106</v>
      </c>
      <c r="G4272" s="43" t="s">
        <v>71</v>
      </c>
      <c r="H4272" s="43" t="s">
        <v>72</v>
      </c>
    </row>
    <row r="4273" spans="1:8" x14ac:dyDescent="0.25">
      <c r="A4273" s="72" t="s">
        <v>4887</v>
      </c>
      <c r="B4273" s="72" t="s">
        <v>93</v>
      </c>
      <c r="C4273" s="73">
        <v>22</v>
      </c>
      <c r="D4273" s="73">
        <v>492422.81049012445</v>
      </c>
      <c r="E4273" s="72">
        <v>29545.368629407472</v>
      </c>
      <c r="F4273" s="72" t="s">
        <v>106</v>
      </c>
      <c r="G4273" s="72" t="s">
        <v>71</v>
      </c>
      <c r="H4273" s="72" t="s">
        <v>72</v>
      </c>
    </row>
    <row r="4274" spans="1:8" x14ac:dyDescent="0.25">
      <c r="A4274" s="72" t="s">
        <v>3358</v>
      </c>
      <c r="B4274" s="72" t="s">
        <v>103</v>
      </c>
      <c r="C4274" s="73">
        <v>22</v>
      </c>
      <c r="D4274" s="73">
        <v>683912.65086702467</v>
      </c>
      <c r="E4274" s="72">
        <v>95747.771121383441</v>
      </c>
      <c r="F4274" s="72" t="s">
        <v>70</v>
      </c>
      <c r="G4274" s="72" t="s">
        <v>71</v>
      </c>
      <c r="H4274" s="72" t="s">
        <v>72</v>
      </c>
    </row>
    <row r="4275" spans="1:8" x14ac:dyDescent="0.25">
      <c r="A4275" s="43" t="s">
        <v>3712</v>
      </c>
      <c r="B4275" s="43" t="s">
        <v>73</v>
      </c>
      <c r="C4275" s="46">
        <v>22</v>
      </c>
      <c r="D4275" s="46">
        <v>653508.09252663038</v>
      </c>
      <c r="E4275" s="43">
        <v>78420.971103195654</v>
      </c>
      <c r="F4275" s="43" t="s">
        <v>70</v>
      </c>
      <c r="G4275" s="43" t="s">
        <v>71</v>
      </c>
      <c r="H4275" s="43" t="s">
        <v>72</v>
      </c>
    </row>
    <row r="4276" spans="1:8" x14ac:dyDescent="0.25">
      <c r="A4276" s="72" t="s">
        <v>4140</v>
      </c>
      <c r="B4276" s="72" t="s">
        <v>97</v>
      </c>
      <c r="C4276" s="73">
        <v>22</v>
      </c>
      <c r="D4276" s="73">
        <v>618108.94182949199</v>
      </c>
      <c r="E4276" s="72">
        <v>61810.894182949203</v>
      </c>
      <c r="F4276" s="72" t="s">
        <v>70</v>
      </c>
      <c r="G4276" s="72" t="s">
        <v>71</v>
      </c>
      <c r="H4276" s="72" t="s">
        <v>72</v>
      </c>
    </row>
    <row r="4277" spans="1:8" x14ac:dyDescent="0.25">
      <c r="A4277" s="43" t="s">
        <v>4141</v>
      </c>
      <c r="B4277" s="43" t="s">
        <v>77</v>
      </c>
      <c r="C4277" s="46">
        <v>22</v>
      </c>
      <c r="D4277" s="46">
        <v>618108.94182949199</v>
      </c>
      <c r="E4277" s="43">
        <v>61810.894182949203</v>
      </c>
      <c r="F4277" s="43" t="s">
        <v>70</v>
      </c>
      <c r="G4277" s="43" t="s">
        <v>71</v>
      </c>
      <c r="H4277" s="43" t="s">
        <v>72</v>
      </c>
    </row>
    <row r="4278" spans="1:8" x14ac:dyDescent="0.25">
      <c r="A4278" s="72" t="s">
        <v>4683</v>
      </c>
      <c r="B4278" s="72" t="s">
        <v>73</v>
      </c>
      <c r="C4278" s="73">
        <v>22</v>
      </c>
      <c r="D4278" s="73">
        <v>512124.44734715513</v>
      </c>
      <c r="E4278" s="72">
        <v>40969.955787772415</v>
      </c>
      <c r="F4278" s="72" t="s">
        <v>106</v>
      </c>
      <c r="G4278" s="72" t="s">
        <v>71</v>
      </c>
      <c r="H4278" s="72" t="s">
        <v>72</v>
      </c>
    </row>
    <row r="4279" spans="1:8" x14ac:dyDescent="0.25">
      <c r="A4279" s="43" t="s">
        <v>4909</v>
      </c>
      <c r="B4279" s="43" t="s">
        <v>73</v>
      </c>
      <c r="C4279" s="46">
        <v>22</v>
      </c>
      <c r="D4279" s="46">
        <v>550405.72321017447</v>
      </c>
      <c r="E4279" s="43">
        <v>27520.286160508724</v>
      </c>
      <c r="F4279" s="43" t="s">
        <v>87</v>
      </c>
      <c r="G4279" s="43" t="s">
        <v>71</v>
      </c>
      <c r="H4279" s="43" t="s">
        <v>88</v>
      </c>
    </row>
    <row r="4280" spans="1:8" x14ac:dyDescent="0.25">
      <c r="A4280" s="43" t="s">
        <v>3923</v>
      </c>
      <c r="B4280" s="43" t="s">
        <v>75</v>
      </c>
      <c r="C4280" s="46">
        <v>22</v>
      </c>
      <c r="D4280" s="46">
        <v>636569.98784138705</v>
      </c>
      <c r="E4280" s="43">
        <v>70022.69866255259</v>
      </c>
      <c r="F4280" s="43" t="s">
        <v>70</v>
      </c>
      <c r="G4280" s="43" t="s">
        <v>71</v>
      </c>
      <c r="H4280" s="43" t="s">
        <v>72</v>
      </c>
    </row>
    <row r="4281" spans="1:8" x14ac:dyDescent="0.25">
      <c r="A4281" s="72" t="s">
        <v>4910</v>
      </c>
      <c r="B4281" s="72" t="s">
        <v>1247</v>
      </c>
      <c r="C4281" s="73">
        <v>22</v>
      </c>
      <c r="D4281" s="73">
        <v>550405.72321017447</v>
      </c>
      <c r="E4281" s="72">
        <v>27520.286160508724</v>
      </c>
      <c r="F4281" s="72" t="s">
        <v>87</v>
      </c>
      <c r="G4281" s="72" t="s">
        <v>71</v>
      </c>
      <c r="H4281" s="72" t="s">
        <v>88</v>
      </c>
    </row>
    <row r="4282" spans="1:8" x14ac:dyDescent="0.25">
      <c r="A4282" s="43" t="s">
        <v>4528</v>
      </c>
      <c r="B4282" s="43" t="s">
        <v>73</v>
      </c>
      <c r="C4282" s="46">
        <v>22</v>
      </c>
      <c r="D4282" s="46">
        <v>520043.92029796995</v>
      </c>
      <c r="E4282" s="43">
        <v>46803.952826817294</v>
      </c>
      <c r="F4282" s="43" t="s">
        <v>106</v>
      </c>
      <c r="G4282" s="43" t="s">
        <v>71</v>
      </c>
      <c r="H4282" s="43" t="s">
        <v>72</v>
      </c>
    </row>
    <row r="4283" spans="1:8" x14ac:dyDescent="0.25">
      <c r="A4283" s="43" t="s">
        <v>3513</v>
      </c>
      <c r="B4283" s="43" t="s">
        <v>73</v>
      </c>
      <c r="C4283" s="46">
        <v>22</v>
      </c>
      <c r="D4283" s="46">
        <v>669218.28887795634</v>
      </c>
      <c r="E4283" s="43">
        <v>86998.37755413432</v>
      </c>
      <c r="F4283" s="43" t="s">
        <v>70</v>
      </c>
      <c r="G4283" s="43" t="s">
        <v>71</v>
      </c>
      <c r="H4283" s="43" t="s">
        <v>72</v>
      </c>
    </row>
    <row r="4284" spans="1:8" x14ac:dyDescent="0.25">
      <c r="A4284" s="72" t="s">
        <v>3316</v>
      </c>
      <c r="B4284" s="72" t="s">
        <v>75</v>
      </c>
      <c r="C4284" s="73">
        <v>22</v>
      </c>
      <c r="D4284" s="73">
        <v>703067.37558367546</v>
      </c>
      <c r="E4284" s="72">
        <v>98429.432581714558</v>
      </c>
      <c r="F4284" s="72" t="s">
        <v>78</v>
      </c>
      <c r="G4284" s="72" t="s">
        <v>71</v>
      </c>
      <c r="H4284" s="72" t="s">
        <v>72</v>
      </c>
    </row>
    <row r="4285" spans="1:8" x14ac:dyDescent="0.25">
      <c r="A4285" s="72" t="s">
        <v>4529</v>
      </c>
      <c r="B4285" s="72" t="s">
        <v>77</v>
      </c>
      <c r="C4285" s="73">
        <v>22</v>
      </c>
      <c r="D4285" s="73">
        <v>520043.92029796995</v>
      </c>
      <c r="E4285" s="72">
        <v>46803.952826817294</v>
      </c>
      <c r="F4285" s="72" t="s">
        <v>106</v>
      </c>
      <c r="G4285" s="72" t="s">
        <v>71</v>
      </c>
      <c r="H4285" s="72" t="s">
        <v>72</v>
      </c>
    </row>
    <row r="4286" spans="1:8" x14ac:dyDescent="0.25">
      <c r="A4286" s="43" t="s">
        <v>4465</v>
      </c>
      <c r="B4286" s="43" t="s">
        <v>93</v>
      </c>
      <c r="C4286" s="46">
        <v>22</v>
      </c>
      <c r="D4286" s="46">
        <v>619171.86285994772</v>
      </c>
      <c r="E4286" s="43">
        <v>49533.749028795821</v>
      </c>
      <c r="F4286" s="43" t="s">
        <v>87</v>
      </c>
      <c r="G4286" s="43" t="s">
        <v>71</v>
      </c>
      <c r="H4286" s="43" t="s">
        <v>88</v>
      </c>
    </row>
    <row r="4287" spans="1:8" x14ac:dyDescent="0.25">
      <c r="A4287" s="43" t="s">
        <v>4048</v>
      </c>
      <c r="B4287" s="43" t="s">
        <v>93</v>
      </c>
      <c r="C4287" s="46">
        <v>22</v>
      </c>
      <c r="D4287" s="46">
        <v>539331.74237583298</v>
      </c>
      <c r="E4287" s="43">
        <v>64719.809085099958</v>
      </c>
      <c r="F4287" s="43" t="s">
        <v>106</v>
      </c>
      <c r="G4287" s="43" t="s">
        <v>71</v>
      </c>
      <c r="H4287" s="43" t="s">
        <v>72</v>
      </c>
    </row>
    <row r="4288" spans="1:8" x14ac:dyDescent="0.25">
      <c r="A4288" s="43" t="s">
        <v>4096</v>
      </c>
      <c r="B4288" s="43" t="s">
        <v>75</v>
      </c>
      <c r="C4288" s="46">
        <v>22</v>
      </c>
      <c r="D4288" s="46">
        <v>635556.33745353797</v>
      </c>
      <c r="E4288" s="43">
        <v>63555.6337453538</v>
      </c>
      <c r="F4288" s="43" t="s">
        <v>78</v>
      </c>
      <c r="G4288" s="43" t="s">
        <v>71</v>
      </c>
      <c r="H4288" s="43" t="s">
        <v>72</v>
      </c>
    </row>
    <row r="4289" spans="1:8" x14ac:dyDescent="0.25">
      <c r="A4289" s="72" t="s">
        <v>4244</v>
      </c>
      <c r="B4289" s="72" t="s">
        <v>73</v>
      </c>
      <c r="C4289" s="73">
        <v>22</v>
      </c>
      <c r="D4289" s="73">
        <v>635257.38628077623</v>
      </c>
      <c r="E4289" s="72">
        <v>57173.164765269859</v>
      </c>
      <c r="F4289" s="72" t="s">
        <v>87</v>
      </c>
      <c r="G4289" s="72" t="s">
        <v>71</v>
      </c>
      <c r="H4289" s="72" t="s">
        <v>88</v>
      </c>
    </row>
    <row r="4290" spans="1:8" x14ac:dyDescent="0.25">
      <c r="A4290" s="43" t="s">
        <v>3652</v>
      </c>
      <c r="B4290" s="43" t="s">
        <v>202</v>
      </c>
      <c r="C4290" s="46">
        <v>22</v>
      </c>
      <c r="D4290" s="46">
        <v>674346.43643296196</v>
      </c>
      <c r="E4290" s="43">
        <v>80921.572371955437</v>
      </c>
      <c r="F4290" s="43" t="s">
        <v>87</v>
      </c>
      <c r="G4290" s="43" t="s">
        <v>71</v>
      </c>
      <c r="H4290" s="43" t="s">
        <v>88</v>
      </c>
    </row>
    <row r="4291" spans="1:8" x14ac:dyDescent="0.25">
      <c r="A4291" s="72" t="s">
        <v>4045</v>
      </c>
      <c r="B4291" s="72" t="s">
        <v>73</v>
      </c>
      <c r="C4291" s="73">
        <v>22</v>
      </c>
      <c r="D4291" s="73">
        <v>649561.0203214467</v>
      </c>
      <c r="E4291" s="72">
        <v>64956.10203214467</v>
      </c>
      <c r="F4291" s="72" t="s">
        <v>87</v>
      </c>
      <c r="G4291" s="72" t="s">
        <v>71</v>
      </c>
      <c r="H4291" s="72" t="s">
        <v>88</v>
      </c>
    </row>
    <row r="4292" spans="1:8" x14ac:dyDescent="0.25">
      <c r="A4292" s="43" t="s">
        <v>4552</v>
      </c>
      <c r="B4292" s="43" t="s">
        <v>97</v>
      </c>
      <c r="C4292" s="46">
        <v>22</v>
      </c>
      <c r="D4292" s="46">
        <v>574651.53287176008</v>
      </c>
      <c r="E4292" s="43">
        <v>45972.122629740807</v>
      </c>
      <c r="F4292" s="43" t="s">
        <v>70</v>
      </c>
      <c r="G4292" s="43" t="s">
        <v>71</v>
      </c>
      <c r="H4292" s="43" t="s">
        <v>72</v>
      </c>
    </row>
    <row r="4293" spans="1:8" x14ac:dyDescent="0.25">
      <c r="A4293" s="72" t="s">
        <v>4788</v>
      </c>
      <c r="B4293" s="72" t="s">
        <v>291</v>
      </c>
      <c r="C4293" s="73">
        <v>22</v>
      </c>
      <c r="D4293" s="73">
        <v>503067.47768156038</v>
      </c>
      <c r="E4293" s="72">
        <v>35214.723437709225</v>
      </c>
      <c r="F4293" s="72" t="s">
        <v>106</v>
      </c>
      <c r="G4293" s="72" t="s">
        <v>71</v>
      </c>
      <c r="H4293" s="72" t="s">
        <v>72</v>
      </c>
    </row>
    <row r="4294" spans="1:8" x14ac:dyDescent="0.25">
      <c r="A4294" s="72" t="s">
        <v>3478</v>
      </c>
      <c r="B4294" s="72" t="s">
        <v>103</v>
      </c>
      <c r="C4294" s="73">
        <v>22</v>
      </c>
      <c r="D4294" s="73">
        <v>685306.35168433073</v>
      </c>
      <c r="E4294" s="72">
        <v>89089.825718962995</v>
      </c>
      <c r="F4294" s="72" t="s">
        <v>87</v>
      </c>
      <c r="G4294" s="72" t="s">
        <v>71</v>
      </c>
      <c r="H4294" s="72" t="s">
        <v>88</v>
      </c>
    </row>
    <row r="4295" spans="1:8" x14ac:dyDescent="0.25">
      <c r="A4295" s="72" t="s">
        <v>4097</v>
      </c>
      <c r="B4295" s="72" t="s">
        <v>383</v>
      </c>
      <c r="C4295" s="73">
        <v>22</v>
      </c>
      <c r="D4295" s="73">
        <v>635556.33745353797</v>
      </c>
      <c r="E4295" s="72">
        <v>63555.6337453538</v>
      </c>
      <c r="F4295" s="72" t="s">
        <v>78</v>
      </c>
      <c r="G4295" s="72" t="s">
        <v>71</v>
      </c>
      <c r="H4295" s="72" t="s">
        <v>72</v>
      </c>
    </row>
    <row r="4296" spans="1:8" x14ac:dyDescent="0.25">
      <c r="A4296" s="72" t="s">
        <v>3924</v>
      </c>
      <c r="B4296" s="72" t="s">
        <v>378</v>
      </c>
      <c r="C4296" s="73">
        <v>22</v>
      </c>
      <c r="D4296" s="73">
        <v>636569.98784138705</v>
      </c>
      <c r="E4296" s="72">
        <v>70022.69866255259</v>
      </c>
      <c r="F4296" s="72" t="s">
        <v>70</v>
      </c>
      <c r="G4296" s="72" t="s">
        <v>71</v>
      </c>
      <c r="H4296" s="72" t="s">
        <v>72</v>
      </c>
    </row>
    <row r="4297" spans="1:8" x14ac:dyDescent="0.25">
      <c r="A4297" s="43" t="s">
        <v>4795</v>
      </c>
      <c r="B4297" s="43" t="s">
        <v>73</v>
      </c>
      <c r="C4297" s="46">
        <v>22</v>
      </c>
      <c r="D4297" s="46">
        <v>578519.47077576024</v>
      </c>
      <c r="E4297" s="43">
        <v>34711.168246545611</v>
      </c>
      <c r="F4297" s="43" t="s">
        <v>87</v>
      </c>
      <c r="G4297" s="43" t="s">
        <v>71</v>
      </c>
      <c r="H4297" s="43" t="s">
        <v>88</v>
      </c>
    </row>
    <row r="4298" spans="1:8" x14ac:dyDescent="0.25">
      <c r="A4298" s="72" t="s">
        <v>4796</v>
      </c>
      <c r="B4298" s="72" t="s">
        <v>93</v>
      </c>
      <c r="C4298" s="73">
        <v>22</v>
      </c>
      <c r="D4298" s="73">
        <v>578519.47077576024</v>
      </c>
      <c r="E4298" s="72">
        <v>34711.168246545611</v>
      </c>
      <c r="F4298" s="72" t="s">
        <v>87</v>
      </c>
      <c r="G4298" s="72" t="s">
        <v>71</v>
      </c>
      <c r="H4298" s="72" t="s">
        <v>88</v>
      </c>
    </row>
    <row r="4299" spans="1:8" x14ac:dyDescent="0.25">
      <c r="A4299" s="72" t="s">
        <v>4553</v>
      </c>
      <c r="B4299" s="72" t="s">
        <v>97</v>
      </c>
      <c r="C4299" s="73">
        <v>22</v>
      </c>
      <c r="D4299" s="73">
        <v>574651.53287176008</v>
      </c>
      <c r="E4299" s="72">
        <v>45972.122629740807</v>
      </c>
      <c r="F4299" s="72" t="s">
        <v>70</v>
      </c>
      <c r="G4299" s="72" t="s">
        <v>71</v>
      </c>
      <c r="H4299" s="72" t="s">
        <v>72</v>
      </c>
    </row>
    <row r="4300" spans="1:8" x14ac:dyDescent="0.25">
      <c r="A4300" s="43" t="s">
        <v>4789</v>
      </c>
      <c r="B4300" s="43" t="s">
        <v>75</v>
      </c>
      <c r="C4300" s="46">
        <v>22</v>
      </c>
      <c r="D4300" s="46">
        <v>503067.47768156038</v>
      </c>
      <c r="E4300" s="43">
        <v>35214.723437709225</v>
      </c>
      <c r="F4300" s="43" t="s">
        <v>106</v>
      </c>
      <c r="G4300" s="43" t="s">
        <v>71</v>
      </c>
      <c r="H4300" s="43" t="s">
        <v>72</v>
      </c>
    </row>
    <row r="4301" spans="1:8" x14ac:dyDescent="0.25">
      <c r="A4301" s="43" t="s">
        <v>3598</v>
      </c>
      <c r="B4301" s="43" t="s">
        <v>77</v>
      </c>
      <c r="C4301" s="46">
        <v>21</v>
      </c>
      <c r="D4301" s="46">
        <v>638509.96325261157</v>
      </c>
      <c r="E4301" s="43">
        <v>83006.295222839501</v>
      </c>
      <c r="F4301" s="43" t="s">
        <v>70</v>
      </c>
      <c r="G4301" s="43" t="s">
        <v>71</v>
      </c>
      <c r="H4301" s="43" t="s">
        <v>72</v>
      </c>
    </row>
    <row r="4302" spans="1:8" x14ac:dyDescent="0.25">
      <c r="A4302" s="72" t="s">
        <v>3554</v>
      </c>
      <c r="B4302" s="72" t="s">
        <v>93</v>
      </c>
      <c r="C4302" s="73">
        <v>21</v>
      </c>
      <c r="D4302" s="73">
        <v>653904.78693240904</v>
      </c>
      <c r="E4302" s="72">
        <v>85007.622301213181</v>
      </c>
      <c r="F4302" s="72" t="s">
        <v>87</v>
      </c>
      <c r="G4302" s="72" t="s">
        <v>71</v>
      </c>
      <c r="H4302" s="72" t="s">
        <v>88</v>
      </c>
    </row>
    <row r="4303" spans="1:8" x14ac:dyDescent="0.25">
      <c r="A4303" s="43" t="s">
        <v>3555</v>
      </c>
      <c r="B4303" s="43" t="s">
        <v>93</v>
      </c>
      <c r="C4303" s="46">
        <v>21</v>
      </c>
      <c r="D4303" s="46">
        <v>653904.78693240904</v>
      </c>
      <c r="E4303" s="43">
        <v>85007.622301213181</v>
      </c>
      <c r="F4303" s="43" t="s">
        <v>87</v>
      </c>
      <c r="G4303" s="43" t="s">
        <v>71</v>
      </c>
      <c r="H4303" s="43" t="s">
        <v>88</v>
      </c>
    </row>
    <row r="4304" spans="1:8" x14ac:dyDescent="0.25">
      <c r="A4304" s="72" t="s">
        <v>4142</v>
      </c>
      <c r="B4304" s="72" t="s">
        <v>93</v>
      </c>
      <c r="C4304" s="73">
        <v>21</v>
      </c>
      <c r="D4304" s="73">
        <v>514533.67480634071</v>
      </c>
      <c r="E4304" s="72">
        <v>61744.04097676088</v>
      </c>
      <c r="F4304" s="72" t="s">
        <v>106</v>
      </c>
      <c r="G4304" s="72" t="s">
        <v>71</v>
      </c>
      <c r="H4304" s="72" t="s">
        <v>72</v>
      </c>
    </row>
    <row r="4305" spans="1:8" x14ac:dyDescent="0.25">
      <c r="A4305" s="43" t="s">
        <v>4812</v>
      </c>
      <c r="B4305" s="43" t="s">
        <v>176</v>
      </c>
      <c r="C4305" s="46">
        <v>21</v>
      </c>
      <c r="D4305" s="46">
        <v>479917.78577998962</v>
      </c>
      <c r="E4305" s="43">
        <v>33594.245004599266</v>
      </c>
      <c r="F4305" s="43" t="s">
        <v>106</v>
      </c>
      <c r="G4305" s="43" t="s">
        <v>71</v>
      </c>
      <c r="H4305" s="43" t="s">
        <v>72</v>
      </c>
    </row>
    <row r="4306" spans="1:8" x14ac:dyDescent="0.25">
      <c r="A4306" s="43" t="s">
        <v>4193</v>
      </c>
      <c r="B4306" s="43" t="s">
        <v>73</v>
      </c>
      <c r="C4306" s="46">
        <v>21</v>
      </c>
      <c r="D4306" s="46">
        <v>589723.76834271383</v>
      </c>
      <c r="E4306" s="43">
        <v>58972.376834271388</v>
      </c>
      <c r="F4306" s="43" t="s">
        <v>70</v>
      </c>
      <c r="G4306" s="43" t="s">
        <v>71</v>
      </c>
      <c r="H4306" s="43" t="s">
        <v>72</v>
      </c>
    </row>
    <row r="4307" spans="1:8" x14ac:dyDescent="0.25">
      <c r="A4307" s="72" t="s">
        <v>3736</v>
      </c>
      <c r="B4307" s="72" t="s">
        <v>93</v>
      </c>
      <c r="C4307" s="73">
        <v>21</v>
      </c>
      <c r="D4307" s="73">
        <v>643443.04964701156</v>
      </c>
      <c r="E4307" s="72">
        <v>77213.16595764138</v>
      </c>
      <c r="F4307" s="72" t="s">
        <v>87</v>
      </c>
      <c r="G4307" s="72" t="s">
        <v>71</v>
      </c>
      <c r="H4307" s="72" t="s">
        <v>88</v>
      </c>
    </row>
    <row r="4308" spans="1:8" x14ac:dyDescent="0.25">
      <c r="A4308" s="43" t="s">
        <v>3797</v>
      </c>
      <c r="B4308" s="43" t="s">
        <v>97</v>
      </c>
      <c r="C4308" s="46">
        <v>21</v>
      </c>
      <c r="D4308" s="46">
        <v>623513.86673543695</v>
      </c>
      <c r="E4308" s="43">
        <v>74821.664008252454</v>
      </c>
      <c r="F4308" s="43" t="s">
        <v>70</v>
      </c>
      <c r="G4308" s="43" t="s">
        <v>71</v>
      </c>
      <c r="H4308" s="43" t="s">
        <v>72</v>
      </c>
    </row>
    <row r="4309" spans="1:8" x14ac:dyDescent="0.25">
      <c r="A4309" s="43" t="s">
        <v>4602</v>
      </c>
      <c r="B4309" s="43" t="s">
        <v>73</v>
      </c>
      <c r="C4309" s="46">
        <v>21</v>
      </c>
      <c r="D4309" s="46">
        <v>548241.69615578791</v>
      </c>
      <c r="E4309" s="43">
        <v>43859.335692463035</v>
      </c>
      <c r="F4309" s="43" t="s">
        <v>70</v>
      </c>
      <c r="G4309" s="43" t="s">
        <v>71</v>
      </c>
      <c r="H4309" s="43" t="s">
        <v>72</v>
      </c>
    </row>
    <row r="4310" spans="1:8" x14ac:dyDescent="0.25">
      <c r="A4310" s="72" t="s">
        <v>4372</v>
      </c>
      <c r="B4310" s="72" t="s">
        <v>73</v>
      </c>
      <c r="C4310" s="73">
        <v>21</v>
      </c>
      <c r="D4310" s="73">
        <v>586340.23719663697</v>
      </c>
      <c r="E4310" s="72">
        <v>52770.621347697328</v>
      </c>
      <c r="F4310" s="72" t="s">
        <v>78</v>
      </c>
      <c r="G4310" s="72" t="s">
        <v>71</v>
      </c>
      <c r="H4310" s="72" t="s">
        <v>72</v>
      </c>
    </row>
    <row r="4311" spans="1:8" x14ac:dyDescent="0.25">
      <c r="A4311" s="43" t="s">
        <v>4942</v>
      </c>
      <c r="B4311" s="43" t="s">
        <v>77</v>
      </c>
      <c r="C4311" s="46">
        <v>21</v>
      </c>
      <c r="D4311" s="46">
        <v>525136.00520707807</v>
      </c>
      <c r="E4311" s="43">
        <v>26256.800260353906</v>
      </c>
      <c r="F4311" s="43" t="s">
        <v>87</v>
      </c>
      <c r="G4311" s="43" t="s">
        <v>71</v>
      </c>
      <c r="H4311" s="43" t="s">
        <v>88</v>
      </c>
    </row>
    <row r="4312" spans="1:8" x14ac:dyDescent="0.25">
      <c r="A4312" s="43" t="s">
        <v>3929</v>
      </c>
      <c r="B4312" s="43" t="s">
        <v>73</v>
      </c>
      <c r="C4312" s="46">
        <v>21</v>
      </c>
      <c r="D4312" s="46">
        <v>632132.68314295751</v>
      </c>
      <c r="E4312" s="43">
        <v>69534.59514572534</v>
      </c>
      <c r="F4312" s="43" t="s">
        <v>87</v>
      </c>
      <c r="G4312" s="43" t="s">
        <v>71</v>
      </c>
      <c r="H4312" s="43" t="s">
        <v>88</v>
      </c>
    </row>
    <row r="4313" spans="1:8" x14ac:dyDescent="0.25">
      <c r="A4313" s="72" t="s">
        <v>4813</v>
      </c>
      <c r="B4313" s="72" t="s">
        <v>73</v>
      </c>
      <c r="C4313" s="73">
        <v>21</v>
      </c>
      <c r="D4313" s="73">
        <v>479917.78577998962</v>
      </c>
      <c r="E4313" s="72">
        <v>33594.245004599266</v>
      </c>
      <c r="F4313" s="72" t="s">
        <v>106</v>
      </c>
      <c r="G4313" s="72" t="s">
        <v>71</v>
      </c>
      <c r="H4313" s="72" t="s">
        <v>72</v>
      </c>
    </row>
    <row r="4314" spans="1:8" x14ac:dyDescent="0.25">
      <c r="A4314" s="72" t="s">
        <v>4603</v>
      </c>
      <c r="B4314" s="72" t="s">
        <v>73</v>
      </c>
      <c r="C4314" s="73">
        <v>21</v>
      </c>
      <c r="D4314" s="73">
        <v>548241.69615578791</v>
      </c>
      <c r="E4314" s="72">
        <v>43859.335692463035</v>
      </c>
      <c r="F4314" s="72" t="s">
        <v>70</v>
      </c>
      <c r="G4314" s="72" t="s">
        <v>71</v>
      </c>
      <c r="H4314" s="72" t="s">
        <v>72</v>
      </c>
    </row>
    <row r="4315" spans="1:8" x14ac:dyDescent="0.25">
      <c r="A4315" s="43" t="s">
        <v>3737</v>
      </c>
      <c r="B4315" s="43" t="s">
        <v>73</v>
      </c>
      <c r="C4315" s="46">
        <v>21</v>
      </c>
      <c r="D4315" s="46">
        <v>643443.04964701156</v>
      </c>
      <c r="E4315" s="43">
        <v>77213.16595764138</v>
      </c>
      <c r="F4315" s="43" t="s">
        <v>87</v>
      </c>
      <c r="G4315" s="43" t="s">
        <v>71</v>
      </c>
      <c r="H4315" s="43" t="s">
        <v>88</v>
      </c>
    </row>
    <row r="4316" spans="1:8" x14ac:dyDescent="0.25">
      <c r="A4316" s="43" t="s">
        <v>4604</v>
      </c>
      <c r="B4316" s="43" t="s">
        <v>73</v>
      </c>
      <c r="C4316" s="46">
        <v>21</v>
      </c>
      <c r="D4316" s="46">
        <v>548241.69615578791</v>
      </c>
      <c r="E4316" s="43">
        <v>43859.335692463035</v>
      </c>
      <c r="F4316" s="43" t="s">
        <v>70</v>
      </c>
      <c r="G4316" s="43" t="s">
        <v>71</v>
      </c>
      <c r="H4316" s="43" t="s">
        <v>72</v>
      </c>
    </row>
    <row r="4317" spans="1:8" x14ac:dyDescent="0.25">
      <c r="A4317" s="43" t="s">
        <v>2856</v>
      </c>
      <c r="B4317" s="43" t="s">
        <v>73</v>
      </c>
      <c r="C4317" s="46">
        <v>21</v>
      </c>
      <c r="D4317" s="46">
        <v>905208.47876226378</v>
      </c>
      <c r="E4317" s="43">
        <v>126729.18702671691</v>
      </c>
      <c r="F4317" s="43" t="s">
        <v>84</v>
      </c>
      <c r="G4317" s="43" t="s">
        <v>71</v>
      </c>
      <c r="H4317" s="43" t="s">
        <v>72</v>
      </c>
    </row>
    <row r="4318" spans="1:8" x14ac:dyDescent="0.25">
      <c r="A4318" s="72" t="s">
        <v>3738</v>
      </c>
      <c r="B4318" s="72" t="s">
        <v>73</v>
      </c>
      <c r="C4318" s="73">
        <v>21</v>
      </c>
      <c r="D4318" s="73">
        <v>643443.04964701156</v>
      </c>
      <c r="E4318" s="72">
        <v>77213.16595764138</v>
      </c>
      <c r="F4318" s="72" t="s">
        <v>87</v>
      </c>
      <c r="G4318" s="72" t="s">
        <v>71</v>
      </c>
      <c r="H4318" s="72" t="s">
        <v>88</v>
      </c>
    </row>
    <row r="4319" spans="1:8" x14ac:dyDescent="0.25">
      <c r="A4319" s="72" t="s">
        <v>3599</v>
      </c>
      <c r="B4319" s="72" t="s">
        <v>439</v>
      </c>
      <c r="C4319" s="73">
        <v>21</v>
      </c>
      <c r="D4319" s="73">
        <v>638509.96325261157</v>
      </c>
      <c r="E4319" s="72">
        <v>83006.295222839501</v>
      </c>
      <c r="F4319" s="72" t="s">
        <v>70</v>
      </c>
      <c r="G4319" s="72" t="s">
        <v>71</v>
      </c>
      <c r="H4319" s="72" t="s">
        <v>72</v>
      </c>
    </row>
    <row r="4320" spans="1:8" x14ac:dyDescent="0.25">
      <c r="A4320" s="72" t="s">
        <v>4753</v>
      </c>
      <c r="B4320" s="72" t="s">
        <v>73</v>
      </c>
      <c r="C4320" s="73">
        <v>21</v>
      </c>
      <c r="D4320" s="73">
        <v>537502.0649866492</v>
      </c>
      <c r="E4320" s="72">
        <v>37625.144549065437</v>
      </c>
      <c r="F4320" s="72" t="s">
        <v>78</v>
      </c>
      <c r="G4320" s="72" t="s">
        <v>71</v>
      </c>
      <c r="H4320" s="72" t="s">
        <v>72</v>
      </c>
    </row>
    <row r="4321" spans="1:8" x14ac:dyDescent="0.25">
      <c r="A4321" s="43" t="s">
        <v>4580</v>
      </c>
      <c r="B4321" s="43" t="s">
        <v>554</v>
      </c>
      <c r="C4321" s="46">
        <v>21</v>
      </c>
      <c r="D4321" s="46">
        <v>496122.57191383507</v>
      </c>
      <c r="E4321" s="43">
        <v>44651.031472245151</v>
      </c>
      <c r="F4321" s="43" t="s">
        <v>106</v>
      </c>
      <c r="G4321" s="43" t="s">
        <v>71</v>
      </c>
      <c r="H4321" s="43" t="s">
        <v>72</v>
      </c>
    </row>
    <row r="4322" spans="1:8" x14ac:dyDescent="0.25">
      <c r="A4322" s="72" t="s">
        <v>4008</v>
      </c>
      <c r="B4322" s="72" t="s">
        <v>107</v>
      </c>
      <c r="C4322" s="73">
        <v>21</v>
      </c>
      <c r="D4322" s="73">
        <v>607345.67589952284</v>
      </c>
      <c r="E4322" s="72">
        <v>66808.024348947525</v>
      </c>
      <c r="F4322" s="72" t="s">
        <v>70</v>
      </c>
      <c r="G4322" s="72" t="s">
        <v>71</v>
      </c>
      <c r="H4322" s="72" t="s">
        <v>72</v>
      </c>
    </row>
    <row r="4323" spans="1:8" x14ac:dyDescent="0.25">
      <c r="A4323" s="72" t="s">
        <v>4581</v>
      </c>
      <c r="B4323" s="72" t="s">
        <v>75</v>
      </c>
      <c r="C4323" s="73">
        <v>21</v>
      </c>
      <c r="D4323" s="73">
        <v>496122.57191383507</v>
      </c>
      <c r="E4323" s="72">
        <v>44651.031472245151</v>
      </c>
      <c r="F4323" s="72" t="s">
        <v>106</v>
      </c>
      <c r="G4323" s="72" t="s">
        <v>71</v>
      </c>
      <c r="H4323" s="72" t="s">
        <v>72</v>
      </c>
    </row>
    <row r="4324" spans="1:8" x14ac:dyDescent="0.25">
      <c r="A4324" s="72" t="s">
        <v>4815</v>
      </c>
      <c r="B4324" s="72" t="s">
        <v>73</v>
      </c>
      <c r="C4324" s="73">
        <v>21</v>
      </c>
      <c r="D4324" s="73">
        <v>551971.85515604634</v>
      </c>
      <c r="E4324" s="72">
        <v>33118.311309362776</v>
      </c>
      <c r="F4324" s="72" t="s">
        <v>87</v>
      </c>
      <c r="G4324" s="72" t="s">
        <v>71</v>
      </c>
      <c r="H4324" s="72" t="s">
        <v>88</v>
      </c>
    </row>
    <row r="4325" spans="1:8" x14ac:dyDescent="0.25">
      <c r="A4325" s="72" t="s">
        <v>3556</v>
      </c>
      <c r="B4325" s="72" t="s">
        <v>1247</v>
      </c>
      <c r="C4325" s="73">
        <v>21</v>
      </c>
      <c r="D4325" s="73">
        <v>653904.78693240904</v>
      </c>
      <c r="E4325" s="72">
        <v>85007.622301213181</v>
      </c>
      <c r="F4325" s="72" t="s">
        <v>87</v>
      </c>
      <c r="G4325" s="72" t="s">
        <v>71</v>
      </c>
      <c r="H4325" s="72" t="s">
        <v>88</v>
      </c>
    </row>
    <row r="4326" spans="1:8" x14ac:dyDescent="0.25">
      <c r="A4326" s="43" t="s">
        <v>3557</v>
      </c>
      <c r="B4326" s="43" t="s">
        <v>77</v>
      </c>
      <c r="C4326" s="46">
        <v>21</v>
      </c>
      <c r="D4326" s="46">
        <v>653904.78693240904</v>
      </c>
      <c r="E4326" s="43">
        <v>85007.622301213181</v>
      </c>
      <c r="F4326" s="43" t="s">
        <v>87</v>
      </c>
      <c r="G4326" s="43" t="s">
        <v>71</v>
      </c>
      <c r="H4326" s="43" t="s">
        <v>88</v>
      </c>
    </row>
    <row r="4327" spans="1:8" x14ac:dyDescent="0.25">
      <c r="A4327" s="43" t="s">
        <v>4707</v>
      </c>
      <c r="B4327" s="43" t="s">
        <v>1247</v>
      </c>
      <c r="C4327" s="46">
        <v>21</v>
      </c>
      <c r="D4327" s="46">
        <v>573091.96775970852</v>
      </c>
      <c r="E4327" s="43">
        <v>40116.437743179595</v>
      </c>
      <c r="F4327" s="43" t="s">
        <v>87</v>
      </c>
      <c r="G4327" s="43" t="s">
        <v>71</v>
      </c>
      <c r="H4327" s="43" t="s">
        <v>88</v>
      </c>
    </row>
    <row r="4328" spans="1:8" x14ac:dyDescent="0.25">
      <c r="A4328" s="72" t="s">
        <v>4708</v>
      </c>
      <c r="B4328" s="72" t="s">
        <v>252</v>
      </c>
      <c r="C4328" s="73">
        <v>21</v>
      </c>
      <c r="D4328" s="73">
        <v>573091.96775970852</v>
      </c>
      <c r="E4328" s="72">
        <v>40116.437743179595</v>
      </c>
      <c r="F4328" s="72" t="s">
        <v>87</v>
      </c>
      <c r="G4328" s="72" t="s">
        <v>71</v>
      </c>
      <c r="H4328" s="72" t="s">
        <v>88</v>
      </c>
    </row>
    <row r="4329" spans="1:8" x14ac:dyDescent="0.25">
      <c r="A4329" s="72" t="s">
        <v>4605</v>
      </c>
      <c r="B4329" s="72" t="s">
        <v>439</v>
      </c>
      <c r="C4329" s="73">
        <v>21</v>
      </c>
      <c r="D4329" s="73">
        <v>548241.69615578791</v>
      </c>
      <c r="E4329" s="72">
        <v>43859.335692463035</v>
      </c>
      <c r="F4329" s="72" t="s">
        <v>70</v>
      </c>
      <c r="G4329" s="72" t="s">
        <v>71</v>
      </c>
      <c r="H4329" s="72" t="s">
        <v>72</v>
      </c>
    </row>
    <row r="4330" spans="1:8" x14ac:dyDescent="0.25">
      <c r="A4330" s="72" t="s">
        <v>4943</v>
      </c>
      <c r="B4330" s="72" t="s">
        <v>1247</v>
      </c>
      <c r="C4330" s="73">
        <v>21</v>
      </c>
      <c r="D4330" s="73">
        <v>525136.00520707807</v>
      </c>
      <c r="E4330" s="72">
        <v>26256.800260353906</v>
      </c>
      <c r="F4330" s="72" t="s">
        <v>87</v>
      </c>
      <c r="G4330" s="72" t="s">
        <v>71</v>
      </c>
      <c r="H4330" s="72" t="s">
        <v>88</v>
      </c>
    </row>
    <row r="4331" spans="1:8" x14ac:dyDescent="0.25">
      <c r="A4331" s="72" t="s">
        <v>3798</v>
      </c>
      <c r="B4331" s="72" t="s">
        <v>74</v>
      </c>
      <c r="C4331" s="73">
        <v>21</v>
      </c>
      <c r="D4331" s="73">
        <v>623513.86673543695</v>
      </c>
      <c r="E4331" s="72">
        <v>74821.664008252454</v>
      </c>
      <c r="F4331" s="72" t="s">
        <v>70</v>
      </c>
      <c r="G4331" s="72" t="s">
        <v>71</v>
      </c>
      <c r="H4331" s="72" t="s">
        <v>72</v>
      </c>
    </row>
    <row r="4332" spans="1:8" x14ac:dyDescent="0.25">
      <c r="A4332" s="43" t="s">
        <v>4517</v>
      </c>
      <c r="B4332" s="43" t="s">
        <v>73</v>
      </c>
      <c r="C4332" s="46">
        <v>21</v>
      </c>
      <c r="D4332" s="46">
        <v>590776.41123640712</v>
      </c>
      <c r="E4332" s="43">
        <v>47262.112898912572</v>
      </c>
      <c r="F4332" s="43" t="s">
        <v>87</v>
      </c>
      <c r="G4332" s="43" t="s">
        <v>71</v>
      </c>
      <c r="H4332" s="43" t="s">
        <v>88</v>
      </c>
    </row>
    <row r="4333" spans="1:8" x14ac:dyDescent="0.25">
      <c r="A4333" s="43" t="s">
        <v>3739</v>
      </c>
      <c r="B4333" s="43" t="s">
        <v>93</v>
      </c>
      <c r="C4333" s="46">
        <v>21</v>
      </c>
      <c r="D4333" s="46">
        <v>643443.04964701156</v>
      </c>
      <c r="E4333" s="43">
        <v>77213.16595764138</v>
      </c>
      <c r="F4333" s="43" t="s">
        <v>87</v>
      </c>
      <c r="G4333" s="43" t="s">
        <v>71</v>
      </c>
      <c r="H4333" s="43" t="s">
        <v>88</v>
      </c>
    </row>
    <row r="4334" spans="1:8" x14ac:dyDescent="0.25">
      <c r="A4334" s="43" t="s">
        <v>4009</v>
      </c>
      <c r="B4334" s="43" t="s">
        <v>97</v>
      </c>
      <c r="C4334" s="46">
        <v>21</v>
      </c>
      <c r="D4334" s="46">
        <v>607345.67589952284</v>
      </c>
      <c r="E4334" s="43">
        <v>66808.024348947525</v>
      </c>
      <c r="F4334" s="43" t="s">
        <v>70</v>
      </c>
      <c r="G4334" s="43" t="s">
        <v>71</v>
      </c>
      <c r="H4334" s="43" t="s">
        <v>72</v>
      </c>
    </row>
    <row r="4335" spans="1:8" x14ac:dyDescent="0.25">
      <c r="A4335" s="43" t="s">
        <v>4137</v>
      </c>
      <c r="B4335" s="43" t="s">
        <v>73</v>
      </c>
      <c r="C4335" s="46">
        <v>21</v>
      </c>
      <c r="D4335" s="46">
        <v>619784.24335874699</v>
      </c>
      <c r="E4335" s="43">
        <v>61978.424335874704</v>
      </c>
      <c r="F4335" s="43" t="s">
        <v>87</v>
      </c>
      <c r="G4335" s="43" t="s">
        <v>71</v>
      </c>
      <c r="H4335" s="43" t="s">
        <v>88</v>
      </c>
    </row>
    <row r="4336" spans="1:8" x14ac:dyDescent="0.25">
      <c r="A4336" s="72" t="s">
        <v>4012</v>
      </c>
      <c r="B4336" s="72" t="s">
        <v>93</v>
      </c>
      <c r="C4336" s="73">
        <v>20</v>
      </c>
      <c r="D4336" s="73">
        <v>601792.00543727411</v>
      </c>
      <c r="E4336" s="72">
        <v>66197.120598100155</v>
      </c>
      <c r="F4336" s="72" t="s">
        <v>87</v>
      </c>
      <c r="G4336" s="72" t="s">
        <v>71</v>
      </c>
      <c r="H4336" s="72" t="s">
        <v>88</v>
      </c>
    </row>
    <row r="4337" spans="1:8" x14ac:dyDescent="0.25">
      <c r="A4337" s="72" t="s">
        <v>4573</v>
      </c>
      <c r="B4337" s="72" t="s">
        <v>93</v>
      </c>
      <c r="C4337" s="73">
        <v>20</v>
      </c>
      <c r="D4337" s="73">
        <v>562405.07981198793</v>
      </c>
      <c r="E4337" s="72">
        <v>44992.406384959038</v>
      </c>
      <c r="F4337" s="72" t="s">
        <v>87</v>
      </c>
      <c r="G4337" s="72" t="s">
        <v>71</v>
      </c>
      <c r="H4337" s="72" t="s">
        <v>88</v>
      </c>
    </row>
    <row r="4338" spans="1:8" x14ac:dyDescent="0.25">
      <c r="A4338" s="72" t="s">
        <v>4479</v>
      </c>
      <c r="B4338" s="72" t="s">
        <v>97</v>
      </c>
      <c r="C4338" s="73">
        <v>20</v>
      </c>
      <c r="D4338" s="73">
        <v>542807.25536494597</v>
      </c>
      <c r="E4338" s="72">
        <v>48852.652982845138</v>
      </c>
      <c r="F4338" s="72" t="s">
        <v>70</v>
      </c>
      <c r="G4338" s="72" t="s">
        <v>71</v>
      </c>
      <c r="H4338" s="72" t="s">
        <v>72</v>
      </c>
    </row>
    <row r="4339" spans="1:8" x14ac:dyDescent="0.25">
      <c r="A4339" s="72" t="s">
        <v>4085</v>
      </c>
      <c r="B4339" s="72" t="s">
        <v>323</v>
      </c>
      <c r="C4339" s="73">
        <v>20</v>
      </c>
      <c r="D4339" s="73">
        <v>578149.1722582581</v>
      </c>
      <c r="E4339" s="72">
        <v>63596.408948408396</v>
      </c>
      <c r="F4339" s="72" t="s">
        <v>70</v>
      </c>
      <c r="G4339" s="72" t="s">
        <v>71</v>
      </c>
      <c r="H4339" s="72" t="s">
        <v>72</v>
      </c>
    </row>
    <row r="4340" spans="1:8" x14ac:dyDescent="0.25">
      <c r="A4340" s="43" t="s">
        <v>3644</v>
      </c>
      <c r="B4340" s="43" t="s">
        <v>93</v>
      </c>
      <c r="C4340" s="46">
        <v>20</v>
      </c>
      <c r="D4340" s="46">
        <v>622527.34237960889</v>
      </c>
      <c r="E4340" s="43">
        <v>80928.554509349153</v>
      </c>
      <c r="F4340" s="43" t="s">
        <v>87</v>
      </c>
      <c r="G4340" s="43" t="s">
        <v>71</v>
      </c>
      <c r="H4340" s="43" t="s">
        <v>88</v>
      </c>
    </row>
    <row r="4341" spans="1:8" x14ac:dyDescent="0.25">
      <c r="A4341" s="43" t="s">
        <v>3696</v>
      </c>
      <c r="B4341" s="43" t="s">
        <v>323</v>
      </c>
      <c r="C4341" s="46">
        <v>20</v>
      </c>
      <c r="D4341" s="46">
        <v>607829.44592786639</v>
      </c>
      <c r="E4341" s="43">
        <v>79017.827970622631</v>
      </c>
      <c r="F4341" s="43" t="s">
        <v>70</v>
      </c>
      <c r="G4341" s="43" t="s">
        <v>71</v>
      </c>
      <c r="H4341" s="43" t="s">
        <v>72</v>
      </c>
    </row>
    <row r="4342" spans="1:8" x14ac:dyDescent="0.25">
      <c r="A4342" s="43" t="s">
        <v>4277</v>
      </c>
      <c r="B4342" s="43" t="s">
        <v>323</v>
      </c>
      <c r="C4342" s="46">
        <v>20</v>
      </c>
      <c r="D4342" s="46">
        <v>561366.40315653523</v>
      </c>
      <c r="E4342" s="43">
        <v>56136.640315653523</v>
      </c>
      <c r="F4342" s="43" t="s">
        <v>70</v>
      </c>
      <c r="G4342" s="43" t="s">
        <v>71</v>
      </c>
      <c r="H4342" s="43" t="s">
        <v>72</v>
      </c>
    </row>
    <row r="4343" spans="1:8" x14ac:dyDescent="0.25">
      <c r="A4343" s="72" t="s">
        <v>3697</v>
      </c>
      <c r="B4343" s="72" t="s">
        <v>323</v>
      </c>
      <c r="C4343" s="73">
        <v>20</v>
      </c>
      <c r="D4343" s="73">
        <v>607829.44592786639</v>
      </c>
      <c r="E4343" s="72">
        <v>79017.827970622631</v>
      </c>
      <c r="F4343" s="72" t="s">
        <v>70</v>
      </c>
      <c r="G4343" s="72" t="s">
        <v>71</v>
      </c>
      <c r="H4343" s="72" t="s">
        <v>72</v>
      </c>
    </row>
    <row r="4344" spans="1:8" x14ac:dyDescent="0.25">
      <c r="A4344" s="43" t="s">
        <v>4013</v>
      </c>
      <c r="B4344" s="43" t="s">
        <v>77</v>
      </c>
      <c r="C4344" s="46">
        <v>20</v>
      </c>
      <c r="D4344" s="46">
        <v>601792.00543727411</v>
      </c>
      <c r="E4344" s="43">
        <v>66197.120598100155</v>
      </c>
      <c r="F4344" s="43" t="s">
        <v>87</v>
      </c>
      <c r="G4344" s="43" t="s">
        <v>71</v>
      </c>
      <c r="H4344" s="43" t="s">
        <v>88</v>
      </c>
    </row>
    <row r="4345" spans="1:8" x14ac:dyDescent="0.25">
      <c r="A4345" s="43" t="s">
        <v>4527</v>
      </c>
      <c r="B4345" s="43" t="s">
        <v>73</v>
      </c>
      <c r="C4345" s="46">
        <v>20</v>
      </c>
      <c r="D4345" s="46">
        <v>447118.38324970467</v>
      </c>
      <c r="E4345" s="43">
        <v>26827.102994982284</v>
      </c>
      <c r="F4345" s="43" t="s">
        <v>106</v>
      </c>
      <c r="G4345" s="43" t="s">
        <v>71</v>
      </c>
      <c r="H4345" s="43" t="s">
        <v>72</v>
      </c>
    </row>
    <row r="4346" spans="1:8" x14ac:dyDescent="0.25">
      <c r="A4346" s="72" t="s">
        <v>3514</v>
      </c>
      <c r="B4346" s="72" t="s">
        <v>323</v>
      </c>
      <c r="C4346" s="73">
        <v>20</v>
      </c>
      <c r="D4346" s="73">
        <v>621187.95682701934</v>
      </c>
      <c r="E4346" s="72">
        <v>86966.313955782694</v>
      </c>
      <c r="F4346" s="72" t="s">
        <v>70</v>
      </c>
      <c r="G4346" s="72" t="s">
        <v>71</v>
      </c>
      <c r="H4346" s="72" t="s">
        <v>72</v>
      </c>
    </row>
    <row r="4347" spans="1:8" x14ac:dyDescent="0.25">
      <c r="A4347" s="72" t="s">
        <v>3645</v>
      </c>
      <c r="B4347" s="72" t="s">
        <v>73</v>
      </c>
      <c r="C4347" s="73">
        <v>20</v>
      </c>
      <c r="D4347" s="73">
        <v>622527.34237960889</v>
      </c>
      <c r="E4347" s="72">
        <v>80928.554509349153</v>
      </c>
      <c r="F4347" s="72" t="s">
        <v>87</v>
      </c>
      <c r="G4347" s="72" t="s">
        <v>71</v>
      </c>
      <c r="H4347" s="72" t="s">
        <v>88</v>
      </c>
    </row>
    <row r="4348" spans="1:8" x14ac:dyDescent="0.25">
      <c r="A4348" s="72" t="s">
        <v>4014</v>
      </c>
      <c r="B4348" s="72" t="s">
        <v>73</v>
      </c>
      <c r="C4348" s="73">
        <v>20</v>
      </c>
      <c r="D4348" s="73">
        <v>601792.00543727411</v>
      </c>
      <c r="E4348" s="72">
        <v>66197.120598100155</v>
      </c>
      <c r="F4348" s="72" t="s">
        <v>87</v>
      </c>
      <c r="G4348" s="72" t="s">
        <v>71</v>
      </c>
      <c r="H4348" s="72" t="s">
        <v>88</v>
      </c>
    </row>
    <row r="4349" spans="1:8" x14ac:dyDescent="0.25">
      <c r="A4349" s="72" t="s">
        <v>4188</v>
      </c>
      <c r="B4349" s="72" t="s">
        <v>93</v>
      </c>
      <c r="C4349" s="73">
        <v>20</v>
      </c>
      <c r="D4349" s="73">
        <v>590031.5865951688</v>
      </c>
      <c r="E4349" s="72">
        <v>59003.158659516885</v>
      </c>
      <c r="F4349" s="72" t="s">
        <v>87</v>
      </c>
      <c r="G4349" s="72" t="s">
        <v>71</v>
      </c>
      <c r="H4349" s="72" t="s">
        <v>88</v>
      </c>
    </row>
    <row r="4350" spans="1:8" x14ac:dyDescent="0.25">
      <c r="A4350" s="72" t="s">
        <v>3886</v>
      </c>
      <c r="B4350" s="72" t="s">
        <v>323</v>
      </c>
      <c r="C4350" s="73">
        <v>20</v>
      </c>
      <c r="D4350" s="73">
        <v>593547.44924484275</v>
      </c>
      <c r="E4350" s="72">
        <v>71225.693909381138</v>
      </c>
      <c r="F4350" s="72" t="s">
        <v>70</v>
      </c>
      <c r="G4350" s="72" t="s">
        <v>71</v>
      </c>
      <c r="H4350" s="72" t="s">
        <v>72</v>
      </c>
    </row>
    <row r="4351" spans="1:8" x14ac:dyDescent="0.25">
      <c r="A4351" s="43" t="s">
        <v>3887</v>
      </c>
      <c r="B4351" s="43" t="s">
        <v>323</v>
      </c>
      <c r="C4351" s="46">
        <v>20</v>
      </c>
      <c r="D4351" s="46">
        <v>593547.44924484275</v>
      </c>
      <c r="E4351" s="43">
        <v>71225.693909381138</v>
      </c>
      <c r="F4351" s="43" t="s">
        <v>70</v>
      </c>
      <c r="G4351" s="43" t="s">
        <v>71</v>
      </c>
      <c r="H4351" s="43" t="s">
        <v>72</v>
      </c>
    </row>
    <row r="4352" spans="1:8" x14ac:dyDescent="0.25">
      <c r="A4352" s="72" t="s">
        <v>4923</v>
      </c>
      <c r="B4352" s="72" t="s">
        <v>73</v>
      </c>
      <c r="C4352" s="73">
        <v>20</v>
      </c>
      <c r="D4352" s="73">
        <v>447118.38324970467</v>
      </c>
      <c r="E4352" s="72">
        <v>26827.102994982284</v>
      </c>
      <c r="F4352" s="72" t="s">
        <v>106</v>
      </c>
      <c r="G4352" s="72" t="s">
        <v>71</v>
      </c>
      <c r="H4352" s="72" t="s">
        <v>72</v>
      </c>
    </row>
    <row r="4353" spans="1:8" x14ac:dyDescent="0.25">
      <c r="A4353" s="43" t="s">
        <v>3698</v>
      </c>
      <c r="B4353" s="43" t="s">
        <v>73</v>
      </c>
      <c r="C4353" s="46">
        <v>20</v>
      </c>
      <c r="D4353" s="46">
        <v>607829.44592786639</v>
      </c>
      <c r="E4353" s="43">
        <v>79017.827970622631</v>
      </c>
      <c r="F4353" s="43" t="s">
        <v>70</v>
      </c>
      <c r="G4353" s="43" t="s">
        <v>71</v>
      </c>
      <c r="H4353" s="43" t="s">
        <v>72</v>
      </c>
    </row>
    <row r="4354" spans="1:8" x14ac:dyDescent="0.25">
      <c r="A4354" s="72" t="s">
        <v>4278</v>
      </c>
      <c r="B4354" s="72" t="s">
        <v>323</v>
      </c>
      <c r="C4354" s="73">
        <v>20</v>
      </c>
      <c r="D4354" s="73">
        <v>561366.40315653523</v>
      </c>
      <c r="E4354" s="72">
        <v>56136.640315653523</v>
      </c>
      <c r="F4354" s="72" t="s">
        <v>70</v>
      </c>
      <c r="G4354" s="72" t="s">
        <v>71</v>
      </c>
      <c r="H4354" s="72" t="s">
        <v>72</v>
      </c>
    </row>
    <row r="4355" spans="1:8" x14ac:dyDescent="0.25">
      <c r="A4355" s="72" t="s">
        <v>3888</v>
      </c>
      <c r="B4355" s="72" t="s">
        <v>97</v>
      </c>
      <c r="C4355" s="73">
        <v>20</v>
      </c>
      <c r="D4355" s="73">
        <v>593547.44924484275</v>
      </c>
      <c r="E4355" s="72">
        <v>71225.693909381138</v>
      </c>
      <c r="F4355" s="72" t="s">
        <v>70</v>
      </c>
      <c r="G4355" s="72" t="s">
        <v>71</v>
      </c>
      <c r="H4355" s="72" t="s">
        <v>72</v>
      </c>
    </row>
    <row r="4356" spans="1:8" x14ac:dyDescent="0.25">
      <c r="A4356" s="43" t="s">
        <v>3822</v>
      </c>
      <c r="B4356" s="43" t="s">
        <v>93</v>
      </c>
      <c r="C4356" s="46">
        <v>20</v>
      </c>
      <c r="D4356" s="46">
        <v>612563.7830601827</v>
      </c>
      <c r="E4356" s="43">
        <v>73507.653967221922</v>
      </c>
      <c r="F4356" s="43" t="s">
        <v>87</v>
      </c>
      <c r="G4356" s="43" t="s">
        <v>71</v>
      </c>
      <c r="H4356" s="43" t="s">
        <v>88</v>
      </c>
    </row>
    <row r="4357" spans="1:8" x14ac:dyDescent="0.25">
      <c r="A4357" s="43" t="s">
        <v>4189</v>
      </c>
      <c r="B4357" s="43" t="s">
        <v>73</v>
      </c>
      <c r="C4357" s="46">
        <v>20</v>
      </c>
      <c r="D4357" s="46">
        <v>590031.5865951688</v>
      </c>
      <c r="E4357" s="43">
        <v>59003.158659516885</v>
      </c>
      <c r="F4357" s="43" t="s">
        <v>87</v>
      </c>
      <c r="G4357" s="43" t="s">
        <v>71</v>
      </c>
      <c r="H4357" s="43" t="s">
        <v>88</v>
      </c>
    </row>
    <row r="4358" spans="1:8" x14ac:dyDescent="0.25">
      <c r="A4358" s="43" t="s">
        <v>4279</v>
      </c>
      <c r="B4358" s="43" t="s">
        <v>323</v>
      </c>
      <c r="C4358" s="46">
        <v>20</v>
      </c>
      <c r="D4358" s="46">
        <v>561366.40315653523</v>
      </c>
      <c r="E4358" s="43">
        <v>56136.640315653523</v>
      </c>
      <c r="F4358" s="43" t="s">
        <v>70</v>
      </c>
      <c r="G4358" s="43" t="s">
        <v>71</v>
      </c>
      <c r="H4358" s="43" t="s">
        <v>72</v>
      </c>
    </row>
    <row r="4359" spans="1:8" x14ac:dyDescent="0.25">
      <c r="A4359" s="43" t="s">
        <v>3515</v>
      </c>
      <c r="B4359" s="43" t="s">
        <v>323</v>
      </c>
      <c r="C4359" s="46">
        <v>20</v>
      </c>
      <c r="D4359" s="46">
        <v>621187.95682701934</v>
      </c>
      <c r="E4359" s="43">
        <v>86966.313955782694</v>
      </c>
      <c r="F4359" s="43" t="s">
        <v>70</v>
      </c>
      <c r="G4359" s="43" t="s">
        <v>71</v>
      </c>
      <c r="H4359" s="43" t="s">
        <v>72</v>
      </c>
    </row>
    <row r="4360" spans="1:8" x14ac:dyDescent="0.25">
      <c r="A4360" s="72" t="s">
        <v>4280</v>
      </c>
      <c r="B4360" s="72" t="s">
        <v>323</v>
      </c>
      <c r="C4360" s="73">
        <v>20</v>
      </c>
      <c r="D4360" s="73">
        <v>561366.40315653523</v>
      </c>
      <c r="E4360" s="72">
        <v>56136.640315653523</v>
      </c>
      <c r="F4360" s="72" t="s">
        <v>70</v>
      </c>
      <c r="G4360" s="72" t="s">
        <v>71</v>
      </c>
      <c r="H4360" s="72" t="s">
        <v>72</v>
      </c>
    </row>
    <row r="4361" spans="1:8" x14ac:dyDescent="0.25">
      <c r="A4361" s="72" t="s">
        <v>3823</v>
      </c>
      <c r="B4361" s="72" t="s">
        <v>73</v>
      </c>
      <c r="C4361" s="73">
        <v>20</v>
      </c>
      <c r="D4361" s="73">
        <v>612563.7830601827</v>
      </c>
      <c r="E4361" s="72">
        <v>73507.653967221922</v>
      </c>
      <c r="F4361" s="72" t="s">
        <v>87</v>
      </c>
      <c r="G4361" s="72" t="s">
        <v>71</v>
      </c>
      <c r="H4361" s="72" t="s">
        <v>88</v>
      </c>
    </row>
    <row r="4362" spans="1:8" x14ac:dyDescent="0.25">
      <c r="A4362" s="72" t="s">
        <v>4399</v>
      </c>
      <c r="B4362" s="72" t="s">
        <v>73</v>
      </c>
      <c r="C4362" s="73">
        <v>20</v>
      </c>
      <c r="D4362" s="73">
        <v>577028.28292183194</v>
      </c>
      <c r="E4362" s="72">
        <v>51932.545462964874</v>
      </c>
      <c r="F4362" s="72" t="s">
        <v>87</v>
      </c>
      <c r="G4362" s="72" t="s">
        <v>71</v>
      </c>
      <c r="H4362" s="72" t="s">
        <v>88</v>
      </c>
    </row>
    <row r="4363" spans="1:8" x14ac:dyDescent="0.25">
      <c r="A4363" s="43" t="s">
        <v>4015</v>
      </c>
      <c r="B4363" s="43" t="s">
        <v>202</v>
      </c>
      <c r="C4363" s="46">
        <v>20</v>
      </c>
      <c r="D4363" s="46">
        <v>601792.00543727411</v>
      </c>
      <c r="E4363" s="43">
        <v>66197.120598100155</v>
      </c>
      <c r="F4363" s="43" t="s">
        <v>87</v>
      </c>
      <c r="G4363" s="43" t="s">
        <v>71</v>
      </c>
      <c r="H4363" s="43" t="s">
        <v>88</v>
      </c>
    </row>
    <row r="4364" spans="1:8" x14ac:dyDescent="0.25">
      <c r="A4364" s="72" t="s">
        <v>4498</v>
      </c>
      <c r="B4364" s="72" t="s">
        <v>75</v>
      </c>
      <c r="C4364" s="73">
        <v>20</v>
      </c>
      <c r="D4364" s="73">
        <v>478646.94706190028</v>
      </c>
      <c r="E4364" s="72">
        <v>47864.694706190028</v>
      </c>
      <c r="F4364" s="72" t="s">
        <v>106</v>
      </c>
      <c r="G4364" s="72" t="s">
        <v>71</v>
      </c>
      <c r="H4364" s="72" t="s">
        <v>72</v>
      </c>
    </row>
    <row r="4365" spans="1:8" x14ac:dyDescent="0.25">
      <c r="A4365" s="72" t="s">
        <v>4198</v>
      </c>
      <c r="B4365" s="72" t="s">
        <v>75</v>
      </c>
      <c r="C4365" s="73">
        <v>20</v>
      </c>
      <c r="D4365" s="73">
        <v>489762.86678216694</v>
      </c>
      <c r="E4365" s="72">
        <v>58771.544013860032</v>
      </c>
      <c r="F4365" s="72" t="s">
        <v>106</v>
      </c>
      <c r="G4365" s="72" t="s">
        <v>71</v>
      </c>
      <c r="H4365" s="72" t="s">
        <v>72</v>
      </c>
    </row>
    <row r="4366" spans="1:8" x14ac:dyDescent="0.25">
      <c r="A4366" s="43" t="s">
        <v>4086</v>
      </c>
      <c r="B4366" s="43" t="s">
        <v>323</v>
      </c>
      <c r="C4366" s="46">
        <v>20</v>
      </c>
      <c r="D4366" s="46">
        <v>578149.1722582581</v>
      </c>
      <c r="E4366" s="43">
        <v>63596.408948408396</v>
      </c>
      <c r="F4366" s="43" t="s">
        <v>70</v>
      </c>
      <c r="G4366" s="43" t="s">
        <v>71</v>
      </c>
      <c r="H4366" s="43" t="s">
        <v>72</v>
      </c>
    </row>
    <row r="4367" spans="1:8" x14ac:dyDescent="0.25">
      <c r="A4367" s="72" t="s">
        <v>4087</v>
      </c>
      <c r="B4367" s="72" t="s">
        <v>323</v>
      </c>
      <c r="C4367" s="73">
        <v>20</v>
      </c>
      <c r="D4367" s="73">
        <v>578149.1722582581</v>
      </c>
      <c r="E4367" s="72">
        <v>63596.408948408396</v>
      </c>
      <c r="F4367" s="72" t="s">
        <v>70</v>
      </c>
      <c r="G4367" s="72" t="s">
        <v>71</v>
      </c>
      <c r="H4367" s="72" t="s">
        <v>72</v>
      </c>
    </row>
    <row r="4368" spans="1:8" x14ac:dyDescent="0.25">
      <c r="A4368" s="43" t="s">
        <v>4758</v>
      </c>
      <c r="B4368" s="43" t="s">
        <v>291</v>
      </c>
      <c r="C4368" s="46">
        <v>20</v>
      </c>
      <c r="D4368" s="46">
        <v>465028.96221064165</v>
      </c>
      <c r="E4368" s="43">
        <v>37202.316976851333</v>
      </c>
      <c r="F4368" s="43" t="s">
        <v>106</v>
      </c>
      <c r="G4368" s="43" t="s">
        <v>71</v>
      </c>
      <c r="H4368" s="43" t="s">
        <v>72</v>
      </c>
    </row>
    <row r="4369" spans="1:8" x14ac:dyDescent="0.25">
      <c r="A4369" s="72" t="s">
        <v>4852</v>
      </c>
      <c r="B4369" s="72" t="s">
        <v>93</v>
      </c>
      <c r="C4369" s="73">
        <v>20</v>
      </c>
      <c r="D4369" s="73">
        <v>525448.35973545385</v>
      </c>
      <c r="E4369" s="72">
        <v>31526.90158412723</v>
      </c>
      <c r="F4369" s="72" t="s">
        <v>87</v>
      </c>
      <c r="G4369" s="72" t="s">
        <v>71</v>
      </c>
      <c r="H4369" s="72" t="s">
        <v>88</v>
      </c>
    </row>
    <row r="4370" spans="1:8" x14ac:dyDescent="0.25">
      <c r="A4370" s="72" t="s">
        <v>3699</v>
      </c>
      <c r="B4370" s="72" t="s">
        <v>323</v>
      </c>
      <c r="C4370" s="73">
        <v>20</v>
      </c>
      <c r="D4370" s="73">
        <v>607829.44592786639</v>
      </c>
      <c r="E4370" s="72">
        <v>79017.827970622631</v>
      </c>
      <c r="F4370" s="72" t="s">
        <v>70</v>
      </c>
      <c r="G4370" s="72" t="s">
        <v>71</v>
      </c>
      <c r="H4370" s="72" t="s">
        <v>72</v>
      </c>
    </row>
    <row r="4371" spans="1:8" x14ac:dyDescent="0.25">
      <c r="A4371" s="43" t="s">
        <v>4281</v>
      </c>
      <c r="B4371" s="43" t="s">
        <v>73</v>
      </c>
      <c r="C4371" s="46">
        <v>20</v>
      </c>
      <c r="D4371" s="46">
        <v>561366.40315653523</v>
      </c>
      <c r="E4371" s="43">
        <v>56136.640315653523</v>
      </c>
      <c r="F4371" s="43" t="s">
        <v>70</v>
      </c>
      <c r="G4371" s="43" t="s">
        <v>71</v>
      </c>
      <c r="H4371" s="43" t="s">
        <v>72</v>
      </c>
    </row>
    <row r="4372" spans="1:8" x14ac:dyDescent="0.25">
      <c r="A4372" s="43" t="s">
        <v>4480</v>
      </c>
      <c r="B4372" s="43" t="s">
        <v>73</v>
      </c>
      <c r="C4372" s="46">
        <v>20</v>
      </c>
      <c r="D4372" s="46">
        <v>542807.25536494597</v>
      </c>
      <c r="E4372" s="43">
        <v>48852.652982845138</v>
      </c>
      <c r="F4372" s="43" t="s">
        <v>70</v>
      </c>
      <c r="G4372" s="43" t="s">
        <v>71</v>
      </c>
      <c r="H4372" s="43" t="s">
        <v>72</v>
      </c>
    </row>
    <row r="4373" spans="1:8" x14ac:dyDescent="0.25">
      <c r="A4373" s="72" t="s">
        <v>4282</v>
      </c>
      <c r="B4373" s="72" t="s">
        <v>73</v>
      </c>
      <c r="C4373" s="73">
        <v>20</v>
      </c>
      <c r="D4373" s="73">
        <v>561366.40315653523</v>
      </c>
      <c r="E4373" s="72">
        <v>56136.640315653523</v>
      </c>
      <c r="F4373" s="72" t="s">
        <v>70</v>
      </c>
      <c r="G4373" s="72" t="s">
        <v>71</v>
      </c>
      <c r="H4373" s="72" t="s">
        <v>72</v>
      </c>
    </row>
    <row r="4374" spans="1:8" x14ac:dyDescent="0.25">
      <c r="A4374" s="43" t="s">
        <v>4283</v>
      </c>
      <c r="B4374" s="43" t="s">
        <v>323</v>
      </c>
      <c r="C4374" s="46">
        <v>20</v>
      </c>
      <c r="D4374" s="46">
        <v>561366.40315653523</v>
      </c>
      <c r="E4374" s="43">
        <v>56136.640315653523</v>
      </c>
      <c r="F4374" s="43" t="s">
        <v>70</v>
      </c>
      <c r="G4374" s="43" t="s">
        <v>71</v>
      </c>
      <c r="H4374" s="43" t="s">
        <v>72</v>
      </c>
    </row>
    <row r="4375" spans="1:8" x14ac:dyDescent="0.25">
      <c r="A4375" s="72" t="s">
        <v>4481</v>
      </c>
      <c r="B4375" s="72" t="s">
        <v>323</v>
      </c>
      <c r="C4375" s="73">
        <v>20</v>
      </c>
      <c r="D4375" s="73">
        <v>542807.25536494597</v>
      </c>
      <c r="E4375" s="72">
        <v>48852.652982845138</v>
      </c>
      <c r="F4375" s="72" t="s">
        <v>70</v>
      </c>
      <c r="G4375" s="72" t="s">
        <v>71</v>
      </c>
      <c r="H4375" s="72" t="s">
        <v>72</v>
      </c>
    </row>
    <row r="4376" spans="1:8" x14ac:dyDescent="0.25">
      <c r="A4376" s="43" t="s">
        <v>3889</v>
      </c>
      <c r="B4376" s="43" t="s">
        <v>323</v>
      </c>
      <c r="C4376" s="46">
        <v>20</v>
      </c>
      <c r="D4376" s="46">
        <v>593547.44924484275</v>
      </c>
      <c r="E4376" s="43">
        <v>71225.693909381138</v>
      </c>
      <c r="F4376" s="43" t="s">
        <v>70</v>
      </c>
      <c r="G4376" s="43" t="s">
        <v>71</v>
      </c>
      <c r="H4376" s="43" t="s">
        <v>72</v>
      </c>
    </row>
    <row r="4377" spans="1:8" x14ac:dyDescent="0.25">
      <c r="A4377" s="72" t="s">
        <v>4284</v>
      </c>
      <c r="B4377" s="72" t="s">
        <v>323</v>
      </c>
      <c r="C4377" s="73">
        <v>20</v>
      </c>
      <c r="D4377" s="73">
        <v>561366.40315653523</v>
      </c>
      <c r="E4377" s="72">
        <v>56136.640315653523</v>
      </c>
      <c r="F4377" s="72" t="s">
        <v>70</v>
      </c>
      <c r="G4377" s="72" t="s">
        <v>71</v>
      </c>
      <c r="H4377" s="72" t="s">
        <v>72</v>
      </c>
    </row>
    <row r="4378" spans="1:8" x14ac:dyDescent="0.25">
      <c r="A4378" s="43" t="s">
        <v>4088</v>
      </c>
      <c r="B4378" s="43" t="s">
        <v>323</v>
      </c>
      <c r="C4378" s="46">
        <v>20</v>
      </c>
      <c r="D4378" s="46">
        <v>578149.1722582581</v>
      </c>
      <c r="E4378" s="43">
        <v>63596.408948408396</v>
      </c>
      <c r="F4378" s="43" t="s">
        <v>70</v>
      </c>
      <c r="G4378" s="43" t="s">
        <v>71</v>
      </c>
      <c r="H4378" s="43" t="s">
        <v>72</v>
      </c>
    </row>
    <row r="4379" spans="1:8" x14ac:dyDescent="0.25">
      <c r="A4379" s="72" t="s">
        <v>4016</v>
      </c>
      <c r="B4379" s="72" t="s">
        <v>73</v>
      </c>
      <c r="C4379" s="73">
        <v>20</v>
      </c>
      <c r="D4379" s="73">
        <v>601792.00543727411</v>
      </c>
      <c r="E4379" s="72">
        <v>66197.120598100155</v>
      </c>
      <c r="F4379" s="72" t="s">
        <v>87</v>
      </c>
      <c r="G4379" s="72" t="s">
        <v>71</v>
      </c>
      <c r="H4379" s="72" t="s">
        <v>88</v>
      </c>
    </row>
    <row r="4380" spans="1:8" x14ac:dyDescent="0.25">
      <c r="A4380" s="72" t="s">
        <v>4089</v>
      </c>
      <c r="B4380" s="72" t="s">
        <v>97</v>
      </c>
      <c r="C4380" s="73">
        <v>20</v>
      </c>
      <c r="D4380" s="73">
        <v>578149.1722582581</v>
      </c>
      <c r="E4380" s="72">
        <v>63596.408948408396</v>
      </c>
      <c r="F4380" s="72" t="s">
        <v>70</v>
      </c>
      <c r="G4380" s="72" t="s">
        <v>71</v>
      </c>
      <c r="H4380" s="72" t="s">
        <v>72</v>
      </c>
    </row>
    <row r="4381" spans="1:8" x14ac:dyDescent="0.25">
      <c r="A4381" s="72" t="s">
        <v>3890</v>
      </c>
      <c r="B4381" s="72" t="s">
        <v>323</v>
      </c>
      <c r="C4381" s="73">
        <v>20</v>
      </c>
      <c r="D4381" s="73">
        <v>593547.44924484275</v>
      </c>
      <c r="E4381" s="72">
        <v>71225.693909381138</v>
      </c>
      <c r="F4381" s="72" t="s">
        <v>70</v>
      </c>
      <c r="G4381" s="72" t="s">
        <v>71</v>
      </c>
      <c r="H4381" s="72" t="s">
        <v>72</v>
      </c>
    </row>
    <row r="4382" spans="1:8" x14ac:dyDescent="0.25">
      <c r="A4382" s="43" t="s">
        <v>4847</v>
      </c>
      <c r="B4382" s="43" t="s">
        <v>93</v>
      </c>
      <c r="C4382" s="46">
        <v>20</v>
      </c>
      <c r="D4382" s="46">
        <v>456795.35342373728</v>
      </c>
      <c r="E4382" s="43">
        <v>31975.674739661605</v>
      </c>
      <c r="F4382" s="43" t="s">
        <v>106</v>
      </c>
      <c r="G4382" s="43" t="s">
        <v>71</v>
      </c>
      <c r="H4382" s="43" t="s">
        <v>72</v>
      </c>
    </row>
    <row r="4383" spans="1:8" x14ac:dyDescent="0.25">
      <c r="A4383" s="43" t="s">
        <v>4348</v>
      </c>
      <c r="B4383" s="43" t="s">
        <v>73</v>
      </c>
      <c r="C4383" s="46">
        <v>20</v>
      </c>
      <c r="D4383" s="46">
        <v>484452.47949958511</v>
      </c>
      <c r="E4383" s="43">
        <v>53289.772744954367</v>
      </c>
      <c r="F4383" s="43" t="s">
        <v>106</v>
      </c>
      <c r="G4383" s="43" t="s">
        <v>71</v>
      </c>
      <c r="H4383" s="43" t="s">
        <v>72</v>
      </c>
    </row>
    <row r="4384" spans="1:8" x14ac:dyDescent="0.25">
      <c r="A4384" s="43" t="s">
        <v>3700</v>
      </c>
      <c r="B4384" s="43" t="s">
        <v>73</v>
      </c>
      <c r="C4384" s="46">
        <v>20</v>
      </c>
      <c r="D4384" s="46">
        <v>607829.44592786639</v>
      </c>
      <c r="E4384" s="43">
        <v>79017.827970622631</v>
      </c>
      <c r="F4384" s="43" t="s">
        <v>70</v>
      </c>
      <c r="G4384" s="43" t="s">
        <v>71</v>
      </c>
      <c r="H4384" s="43" t="s">
        <v>72</v>
      </c>
    </row>
    <row r="4385" spans="1:8" x14ac:dyDescent="0.25">
      <c r="A4385" s="43" t="s">
        <v>4042</v>
      </c>
      <c r="B4385" s="43" t="s">
        <v>265</v>
      </c>
      <c r="C4385" s="46">
        <v>20</v>
      </c>
      <c r="D4385" s="46">
        <v>722317.28740810952</v>
      </c>
      <c r="E4385" s="43">
        <v>65008.555866729854</v>
      </c>
      <c r="F4385" s="43" t="s">
        <v>84</v>
      </c>
      <c r="G4385" s="43" t="s">
        <v>71</v>
      </c>
      <c r="H4385" s="43" t="s">
        <v>72</v>
      </c>
    </row>
    <row r="4386" spans="1:8" x14ac:dyDescent="0.25">
      <c r="A4386" s="43" t="s">
        <v>3891</v>
      </c>
      <c r="B4386" s="43" t="s">
        <v>323</v>
      </c>
      <c r="C4386" s="46">
        <v>20</v>
      </c>
      <c r="D4386" s="46">
        <v>593547.44924484275</v>
      </c>
      <c r="E4386" s="43">
        <v>71225.693909381138</v>
      </c>
      <c r="F4386" s="43" t="s">
        <v>70</v>
      </c>
      <c r="G4386" s="43" t="s">
        <v>71</v>
      </c>
      <c r="H4386" s="43" t="s">
        <v>72</v>
      </c>
    </row>
    <row r="4387" spans="1:8" x14ac:dyDescent="0.25">
      <c r="A4387" s="43" t="s">
        <v>4853</v>
      </c>
      <c r="B4387" s="43" t="s">
        <v>323</v>
      </c>
      <c r="C4387" s="46">
        <v>20</v>
      </c>
      <c r="D4387" s="46">
        <v>525448.35973545385</v>
      </c>
      <c r="E4387" s="43">
        <v>31526.90158412723</v>
      </c>
      <c r="F4387" s="43" t="s">
        <v>87</v>
      </c>
      <c r="G4387" s="43" t="s">
        <v>71</v>
      </c>
      <c r="H4387" s="43" t="s">
        <v>88</v>
      </c>
    </row>
    <row r="4388" spans="1:8" x14ac:dyDescent="0.25">
      <c r="A4388" s="72" t="s">
        <v>4854</v>
      </c>
      <c r="B4388" s="72" t="s">
        <v>73</v>
      </c>
      <c r="C4388" s="73">
        <v>20</v>
      </c>
      <c r="D4388" s="73">
        <v>525448.35973545385</v>
      </c>
      <c r="E4388" s="72">
        <v>31526.90158412723</v>
      </c>
      <c r="F4388" s="72" t="s">
        <v>87</v>
      </c>
      <c r="G4388" s="72" t="s">
        <v>71</v>
      </c>
      <c r="H4388" s="72" t="s">
        <v>88</v>
      </c>
    </row>
    <row r="4389" spans="1:8" x14ac:dyDescent="0.25">
      <c r="A4389" s="72" t="s">
        <v>3701</v>
      </c>
      <c r="B4389" s="72" t="s">
        <v>439</v>
      </c>
      <c r="C4389" s="73">
        <v>20</v>
      </c>
      <c r="D4389" s="73">
        <v>607829.44592786639</v>
      </c>
      <c r="E4389" s="72">
        <v>79017.827970622631</v>
      </c>
      <c r="F4389" s="72" t="s">
        <v>70</v>
      </c>
      <c r="G4389" s="72" t="s">
        <v>71</v>
      </c>
      <c r="H4389" s="72" t="s">
        <v>72</v>
      </c>
    </row>
    <row r="4390" spans="1:8" x14ac:dyDescent="0.25">
      <c r="A4390" s="43" t="s">
        <v>4090</v>
      </c>
      <c r="B4390" s="43" t="s">
        <v>73</v>
      </c>
      <c r="C4390" s="46">
        <v>20</v>
      </c>
      <c r="D4390" s="46">
        <v>578149.1722582581</v>
      </c>
      <c r="E4390" s="43">
        <v>63596.408948408396</v>
      </c>
      <c r="F4390" s="43" t="s">
        <v>70</v>
      </c>
      <c r="G4390" s="43" t="s">
        <v>71</v>
      </c>
      <c r="H4390" s="43" t="s">
        <v>72</v>
      </c>
    </row>
    <row r="4391" spans="1:8" x14ac:dyDescent="0.25">
      <c r="A4391" s="43" t="s">
        <v>4656</v>
      </c>
      <c r="B4391" s="43" t="s">
        <v>323</v>
      </c>
      <c r="C4391" s="46">
        <v>20</v>
      </c>
      <c r="D4391" s="46">
        <v>521859.66774041526</v>
      </c>
      <c r="E4391" s="43">
        <v>41748.773419233221</v>
      </c>
      <c r="F4391" s="43" t="s">
        <v>70</v>
      </c>
      <c r="G4391" s="43" t="s">
        <v>71</v>
      </c>
      <c r="H4391" s="43" t="s">
        <v>72</v>
      </c>
    </row>
    <row r="4392" spans="1:8" x14ac:dyDescent="0.25">
      <c r="A4392" s="43" t="s">
        <v>4499</v>
      </c>
      <c r="B4392" s="43" t="s">
        <v>73</v>
      </c>
      <c r="C4392" s="46">
        <v>20</v>
      </c>
      <c r="D4392" s="46">
        <v>478646.94706190028</v>
      </c>
      <c r="E4392" s="43">
        <v>47864.694706190028</v>
      </c>
      <c r="F4392" s="43" t="s">
        <v>106</v>
      </c>
      <c r="G4392" s="43" t="s">
        <v>71</v>
      </c>
      <c r="H4392" s="43" t="s">
        <v>72</v>
      </c>
    </row>
    <row r="4393" spans="1:8" x14ac:dyDescent="0.25">
      <c r="A4393" s="43" t="s">
        <v>4924</v>
      </c>
      <c r="B4393" s="43" t="s">
        <v>73</v>
      </c>
      <c r="C4393" s="46">
        <v>20</v>
      </c>
      <c r="D4393" s="46">
        <v>447118.38324970467</v>
      </c>
      <c r="E4393" s="43">
        <v>26827.102994982284</v>
      </c>
      <c r="F4393" s="43" t="s">
        <v>106</v>
      </c>
      <c r="G4393" s="43" t="s">
        <v>71</v>
      </c>
      <c r="H4393" s="43" t="s">
        <v>72</v>
      </c>
    </row>
    <row r="4394" spans="1:8" x14ac:dyDescent="0.25">
      <c r="A4394" s="72" t="s">
        <v>4091</v>
      </c>
      <c r="B4394" s="72" t="s">
        <v>323</v>
      </c>
      <c r="C4394" s="73">
        <v>20</v>
      </c>
      <c r="D4394" s="73">
        <v>578149.1722582581</v>
      </c>
      <c r="E4394" s="72">
        <v>63596.408948408396</v>
      </c>
      <c r="F4394" s="72" t="s">
        <v>70</v>
      </c>
      <c r="G4394" s="72" t="s">
        <v>71</v>
      </c>
      <c r="H4394" s="72" t="s">
        <v>72</v>
      </c>
    </row>
    <row r="4395" spans="1:8" x14ac:dyDescent="0.25">
      <c r="A4395" s="72" t="s">
        <v>4657</v>
      </c>
      <c r="B4395" s="72" t="s">
        <v>73</v>
      </c>
      <c r="C4395" s="73">
        <v>20</v>
      </c>
      <c r="D4395" s="73">
        <v>521859.66774041526</v>
      </c>
      <c r="E4395" s="72">
        <v>41748.773419233221</v>
      </c>
      <c r="F4395" s="72" t="s">
        <v>70</v>
      </c>
      <c r="G4395" s="72" t="s">
        <v>71</v>
      </c>
      <c r="H4395" s="72" t="s">
        <v>72</v>
      </c>
    </row>
    <row r="4396" spans="1:8" x14ac:dyDescent="0.25">
      <c r="A4396" s="43" t="s">
        <v>4482</v>
      </c>
      <c r="B4396" s="43" t="s">
        <v>73</v>
      </c>
      <c r="C4396" s="46">
        <v>20</v>
      </c>
      <c r="D4396" s="46">
        <v>542807.25536494597</v>
      </c>
      <c r="E4396" s="43">
        <v>48852.652982845138</v>
      </c>
      <c r="F4396" s="43" t="s">
        <v>70</v>
      </c>
      <c r="G4396" s="43" t="s">
        <v>71</v>
      </c>
      <c r="H4396" s="43" t="s">
        <v>72</v>
      </c>
    </row>
    <row r="4397" spans="1:8" x14ac:dyDescent="0.25">
      <c r="A4397" s="72" t="s">
        <v>3516</v>
      </c>
      <c r="B4397" s="72" t="s">
        <v>77</v>
      </c>
      <c r="C4397" s="73">
        <v>20</v>
      </c>
      <c r="D4397" s="73">
        <v>621187.95682701934</v>
      </c>
      <c r="E4397" s="72">
        <v>86966.313955782694</v>
      </c>
      <c r="F4397" s="72" t="s">
        <v>70</v>
      </c>
      <c r="G4397" s="72" t="s">
        <v>71</v>
      </c>
      <c r="H4397" s="72" t="s">
        <v>72</v>
      </c>
    </row>
    <row r="4398" spans="1:8" x14ac:dyDescent="0.25">
      <c r="A4398" s="72" t="s">
        <v>3892</v>
      </c>
      <c r="B4398" s="72" t="s">
        <v>323</v>
      </c>
      <c r="C4398" s="73">
        <v>20</v>
      </c>
      <c r="D4398" s="73">
        <v>593547.44924484275</v>
      </c>
      <c r="E4398" s="72">
        <v>71225.693909381138</v>
      </c>
      <c r="F4398" s="72" t="s">
        <v>70</v>
      </c>
      <c r="G4398" s="72" t="s">
        <v>71</v>
      </c>
      <c r="H4398" s="72" t="s">
        <v>72</v>
      </c>
    </row>
    <row r="4399" spans="1:8" x14ac:dyDescent="0.25">
      <c r="A4399" s="72" t="s">
        <v>4483</v>
      </c>
      <c r="B4399" s="72" t="s">
        <v>323</v>
      </c>
      <c r="C4399" s="73">
        <v>20</v>
      </c>
      <c r="D4399" s="73">
        <v>542807.25536494597</v>
      </c>
      <c r="E4399" s="72">
        <v>48852.652982845138</v>
      </c>
      <c r="F4399" s="72" t="s">
        <v>70</v>
      </c>
      <c r="G4399" s="72" t="s">
        <v>71</v>
      </c>
      <c r="H4399" s="72" t="s">
        <v>72</v>
      </c>
    </row>
    <row r="4400" spans="1:8" x14ac:dyDescent="0.25">
      <c r="A4400" s="43" t="s">
        <v>4855</v>
      </c>
      <c r="B4400" s="43" t="s">
        <v>1247</v>
      </c>
      <c r="C4400" s="46">
        <v>20</v>
      </c>
      <c r="D4400" s="46">
        <v>525448.35973545385</v>
      </c>
      <c r="E4400" s="43">
        <v>31526.90158412723</v>
      </c>
      <c r="F4400" s="43" t="s">
        <v>87</v>
      </c>
      <c r="G4400" s="43" t="s">
        <v>71</v>
      </c>
      <c r="H4400" s="43" t="s">
        <v>88</v>
      </c>
    </row>
    <row r="4401" spans="1:8" x14ac:dyDescent="0.25">
      <c r="A4401" s="43" t="s">
        <v>3517</v>
      </c>
      <c r="B4401" s="43" t="s">
        <v>73</v>
      </c>
      <c r="C4401" s="46">
        <v>20</v>
      </c>
      <c r="D4401" s="46">
        <v>621187.95682701934</v>
      </c>
      <c r="E4401" s="43">
        <v>86966.313955782694</v>
      </c>
      <c r="F4401" s="43" t="s">
        <v>70</v>
      </c>
      <c r="G4401" s="43" t="s">
        <v>71</v>
      </c>
      <c r="H4401" s="43" t="s">
        <v>72</v>
      </c>
    </row>
    <row r="4402" spans="1:8" x14ac:dyDescent="0.25">
      <c r="A4402" s="43" t="s">
        <v>4285</v>
      </c>
      <c r="B4402" s="43" t="s">
        <v>323</v>
      </c>
      <c r="C4402" s="46">
        <v>20</v>
      </c>
      <c r="D4402" s="46">
        <v>561366.40315653523</v>
      </c>
      <c r="E4402" s="43">
        <v>56136.640315653523</v>
      </c>
      <c r="F4402" s="43" t="s">
        <v>70</v>
      </c>
      <c r="G4402" s="43" t="s">
        <v>71</v>
      </c>
      <c r="H4402" s="43" t="s">
        <v>72</v>
      </c>
    </row>
    <row r="4403" spans="1:8" x14ac:dyDescent="0.25">
      <c r="A4403" s="43" t="s">
        <v>4092</v>
      </c>
      <c r="B4403" s="43" t="s">
        <v>323</v>
      </c>
      <c r="C4403" s="46">
        <v>20</v>
      </c>
      <c r="D4403" s="46">
        <v>578149.1722582581</v>
      </c>
      <c r="E4403" s="43">
        <v>63596.408948408396</v>
      </c>
      <c r="F4403" s="43" t="s">
        <v>70</v>
      </c>
      <c r="G4403" s="43" t="s">
        <v>71</v>
      </c>
      <c r="H4403" s="43" t="s">
        <v>72</v>
      </c>
    </row>
    <row r="4404" spans="1:8" x14ac:dyDescent="0.25">
      <c r="A4404" s="72" t="s">
        <v>4286</v>
      </c>
      <c r="B4404" s="72" t="s">
        <v>323</v>
      </c>
      <c r="C4404" s="73">
        <v>20</v>
      </c>
      <c r="D4404" s="73">
        <v>561366.40315653523</v>
      </c>
      <c r="E4404" s="72">
        <v>56136.640315653523</v>
      </c>
      <c r="F4404" s="72" t="s">
        <v>70</v>
      </c>
      <c r="G4404" s="72" t="s">
        <v>71</v>
      </c>
      <c r="H4404" s="72" t="s">
        <v>72</v>
      </c>
    </row>
    <row r="4405" spans="1:8" x14ac:dyDescent="0.25">
      <c r="A4405" s="72" t="s">
        <v>4093</v>
      </c>
      <c r="B4405" s="72" t="s">
        <v>323</v>
      </c>
      <c r="C4405" s="73">
        <v>20</v>
      </c>
      <c r="D4405" s="73">
        <v>578149.1722582581</v>
      </c>
      <c r="E4405" s="72">
        <v>63596.408948408396</v>
      </c>
      <c r="F4405" s="72" t="s">
        <v>70</v>
      </c>
      <c r="G4405" s="72" t="s">
        <v>71</v>
      </c>
      <c r="H4405" s="72" t="s">
        <v>72</v>
      </c>
    </row>
    <row r="4406" spans="1:8" x14ac:dyDescent="0.25">
      <c r="A4406" s="43" t="s">
        <v>3702</v>
      </c>
      <c r="B4406" s="43" t="s">
        <v>323</v>
      </c>
      <c r="C4406" s="46">
        <v>20</v>
      </c>
      <c r="D4406" s="46">
        <v>607829.44592786639</v>
      </c>
      <c r="E4406" s="43">
        <v>79017.827970622631</v>
      </c>
      <c r="F4406" s="43" t="s">
        <v>70</v>
      </c>
      <c r="G4406" s="43" t="s">
        <v>71</v>
      </c>
      <c r="H4406" s="43" t="s">
        <v>72</v>
      </c>
    </row>
    <row r="4407" spans="1:8" x14ac:dyDescent="0.25">
      <c r="A4407" s="72" t="s">
        <v>3518</v>
      </c>
      <c r="B4407" s="72" t="s">
        <v>323</v>
      </c>
      <c r="C4407" s="73">
        <v>20</v>
      </c>
      <c r="D4407" s="73">
        <v>621187.95682701934</v>
      </c>
      <c r="E4407" s="72">
        <v>86966.313955782694</v>
      </c>
      <c r="F4407" s="72" t="s">
        <v>70</v>
      </c>
      <c r="G4407" s="72" t="s">
        <v>71</v>
      </c>
      <c r="H4407" s="72" t="s">
        <v>72</v>
      </c>
    </row>
    <row r="4408" spans="1:8" x14ac:dyDescent="0.25">
      <c r="A4408" s="43" t="s">
        <v>4017</v>
      </c>
      <c r="B4408" s="43" t="s">
        <v>93</v>
      </c>
      <c r="C4408" s="46">
        <v>20</v>
      </c>
      <c r="D4408" s="46">
        <v>601792.00543727411</v>
      </c>
      <c r="E4408" s="43">
        <v>66197.120598100155</v>
      </c>
      <c r="F4408" s="43" t="s">
        <v>87</v>
      </c>
      <c r="G4408" s="43" t="s">
        <v>71</v>
      </c>
      <c r="H4408" s="43" t="s">
        <v>88</v>
      </c>
    </row>
    <row r="4409" spans="1:8" x14ac:dyDescent="0.25">
      <c r="A4409" s="43" t="s">
        <v>4400</v>
      </c>
      <c r="B4409" s="43" t="s">
        <v>73</v>
      </c>
      <c r="C4409" s="46">
        <v>20</v>
      </c>
      <c r="D4409" s="46">
        <v>577028.28292183194</v>
      </c>
      <c r="E4409" s="43">
        <v>51932.545462964874</v>
      </c>
      <c r="F4409" s="43" t="s">
        <v>87</v>
      </c>
      <c r="G4409" s="43" t="s">
        <v>71</v>
      </c>
      <c r="H4409" s="43" t="s">
        <v>88</v>
      </c>
    </row>
    <row r="4410" spans="1:8" x14ac:dyDescent="0.25">
      <c r="A4410" s="43" t="s">
        <v>3824</v>
      </c>
      <c r="B4410" s="43" t="s">
        <v>93</v>
      </c>
      <c r="C4410" s="46">
        <v>20</v>
      </c>
      <c r="D4410" s="46">
        <v>612563.7830601827</v>
      </c>
      <c r="E4410" s="43">
        <v>73507.653967221922</v>
      </c>
      <c r="F4410" s="43" t="s">
        <v>87</v>
      </c>
      <c r="G4410" s="43" t="s">
        <v>71</v>
      </c>
      <c r="H4410" s="43" t="s">
        <v>88</v>
      </c>
    </row>
    <row r="4411" spans="1:8" x14ac:dyDescent="0.25">
      <c r="A4411" s="72" t="s">
        <v>4190</v>
      </c>
      <c r="B4411" s="72" t="s">
        <v>73</v>
      </c>
      <c r="C4411" s="73">
        <v>20</v>
      </c>
      <c r="D4411" s="73">
        <v>590031.5865951688</v>
      </c>
      <c r="E4411" s="72">
        <v>59003.158659516885</v>
      </c>
      <c r="F4411" s="72" t="s">
        <v>87</v>
      </c>
      <c r="G4411" s="72" t="s">
        <v>71</v>
      </c>
      <c r="H4411" s="72" t="s">
        <v>88</v>
      </c>
    </row>
    <row r="4412" spans="1:8" x14ac:dyDescent="0.25">
      <c r="A4412" s="43" t="s">
        <v>3893</v>
      </c>
      <c r="B4412" s="43" t="s">
        <v>323</v>
      </c>
      <c r="C4412" s="46">
        <v>20</v>
      </c>
      <c r="D4412" s="46">
        <v>593547.44924484275</v>
      </c>
      <c r="E4412" s="43">
        <v>71225.693909381138</v>
      </c>
      <c r="F4412" s="43" t="s">
        <v>70</v>
      </c>
      <c r="G4412" s="43" t="s">
        <v>71</v>
      </c>
      <c r="H4412" s="43" t="s">
        <v>72</v>
      </c>
    </row>
    <row r="4413" spans="1:8" x14ac:dyDescent="0.25">
      <c r="A4413" s="43" t="s">
        <v>4287</v>
      </c>
      <c r="B4413" s="43" t="s">
        <v>73</v>
      </c>
      <c r="C4413" s="46">
        <v>20</v>
      </c>
      <c r="D4413" s="46">
        <v>561366.40315653523</v>
      </c>
      <c r="E4413" s="43">
        <v>56136.640315653523</v>
      </c>
      <c r="F4413" s="43" t="s">
        <v>70</v>
      </c>
      <c r="G4413" s="43" t="s">
        <v>71</v>
      </c>
      <c r="H4413" s="43" t="s">
        <v>72</v>
      </c>
    </row>
    <row r="4414" spans="1:8" x14ac:dyDescent="0.25">
      <c r="A4414" s="43" t="s">
        <v>4658</v>
      </c>
      <c r="B4414" s="43" t="s">
        <v>323</v>
      </c>
      <c r="C4414" s="46">
        <v>20</v>
      </c>
      <c r="D4414" s="46">
        <v>521859.66774041526</v>
      </c>
      <c r="E4414" s="43">
        <v>41748.773419233221</v>
      </c>
      <c r="F4414" s="43" t="s">
        <v>70</v>
      </c>
      <c r="G4414" s="43" t="s">
        <v>71</v>
      </c>
      <c r="H4414" s="43" t="s">
        <v>72</v>
      </c>
    </row>
    <row r="4415" spans="1:8" x14ac:dyDescent="0.25">
      <c r="A4415" s="72" t="s">
        <v>4659</v>
      </c>
      <c r="B4415" s="72" t="s">
        <v>97</v>
      </c>
      <c r="C4415" s="73">
        <v>20</v>
      </c>
      <c r="D4415" s="73">
        <v>521859.66774041526</v>
      </c>
      <c r="E4415" s="72">
        <v>41748.773419233221</v>
      </c>
      <c r="F4415" s="72" t="s">
        <v>70</v>
      </c>
      <c r="G4415" s="72" t="s">
        <v>71</v>
      </c>
      <c r="H4415" s="72" t="s">
        <v>72</v>
      </c>
    </row>
    <row r="4416" spans="1:8" x14ac:dyDescent="0.25">
      <c r="A4416" s="43" t="s">
        <v>3646</v>
      </c>
      <c r="B4416" s="43" t="s">
        <v>77</v>
      </c>
      <c r="C4416" s="46">
        <v>20</v>
      </c>
      <c r="D4416" s="46">
        <v>622527.34237960889</v>
      </c>
      <c r="E4416" s="43">
        <v>80928.554509349153</v>
      </c>
      <c r="F4416" s="43" t="s">
        <v>87</v>
      </c>
      <c r="G4416" s="43" t="s">
        <v>71</v>
      </c>
      <c r="H4416" s="43" t="s">
        <v>88</v>
      </c>
    </row>
    <row r="4417" spans="1:8" x14ac:dyDescent="0.25">
      <c r="A4417" s="72" t="s">
        <v>4500</v>
      </c>
      <c r="B4417" s="72" t="s">
        <v>554</v>
      </c>
      <c r="C4417" s="73">
        <v>20</v>
      </c>
      <c r="D4417" s="73">
        <v>478646.94706190028</v>
      </c>
      <c r="E4417" s="72">
        <v>47864.694706190028</v>
      </c>
      <c r="F4417" s="72" t="s">
        <v>106</v>
      </c>
      <c r="G4417" s="72" t="s">
        <v>71</v>
      </c>
      <c r="H4417" s="72" t="s">
        <v>72</v>
      </c>
    </row>
    <row r="4418" spans="1:8" x14ac:dyDescent="0.25">
      <c r="A4418" s="43" t="s">
        <v>4199</v>
      </c>
      <c r="B4418" s="43" t="s">
        <v>75</v>
      </c>
      <c r="C4418" s="46">
        <v>20</v>
      </c>
      <c r="D4418" s="46">
        <v>489762.86678216694</v>
      </c>
      <c r="E4418" s="43">
        <v>58771.544013860032</v>
      </c>
      <c r="F4418" s="43" t="s">
        <v>106</v>
      </c>
      <c r="G4418" s="43" t="s">
        <v>71</v>
      </c>
      <c r="H4418" s="43" t="s">
        <v>72</v>
      </c>
    </row>
    <row r="4419" spans="1:8" x14ac:dyDescent="0.25">
      <c r="A4419" s="43" t="s">
        <v>4094</v>
      </c>
      <c r="B4419" s="43" t="s">
        <v>323</v>
      </c>
      <c r="C4419" s="46">
        <v>20</v>
      </c>
      <c r="D4419" s="46">
        <v>578149.1722582581</v>
      </c>
      <c r="E4419" s="43">
        <v>63596.408948408396</v>
      </c>
      <c r="F4419" s="43" t="s">
        <v>70</v>
      </c>
      <c r="G4419" s="43" t="s">
        <v>71</v>
      </c>
      <c r="H4419" s="43" t="s">
        <v>72</v>
      </c>
    </row>
    <row r="4420" spans="1:8" x14ac:dyDescent="0.25">
      <c r="A4420" s="43" t="s">
        <v>4574</v>
      </c>
      <c r="B4420" s="43" t="s">
        <v>73</v>
      </c>
      <c r="C4420" s="46">
        <v>20</v>
      </c>
      <c r="D4420" s="46">
        <v>562405.07981198793</v>
      </c>
      <c r="E4420" s="43">
        <v>44992.406384959038</v>
      </c>
      <c r="F4420" s="43" t="s">
        <v>87</v>
      </c>
      <c r="G4420" s="43" t="s">
        <v>71</v>
      </c>
      <c r="H4420" s="43" t="s">
        <v>88</v>
      </c>
    </row>
    <row r="4421" spans="1:8" x14ac:dyDescent="0.25">
      <c r="A4421" s="43" t="s">
        <v>3519</v>
      </c>
      <c r="B4421" s="43" t="s">
        <v>323</v>
      </c>
      <c r="C4421" s="46">
        <v>20</v>
      </c>
      <c r="D4421" s="46">
        <v>621187.95682701934</v>
      </c>
      <c r="E4421" s="43">
        <v>86966.313955782694</v>
      </c>
      <c r="F4421" s="43" t="s">
        <v>70</v>
      </c>
      <c r="G4421" s="43" t="s">
        <v>71</v>
      </c>
      <c r="H4421" s="43" t="s">
        <v>72</v>
      </c>
    </row>
    <row r="4422" spans="1:8" x14ac:dyDescent="0.25">
      <c r="A4422" s="43" t="s">
        <v>4660</v>
      </c>
      <c r="B4422" s="43" t="s">
        <v>77</v>
      </c>
      <c r="C4422" s="46">
        <v>20</v>
      </c>
      <c r="D4422" s="46">
        <v>521859.66774041526</v>
      </c>
      <c r="E4422" s="43">
        <v>41748.773419233221</v>
      </c>
      <c r="F4422" s="43" t="s">
        <v>70</v>
      </c>
      <c r="G4422" s="43" t="s">
        <v>71</v>
      </c>
      <c r="H4422" s="43" t="s">
        <v>72</v>
      </c>
    </row>
    <row r="4423" spans="1:8" x14ac:dyDescent="0.25">
      <c r="A4423" s="72" t="s">
        <v>4349</v>
      </c>
      <c r="B4423" s="72" t="s">
        <v>75</v>
      </c>
      <c r="C4423" s="73">
        <v>20</v>
      </c>
      <c r="D4423" s="73">
        <v>484452.47949958511</v>
      </c>
      <c r="E4423" s="72">
        <v>53289.772744954367</v>
      </c>
      <c r="F4423" s="72" t="s">
        <v>106</v>
      </c>
      <c r="G4423" s="72" t="s">
        <v>71</v>
      </c>
      <c r="H4423" s="72" t="s">
        <v>72</v>
      </c>
    </row>
    <row r="4424" spans="1:8" x14ac:dyDescent="0.25">
      <c r="A4424" s="72" t="s">
        <v>4401</v>
      </c>
      <c r="B4424" s="72" t="s">
        <v>73</v>
      </c>
      <c r="C4424" s="73">
        <v>20</v>
      </c>
      <c r="D4424" s="73">
        <v>577028.28292183194</v>
      </c>
      <c r="E4424" s="72">
        <v>51932.545462964874</v>
      </c>
      <c r="F4424" s="72" t="s">
        <v>87</v>
      </c>
      <c r="G4424" s="72" t="s">
        <v>71</v>
      </c>
      <c r="H4424" s="72" t="s">
        <v>88</v>
      </c>
    </row>
    <row r="4425" spans="1:8" x14ac:dyDescent="0.25">
      <c r="A4425" s="72" t="s">
        <v>4661</v>
      </c>
      <c r="B4425" s="72" t="s">
        <v>74</v>
      </c>
      <c r="C4425" s="73">
        <v>20</v>
      </c>
      <c r="D4425" s="73">
        <v>521859.66774041526</v>
      </c>
      <c r="E4425" s="72">
        <v>41748.773419233221</v>
      </c>
      <c r="F4425" s="72" t="s">
        <v>70</v>
      </c>
      <c r="G4425" s="72" t="s">
        <v>71</v>
      </c>
      <c r="H4425" s="72" t="s">
        <v>72</v>
      </c>
    </row>
    <row r="4426" spans="1:8" x14ac:dyDescent="0.25">
      <c r="A4426" s="72" t="s">
        <v>3703</v>
      </c>
      <c r="B4426" s="72" t="s">
        <v>107</v>
      </c>
      <c r="C4426" s="73">
        <v>20</v>
      </c>
      <c r="D4426" s="73">
        <v>607829.44592786639</v>
      </c>
      <c r="E4426" s="72">
        <v>79017.827970622631</v>
      </c>
      <c r="F4426" s="72" t="s">
        <v>70</v>
      </c>
      <c r="G4426" s="72" t="s">
        <v>71</v>
      </c>
      <c r="H4426" s="72" t="s">
        <v>72</v>
      </c>
    </row>
    <row r="4427" spans="1:8" x14ac:dyDescent="0.25">
      <c r="A4427" s="43" t="s">
        <v>4620</v>
      </c>
      <c r="B4427" s="43" t="s">
        <v>73</v>
      </c>
      <c r="C4427" s="46">
        <v>20</v>
      </c>
      <c r="D4427" s="46">
        <v>536609.97910466616</v>
      </c>
      <c r="E4427" s="43">
        <v>42928.79832837329</v>
      </c>
      <c r="F4427" s="43" t="s">
        <v>78</v>
      </c>
      <c r="G4427" s="43" t="s">
        <v>71</v>
      </c>
      <c r="H4427" s="43" t="s">
        <v>72</v>
      </c>
    </row>
    <row r="4428" spans="1:8" x14ac:dyDescent="0.25">
      <c r="A4428" s="72" t="s">
        <v>4856</v>
      </c>
      <c r="B4428" s="72" t="s">
        <v>73</v>
      </c>
      <c r="C4428" s="73">
        <v>20</v>
      </c>
      <c r="D4428" s="73">
        <v>525448.35973545385</v>
      </c>
      <c r="E4428" s="72">
        <v>31526.90158412723</v>
      </c>
      <c r="F4428" s="72" t="s">
        <v>87</v>
      </c>
      <c r="G4428" s="72" t="s">
        <v>71</v>
      </c>
      <c r="H4428" s="72" t="s">
        <v>88</v>
      </c>
    </row>
    <row r="4429" spans="1:8" x14ac:dyDescent="0.25">
      <c r="A4429" s="72" t="s">
        <v>3647</v>
      </c>
      <c r="B4429" s="72" t="s">
        <v>73</v>
      </c>
      <c r="C4429" s="73">
        <v>20</v>
      </c>
      <c r="D4429" s="73">
        <v>622527.34237960889</v>
      </c>
      <c r="E4429" s="72">
        <v>80928.554509349153</v>
      </c>
      <c r="F4429" s="72" t="s">
        <v>87</v>
      </c>
      <c r="G4429" s="72" t="s">
        <v>71</v>
      </c>
      <c r="H4429" s="72" t="s">
        <v>88</v>
      </c>
    </row>
    <row r="4430" spans="1:8" x14ac:dyDescent="0.25">
      <c r="A4430" s="72" t="s">
        <v>4925</v>
      </c>
      <c r="B4430" s="72" t="s">
        <v>93</v>
      </c>
      <c r="C4430" s="73">
        <v>20</v>
      </c>
      <c r="D4430" s="73">
        <v>447118.38324970467</v>
      </c>
      <c r="E4430" s="72">
        <v>26827.102994982284</v>
      </c>
      <c r="F4430" s="72" t="s">
        <v>106</v>
      </c>
      <c r="G4430" s="72" t="s">
        <v>71</v>
      </c>
      <c r="H4430" s="72" t="s">
        <v>72</v>
      </c>
    </row>
    <row r="4431" spans="1:8" x14ac:dyDescent="0.25">
      <c r="A4431" s="72" t="s">
        <v>4018</v>
      </c>
      <c r="B4431" s="72" t="s">
        <v>77</v>
      </c>
      <c r="C4431" s="73">
        <v>20</v>
      </c>
      <c r="D4431" s="73">
        <v>601792.00543727411</v>
      </c>
      <c r="E4431" s="72">
        <v>66197.120598100155</v>
      </c>
      <c r="F4431" s="72" t="s">
        <v>87</v>
      </c>
      <c r="G4431" s="72" t="s">
        <v>71</v>
      </c>
      <c r="H4431" s="72" t="s">
        <v>88</v>
      </c>
    </row>
    <row r="4432" spans="1:8" x14ac:dyDescent="0.25">
      <c r="A4432" s="72" t="s">
        <v>4288</v>
      </c>
      <c r="B4432" s="72" t="s">
        <v>323</v>
      </c>
      <c r="C4432" s="73">
        <v>20</v>
      </c>
      <c r="D4432" s="73">
        <v>561366.40315653523</v>
      </c>
      <c r="E4432" s="72">
        <v>56136.640315653523</v>
      </c>
      <c r="F4432" s="72" t="s">
        <v>70</v>
      </c>
      <c r="G4432" s="72" t="s">
        <v>71</v>
      </c>
      <c r="H4432" s="72" t="s">
        <v>72</v>
      </c>
    </row>
    <row r="4433" spans="1:8" x14ac:dyDescent="0.25">
      <c r="A4433" s="43" t="s">
        <v>3648</v>
      </c>
      <c r="B4433" s="43" t="s">
        <v>73</v>
      </c>
      <c r="C4433" s="46">
        <v>20</v>
      </c>
      <c r="D4433" s="46">
        <v>622527.34237960889</v>
      </c>
      <c r="E4433" s="43">
        <v>80928.554509349153</v>
      </c>
      <c r="F4433" s="43" t="s">
        <v>87</v>
      </c>
      <c r="G4433" s="43" t="s">
        <v>71</v>
      </c>
      <c r="H4433" s="43" t="s">
        <v>88</v>
      </c>
    </row>
    <row r="4434" spans="1:8" x14ac:dyDescent="0.25">
      <c r="A4434" s="43" t="s">
        <v>3704</v>
      </c>
      <c r="B4434" s="43" t="s">
        <v>323</v>
      </c>
      <c r="C4434" s="46">
        <v>20</v>
      </c>
      <c r="D4434" s="46">
        <v>607829.44592786639</v>
      </c>
      <c r="E4434" s="43">
        <v>79017.827970622631</v>
      </c>
      <c r="F4434" s="43" t="s">
        <v>70</v>
      </c>
      <c r="G4434" s="43" t="s">
        <v>71</v>
      </c>
      <c r="H4434" s="43" t="s">
        <v>72</v>
      </c>
    </row>
    <row r="4435" spans="1:8" x14ac:dyDescent="0.25">
      <c r="A4435" s="72" t="s">
        <v>3649</v>
      </c>
      <c r="B4435" s="72" t="s">
        <v>93</v>
      </c>
      <c r="C4435" s="73">
        <v>20</v>
      </c>
      <c r="D4435" s="73">
        <v>622527.34237960889</v>
      </c>
      <c r="E4435" s="72">
        <v>80928.554509349153</v>
      </c>
      <c r="F4435" s="72" t="s">
        <v>87</v>
      </c>
      <c r="G4435" s="72" t="s">
        <v>71</v>
      </c>
      <c r="H4435" s="72" t="s">
        <v>88</v>
      </c>
    </row>
    <row r="4436" spans="1:8" x14ac:dyDescent="0.25">
      <c r="A4436" s="43" t="s">
        <v>3650</v>
      </c>
      <c r="B4436" s="43" t="s">
        <v>93</v>
      </c>
      <c r="C4436" s="46">
        <v>20</v>
      </c>
      <c r="D4436" s="46">
        <v>622527.34237960889</v>
      </c>
      <c r="E4436" s="43">
        <v>80928.554509349153</v>
      </c>
      <c r="F4436" s="43" t="s">
        <v>87</v>
      </c>
      <c r="G4436" s="43" t="s">
        <v>71</v>
      </c>
      <c r="H4436" s="43" t="s">
        <v>88</v>
      </c>
    </row>
    <row r="4437" spans="1:8" x14ac:dyDescent="0.25">
      <c r="A4437" s="72" t="s">
        <v>3825</v>
      </c>
      <c r="B4437" s="72" t="s">
        <v>73</v>
      </c>
      <c r="C4437" s="73">
        <v>20</v>
      </c>
      <c r="D4437" s="73">
        <v>612563.7830601827</v>
      </c>
      <c r="E4437" s="72">
        <v>73507.653967221922</v>
      </c>
      <c r="F4437" s="72" t="s">
        <v>87</v>
      </c>
      <c r="G4437" s="72" t="s">
        <v>71</v>
      </c>
      <c r="H4437" s="72" t="s">
        <v>88</v>
      </c>
    </row>
    <row r="4438" spans="1:8" x14ac:dyDescent="0.25">
      <c r="A4438" s="43" t="s">
        <v>4191</v>
      </c>
      <c r="B4438" s="43" t="s">
        <v>378</v>
      </c>
      <c r="C4438" s="46">
        <v>20</v>
      </c>
      <c r="D4438" s="46">
        <v>590031.5865951688</v>
      </c>
      <c r="E4438" s="43">
        <v>59003.158659516885</v>
      </c>
      <c r="F4438" s="43" t="s">
        <v>87</v>
      </c>
      <c r="G4438" s="43" t="s">
        <v>71</v>
      </c>
      <c r="H4438" s="43" t="s">
        <v>88</v>
      </c>
    </row>
    <row r="4439" spans="1:8" x14ac:dyDescent="0.25">
      <c r="A4439" s="72" t="s">
        <v>3520</v>
      </c>
      <c r="B4439" s="72" t="s">
        <v>323</v>
      </c>
      <c r="C4439" s="73">
        <v>20</v>
      </c>
      <c r="D4439" s="73">
        <v>621187.95682701934</v>
      </c>
      <c r="E4439" s="72">
        <v>86966.313955782694</v>
      </c>
      <c r="F4439" s="72" t="s">
        <v>70</v>
      </c>
      <c r="G4439" s="72" t="s">
        <v>71</v>
      </c>
      <c r="H4439" s="72" t="s">
        <v>72</v>
      </c>
    </row>
    <row r="4440" spans="1:8" x14ac:dyDescent="0.25">
      <c r="A4440" s="72" t="s">
        <v>4745</v>
      </c>
      <c r="B4440" s="72" t="s">
        <v>155</v>
      </c>
      <c r="C4440" s="73">
        <v>20</v>
      </c>
      <c r="D4440" s="73">
        <v>545562.7526913227</v>
      </c>
      <c r="E4440" s="72">
        <v>38189.392688392589</v>
      </c>
      <c r="F4440" s="72" t="s">
        <v>87</v>
      </c>
      <c r="G4440" s="72" t="s">
        <v>71</v>
      </c>
      <c r="H4440" s="72" t="s">
        <v>88</v>
      </c>
    </row>
    <row r="4441" spans="1:8" x14ac:dyDescent="0.25">
      <c r="A4441" s="43" t="s">
        <v>4402</v>
      </c>
      <c r="B4441" s="43" t="s">
        <v>1247</v>
      </c>
      <c r="C4441" s="46">
        <v>20</v>
      </c>
      <c r="D4441" s="46">
        <v>577028.28292183194</v>
      </c>
      <c r="E4441" s="43">
        <v>51932.545462964874</v>
      </c>
      <c r="F4441" s="43" t="s">
        <v>87</v>
      </c>
      <c r="G4441" s="43" t="s">
        <v>71</v>
      </c>
      <c r="H4441" s="43" t="s">
        <v>88</v>
      </c>
    </row>
    <row r="4442" spans="1:8" x14ac:dyDescent="0.25">
      <c r="A4442" s="43" t="s">
        <v>3521</v>
      </c>
      <c r="B4442" s="43" t="s">
        <v>323</v>
      </c>
      <c r="C4442" s="46">
        <v>20</v>
      </c>
      <c r="D4442" s="46">
        <v>621187.95682701934</v>
      </c>
      <c r="E4442" s="43">
        <v>86966.313955782694</v>
      </c>
      <c r="F4442" s="43" t="s">
        <v>70</v>
      </c>
      <c r="G4442" s="43" t="s">
        <v>71</v>
      </c>
      <c r="H4442" s="43" t="s">
        <v>72</v>
      </c>
    </row>
    <row r="4443" spans="1:8" x14ac:dyDescent="0.25">
      <c r="A4443" s="72" t="s">
        <v>3522</v>
      </c>
      <c r="B4443" s="72" t="s">
        <v>323</v>
      </c>
      <c r="C4443" s="73">
        <v>20</v>
      </c>
      <c r="D4443" s="73">
        <v>621187.95682701934</v>
      </c>
      <c r="E4443" s="72">
        <v>86966.313955782694</v>
      </c>
      <c r="F4443" s="72" t="s">
        <v>70</v>
      </c>
      <c r="G4443" s="72" t="s">
        <v>71</v>
      </c>
      <c r="H4443" s="72" t="s">
        <v>72</v>
      </c>
    </row>
    <row r="4444" spans="1:8" x14ac:dyDescent="0.25">
      <c r="A4444" s="72" t="s">
        <v>4192</v>
      </c>
      <c r="B4444" s="72" t="s">
        <v>93</v>
      </c>
      <c r="C4444" s="73">
        <v>20</v>
      </c>
      <c r="D4444" s="73">
        <v>590031.5865951688</v>
      </c>
      <c r="E4444" s="72">
        <v>59003.158659516885</v>
      </c>
      <c r="F4444" s="72" t="s">
        <v>87</v>
      </c>
      <c r="G4444" s="72" t="s">
        <v>71</v>
      </c>
      <c r="H4444" s="72" t="s">
        <v>88</v>
      </c>
    </row>
    <row r="4445" spans="1:8" x14ac:dyDescent="0.25">
      <c r="A4445" s="72" t="s">
        <v>3651</v>
      </c>
      <c r="B4445" s="72" t="s">
        <v>93</v>
      </c>
      <c r="C4445" s="73">
        <v>20</v>
      </c>
      <c r="D4445" s="73">
        <v>622527.34237960889</v>
      </c>
      <c r="E4445" s="72">
        <v>80928.554509349153</v>
      </c>
      <c r="F4445" s="72" t="s">
        <v>87</v>
      </c>
      <c r="G4445" s="72" t="s">
        <v>71</v>
      </c>
      <c r="H4445" s="72" t="s">
        <v>88</v>
      </c>
    </row>
    <row r="4446" spans="1:8" x14ac:dyDescent="0.25">
      <c r="A4446" s="72" t="s">
        <v>4575</v>
      </c>
      <c r="B4446" s="72" t="s">
        <v>1247</v>
      </c>
      <c r="C4446" s="73">
        <v>20</v>
      </c>
      <c r="D4446" s="73">
        <v>562405.07981198793</v>
      </c>
      <c r="E4446" s="72">
        <v>44992.406384959038</v>
      </c>
      <c r="F4446" s="72" t="s">
        <v>87</v>
      </c>
      <c r="G4446" s="72" t="s">
        <v>71</v>
      </c>
      <c r="H4446" s="72" t="s">
        <v>88</v>
      </c>
    </row>
    <row r="4447" spans="1:8" x14ac:dyDescent="0.25">
      <c r="A4447" s="72" t="s">
        <v>4294</v>
      </c>
      <c r="B4447" s="72" t="s">
        <v>75</v>
      </c>
      <c r="C4447" s="73">
        <v>19</v>
      </c>
      <c r="D4447" s="73">
        <v>465019.27172754699</v>
      </c>
      <c r="E4447" s="72">
        <v>55802.312607305634</v>
      </c>
      <c r="F4447" s="72" t="s">
        <v>106</v>
      </c>
      <c r="G4447" s="72" t="s">
        <v>71</v>
      </c>
      <c r="H4447" s="72" t="s">
        <v>72</v>
      </c>
    </row>
    <row r="4448" spans="1:8" x14ac:dyDescent="0.25">
      <c r="A4448" s="72" t="s">
        <v>4472</v>
      </c>
      <c r="B4448" s="72" t="s">
        <v>267</v>
      </c>
      <c r="C4448" s="73">
        <v>19</v>
      </c>
      <c r="D4448" s="73">
        <v>547949.88302684925</v>
      </c>
      <c r="E4448" s="72">
        <v>49315.489472416433</v>
      </c>
      <c r="F4448" s="72" t="s">
        <v>87</v>
      </c>
      <c r="G4448" s="72" t="s">
        <v>71</v>
      </c>
      <c r="H4448" s="72" t="s">
        <v>88</v>
      </c>
    </row>
    <row r="4449" spans="1:8" x14ac:dyDescent="0.25">
      <c r="A4449" s="72" t="s">
        <v>3613</v>
      </c>
      <c r="B4449" s="72" t="s">
        <v>97</v>
      </c>
      <c r="C4449" s="73">
        <v>19</v>
      </c>
      <c r="D4449" s="73">
        <v>589867.28382474207</v>
      </c>
      <c r="E4449" s="72">
        <v>82581.419735463875</v>
      </c>
      <c r="F4449" s="72" t="s">
        <v>70</v>
      </c>
      <c r="G4449" s="72" t="s">
        <v>71</v>
      </c>
      <c r="H4449" s="72" t="s">
        <v>72</v>
      </c>
    </row>
    <row r="4450" spans="1:8" x14ac:dyDescent="0.25">
      <c r="A4450" s="72" t="s">
        <v>3794</v>
      </c>
      <c r="B4450" s="72" t="s">
        <v>265</v>
      </c>
      <c r="C4450" s="73">
        <v>19</v>
      </c>
      <c r="D4450" s="73">
        <v>577176.69847054663</v>
      </c>
      <c r="E4450" s="72">
        <v>75032.970801171061</v>
      </c>
      <c r="F4450" s="72" t="s">
        <v>70</v>
      </c>
      <c r="G4450" s="72" t="s">
        <v>71</v>
      </c>
      <c r="H4450" s="72" t="s">
        <v>72</v>
      </c>
    </row>
    <row r="4451" spans="1:8" x14ac:dyDescent="0.25">
      <c r="A4451" s="72" t="s">
        <v>4880</v>
      </c>
      <c r="B4451" s="72" t="s">
        <v>73</v>
      </c>
      <c r="C4451" s="73">
        <v>19</v>
      </c>
      <c r="D4451" s="73">
        <v>498948.95599979005</v>
      </c>
      <c r="E4451" s="72">
        <v>29936.937359987402</v>
      </c>
      <c r="F4451" s="72" t="s">
        <v>87</v>
      </c>
      <c r="G4451" s="72" t="s">
        <v>71</v>
      </c>
      <c r="H4451" s="72" t="s">
        <v>88</v>
      </c>
    </row>
    <row r="4452" spans="1:8" x14ac:dyDescent="0.25">
      <c r="A4452" s="72" t="s">
        <v>4777</v>
      </c>
      <c r="B4452" s="72" t="s">
        <v>73</v>
      </c>
      <c r="C4452" s="73">
        <v>19</v>
      </c>
      <c r="D4452" s="73">
        <v>518057.6293078654</v>
      </c>
      <c r="E4452" s="72">
        <v>36264.034051550574</v>
      </c>
      <c r="F4452" s="72" t="s">
        <v>87</v>
      </c>
      <c r="G4452" s="72" t="s">
        <v>71</v>
      </c>
      <c r="H4452" s="72" t="s">
        <v>88</v>
      </c>
    </row>
    <row r="4453" spans="1:8" x14ac:dyDescent="0.25">
      <c r="A4453" s="43" t="s">
        <v>4118</v>
      </c>
      <c r="B4453" s="43" t="s">
        <v>93</v>
      </c>
      <c r="C4453" s="46">
        <v>19</v>
      </c>
      <c r="D4453" s="46">
        <v>571475.41941651935</v>
      </c>
      <c r="E4453" s="43">
        <v>62862.296135817138</v>
      </c>
      <c r="F4453" s="43" t="s">
        <v>87</v>
      </c>
      <c r="G4453" s="43" t="s">
        <v>71</v>
      </c>
      <c r="H4453" s="43" t="s">
        <v>88</v>
      </c>
    </row>
    <row r="4454" spans="1:8" x14ac:dyDescent="0.25">
      <c r="A4454" s="43" t="s">
        <v>4127</v>
      </c>
      <c r="B4454" s="43" t="s">
        <v>176</v>
      </c>
      <c r="C4454" s="46">
        <v>19</v>
      </c>
      <c r="D4454" s="46">
        <v>694804.81056963466</v>
      </c>
      <c r="E4454" s="43">
        <v>62532.432951267117</v>
      </c>
      <c r="F4454" s="43" t="s">
        <v>84</v>
      </c>
      <c r="G4454" s="43" t="s">
        <v>71</v>
      </c>
      <c r="H4454" s="43" t="s">
        <v>72</v>
      </c>
    </row>
    <row r="4455" spans="1:8" x14ac:dyDescent="0.25">
      <c r="A4455" s="43" t="s">
        <v>4473</v>
      </c>
      <c r="B4455" s="43" t="s">
        <v>73</v>
      </c>
      <c r="C4455" s="46">
        <v>19</v>
      </c>
      <c r="D4455" s="46">
        <v>547949.88302684925</v>
      </c>
      <c r="E4455" s="43">
        <v>49315.489472416433</v>
      </c>
      <c r="F4455" s="43" t="s">
        <v>87</v>
      </c>
      <c r="G4455" s="43" t="s">
        <v>71</v>
      </c>
      <c r="H4455" s="43" t="s">
        <v>88</v>
      </c>
    </row>
    <row r="4456" spans="1:8" x14ac:dyDescent="0.25">
      <c r="A4456" s="72" t="s">
        <v>3564</v>
      </c>
      <c r="B4456" s="72" t="s">
        <v>75</v>
      </c>
      <c r="C4456" s="73">
        <v>19</v>
      </c>
      <c r="D4456" s="73">
        <v>606287.66671951383</v>
      </c>
      <c r="E4456" s="72">
        <v>84880.273340731932</v>
      </c>
      <c r="F4456" s="72" t="s">
        <v>78</v>
      </c>
      <c r="G4456" s="72" t="s">
        <v>71</v>
      </c>
      <c r="H4456" s="72" t="s">
        <v>72</v>
      </c>
    </row>
    <row r="4457" spans="1:8" x14ac:dyDescent="0.25">
      <c r="A4457" s="43" t="s">
        <v>3755</v>
      </c>
      <c r="B4457" s="43" t="s">
        <v>93</v>
      </c>
      <c r="C4457" s="46">
        <v>19</v>
      </c>
      <c r="D4457" s="46">
        <v>591173.98951173725</v>
      </c>
      <c r="E4457" s="43">
        <v>76852.618636525847</v>
      </c>
      <c r="F4457" s="43" t="s">
        <v>87</v>
      </c>
      <c r="G4457" s="43" t="s">
        <v>71</v>
      </c>
      <c r="H4457" s="43" t="s">
        <v>88</v>
      </c>
    </row>
    <row r="4458" spans="1:8" x14ac:dyDescent="0.25">
      <c r="A4458" s="72" t="s">
        <v>4474</v>
      </c>
      <c r="B4458" s="72" t="s">
        <v>113</v>
      </c>
      <c r="C4458" s="73">
        <v>19</v>
      </c>
      <c r="D4458" s="73">
        <v>547949.88302684925</v>
      </c>
      <c r="E4458" s="72">
        <v>49315.489472416433</v>
      </c>
      <c r="F4458" s="72" t="s">
        <v>87</v>
      </c>
      <c r="G4458" s="72" t="s">
        <v>71</v>
      </c>
      <c r="H4458" s="72" t="s">
        <v>88</v>
      </c>
    </row>
    <row r="4459" spans="1:8" x14ac:dyDescent="0.25">
      <c r="A4459" s="72" t="s">
        <v>4292</v>
      </c>
      <c r="B4459" s="72" t="s">
        <v>73</v>
      </c>
      <c r="C4459" s="73">
        <v>19</v>
      </c>
      <c r="D4459" s="73">
        <v>560303.02151651925</v>
      </c>
      <c r="E4459" s="72">
        <v>56030.302151651929</v>
      </c>
      <c r="F4459" s="72" t="s">
        <v>87</v>
      </c>
      <c r="G4459" s="72" t="s">
        <v>71</v>
      </c>
      <c r="H4459" s="72" t="s">
        <v>88</v>
      </c>
    </row>
    <row r="4460" spans="1:8" x14ac:dyDescent="0.25">
      <c r="A4460" s="72" t="s">
        <v>3756</v>
      </c>
      <c r="B4460" s="72" t="s">
        <v>93</v>
      </c>
      <c r="C4460" s="73">
        <v>19</v>
      </c>
      <c r="D4460" s="73">
        <v>591173.98951173725</v>
      </c>
      <c r="E4460" s="72">
        <v>76852.618636525847</v>
      </c>
      <c r="F4460" s="72" t="s">
        <v>87</v>
      </c>
      <c r="G4460" s="72" t="s">
        <v>71</v>
      </c>
      <c r="H4460" s="72" t="s">
        <v>88</v>
      </c>
    </row>
    <row r="4461" spans="1:8" x14ac:dyDescent="0.25">
      <c r="A4461" s="72" t="s">
        <v>3927</v>
      </c>
      <c r="B4461" s="72" t="s">
        <v>202</v>
      </c>
      <c r="C4461" s="73">
        <v>19</v>
      </c>
      <c r="D4461" s="73">
        <v>581708.60815828235</v>
      </c>
      <c r="E4461" s="72">
        <v>69805.032978993884</v>
      </c>
      <c r="F4461" s="72" t="s">
        <v>87</v>
      </c>
      <c r="G4461" s="72" t="s">
        <v>71</v>
      </c>
      <c r="H4461" s="72" t="s">
        <v>88</v>
      </c>
    </row>
    <row r="4462" spans="1:8" x14ac:dyDescent="0.25">
      <c r="A4462" s="72" t="s">
        <v>3930</v>
      </c>
      <c r="B4462" s="72" t="s">
        <v>75</v>
      </c>
      <c r="C4462" s="73">
        <v>19</v>
      </c>
      <c r="D4462" s="73">
        <v>579347.88750069006</v>
      </c>
      <c r="E4462" s="72">
        <v>69521.746500082823</v>
      </c>
      <c r="F4462" s="72" t="s">
        <v>78</v>
      </c>
      <c r="G4462" s="72" t="s">
        <v>71</v>
      </c>
      <c r="H4462" s="72" t="s">
        <v>72</v>
      </c>
    </row>
    <row r="4463" spans="1:8" x14ac:dyDescent="0.25">
      <c r="A4463" s="43" t="s">
        <v>3757</v>
      </c>
      <c r="B4463" s="43" t="s">
        <v>93</v>
      </c>
      <c r="C4463" s="46">
        <v>19</v>
      </c>
      <c r="D4463" s="46">
        <v>591173.98951173725</v>
      </c>
      <c r="E4463" s="43">
        <v>76852.618636525847</v>
      </c>
      <c r="F4463" s="43" t="s">
        <v>87</v>
      </c>
      <c r="G4463" s="43" t="s">
        <v>71</v>
      </c>
      <c r="H4463" s="43" t="s">
        <v>88</v>
      </c>
    </row>
    <row r="4464" spans="1:8" x14ac:dyDescent="0.25">
      <c r="A4464" s="72" t="s">
        <v>4543</v>
      </c>
      <c r="B4464" s="72" t="s">
        <v>73</v>
      </c>
      <c r="C4464" s="73">
        <v>19</v>
      </c>
      <c r="D4464" s="73">
        <v>515405.61743577232</v>
      </c>
      <c r="E4464" s="72">
        <v>46386.505569219509</v>
      </c>
      <c r="F4464" s="72" t="s">
        <v>70</v>
      </c>
      <c r="G4464" s="72" t="s">
        <v>71</v>
      </c>
      <c r="H4464" s="72" t="s">
        <v>72</v>
      </c>
    </row>
    <row r="4465" spans="1:8" x14ac:dyDescent="0.25">
      <c r="A4465" s="43" t="s">
        <v>3928</v>
      </c>
      <c r="B4465" s="43" t="s">
        <v>73</v>
      </c>
      <c r="C4465" s="46">
        <v>19</v>
      </c>
      <c r="D4465" s="46">
        <v>581708.60815828235</v>
      </c>
      <c r="E4465" s="43">
        <v>69805.032978993884</v>
      </c>
      <c r="F4465" s="43" t="s">
        <v>87</v>
      </c>
      <c r="G4465" s="43" t="s">
        <v>71</v>
      </c>
      <c r="H4465" s="43" t="s">
        <v>88</v>
      </c>
    </row>
    <row r="4466" spans="1:8" x14ac:dyDescent="0.25">
      <c r="A4466" s="43" t="s">
        <v>3795</v>
      </c>
      <c r="B4466" s="43" t="s">
        <v>73</v>
      </c>
      <c r="C4466" s="46">
        <v>19</v>
      </c>
      <c r="D4466" s="46">
        <v>577176.69847054663</v>
      </c>
      <c r="E4466" s="43">
        <v>75032.970801171061</v>
      </c>
      <c r="F4466" s="43" t="s">
        <v>70</v>
      </c>
      <c r="G4466" s="43" t="s">
        <v>71</v>
      </c>
      <c r="H4466" s="43" t="s">
        <v>72</v>
      </c>
    </row>
    <row r="4467" spans="1:8" x14ac:dyDescent="0.25">
      <c r="A4467" s="72" t="s">
        <v>3796</v>
      </c>
      <c r="B4467" s="72" t="s">
        <v>73</v>
      </c>
      <c r="C4467" s="73">
        <v>19</v>
      </c>
      <c r="D4467" s="73">
        <v>577176.69847054663</v>
      </c>
      <c r="E4467" s="72">
        <v>75032.970801171061</v>
      </c>
      <c r="F4467" s="72" t="s">
        <v>70</v>
      </c>
      <c r="G4467" s="72" t="s">
        <v>71</v>
      </c>
      <c r="H4467" s="72" t="s">
        <v>72</v>
      </c>
    </row>
    <row r="4468" spans="1:8" x14ac:dyDescent="0.25">
      <c r="A4468" s="72" t="s">
        <v>4345</v>
      </c>
      <c r="B4468" s="72" t="s">
        <v>97</v>
      </c>
      <c r="C4468" s="73">
        <v>19</v>
      </c>
      <c r="D4468" s="73">
        <v>533036.80783778208</v>
      </c>
      <c r="E4468" s="72">
        <v>53303.680783778211</v>
      </c>
      <c r="F4468" s="72" t="s">
        <v>70</v>
      </c>
      <c r="G4468" s="72" t="s">
        <v>71</v>
      </c>
      <c r="H4468" s="72" t="s">
        <v>72</v>
      </c>
    </row>
    <row r="4469" spans="1:8" x14ac:dyDescent="0.25">
      <c r="A4469" s="43" t="s">
        <v>4558</v>
      </c>
      <c r="B4469" s="43" t="s">
        <v>75</v>
      </c>
      <c r="C4469" s="46">
        <v>19</v>
      </c>
      <c r="D4469" s="46">
        <v>454459.14799329382</v>
      </c>
      <c r="E4469" s="43">
        <v>45445.914799329388</v>
      </c>
      <c r="F4469" s="43" t="s">
        <v>106</v>
      </c>
      <c r="G4469" s="43" t="s">
        <v>71</v>
      </c>
      <c r="H4469" s="43" t="s">
        <v>72</v>
      </c>
    </row>
    <row r="4470" spans="1:8" x14ac:dyDescent="0.25">
      <c r="A4470" s="43" t="s">
        <v>4544</v>
      </c>
      <c r="B4470" s="43" t="s">
        <v>73</v>
      </c>
      <c r="C4470" s="46">
        <v>19</v>
      </c>
      <c r="D4470" s="46">
        <v>515405.61743577232</v>
      </c>
      <c r="E4470" s="43">
        <v>46386.505569219509</v>
      </c>
      <c r="F4470" s="43" t="s">
        <v>70</v>
      </c>
      <c r="G4470" s="43" t="s">
        <v>71</v>
      </c>
      <c r="H4470" s="43" t="s">
        <v>72</v>
      </c>
    </row>
    <row r="4471" spans="1:8" x14ac:dyDescent="0.25">
      <c r="A4471" s="43" t="s">
        <v>4628</v>
      </c>
      <c r="B4471" s="43" t="s">
        <v>77</v>
      </c>
      <c r="C4471" s="46">
        <v>19</v>
      </c>
      <c r="D4471" s="46">
        <v>534057.84007249738</v>
      </c>
      <c r="E4471" s="43">
        <v>42724.627205799792</v>
      </c>
      <c r="F4471" s="43" t="s">
        <v>87</v>
      </c>
      <c r="G4471" s="43" t="s">
        <v>71</v>
      </c>
      <c r="H4471" s="43" t="s">
        <v>88</v>
      </c>
    </row>
    <row r="4472" spans="1:8" x14ac:dyDescent="0.25">
      <c r="A4472" s="43" t="s">
        <v>4438</v>
      </c>
      <c r="B4472" s="43" t="s">
        <v>75</v>
      </c>
      <c r="C4472" s="46">
        <v>19</v>
      </c>
      <c r="D4472" s="46">
        <v>459974.40380909445</v>
      </c>
      <c r="E4472" s="43">
        <v>50597.184419000398</v>
      </c>
      <c r="F4472" s="43" t="s">
        <v>106</v>
      </c>
      <c r="G4472" s="43" t="s">
        <v>71</v>
      </c>
      <c r="H4472" s="43" t="s">
        <v>72</v>
      </c>
    </row>
    <row r="4473" spans="1:8" x14ac:dyDescent="0.25">
      <c r="A4473" s="72" t="s">
        <v>4119</v>
      </c>
      <c r="B4473" s="72" t="s">
        <v>73</v>
      </c>
      <c r="C4473" s="73">
        <v>19</v>
      </c>
      <c r="D4473" s="73">
        <v>571475.41941651935</v>
      </c>
      <c r="E4473" s="72">
        <v>62862.296135817138</v>
      </c>
      <c r="F4473" s="72" t="s">
        <v>87</v>
      </c>
      <c r="G4473" s="72" t="s">
        <v>71</v>
      </c>
      <c r="H4473" s="72" t="s">
        <v>88</v>
      </c>
    </row>
    <row r="4474" spans="1:8" x14ac:dyDescent="0.25">
      <c r="A4474" s="43" t="s">
        <v>4295</v>
      </c>
      <c r="B4474" s="43" t="s">
        <v>554</v>
      </c>
      <c r="C4474" s="46">
        <v>19</v>
      </c>
      <c r="D4474" s="46">
        <v>465019.27172754699</v>
      </c>
      <c r="E4474" s="43">
        <v>55802.312607305634</v>
      </c>
      <c r="F4474" s="43" t="s">
        <v>106</v>
      </c>
      <c r="G4474" s="43" t="s">
        <v>71</v>
      </c>
      <c r="H4474" s="43" t="s">
        <v>72</v>
      </c>
    </row>
    <row r="4475" spans="1:8" x14ac:dyDescent="0.25">
      <c r="A4475" s="43" t="s">
        <v>3614</v>
      </c>
      <c r="B4475" s="43" t="s">
        <v>97</v>
      </c>
      <c r="C4475" s="46">
        <v>19</v>
      </c>
      <c r="D4475" s="46">
        <v>589867.28382474207</v>
      </c>
      <c r="E4475" s="43">
        <v>82581.419735463875</v>
      </c>
      <c r="F4475" s="43" t="s">
        <v>70</v>
      </c>
      <c r="G4475" s="43" t="s">
        <v>71</v>
      </c>
      <c r="H4475" s="43" t="s">
        <v>72</v>
      </c>
    </row>
    <row r="4476" spans="1:8" x14ac:dyDescent="0.25">
      <c r="A4476" s="72" t="s">
        <v>4559</v>
      </c>
      <c r="B4476" s="72" t="s">
        <v>73</v>
      </c>
      <c r="C4476" s="73">
        <v>19</v>
      </c>
      <c r="D4476" s="73">
        <v>454459.14799329382</v>
      </c>
      <c r="E4476" s="72">
        <v>45445.914799329388</v>
      </c>
      <c r="F4476" s="72" t="s">
        <v>106</v>
      </c>
      <c r="G4476" s="72" t="s">
        <v>71</v>
      </c>
      <c r="H4476" s="72" t="s">
        <v>72</v>
      </c>
    </row>
    <row r="4477" spans="1:8" x14ac:dyDescent="0.25">
      <c r="A4477" s="72" t="s">
        <v>4629</v>
      </c>
      <c r="B4477" s="72" t="s">
        <v>73</v>
      </c>
      <c r="C4477" s="73">
        <v>19</v>
      </c>
      <c r="D4477" s="73">
        <v>534057.84007249738</v>
      </c>
      <c r="E4477" s="72">
        <v>42724.627205799792</v>
      </c>
      <c r="F4477" s="72" t="s">
        <v>87</v>
      </c>
      <c r="G4477" s="72" t="s">
        <v>71</v>
      </c>
      <c r="H4477" s="72" t="s">
        <v>88</v>
      </c>
    </row>
    <row r="4478" spans="1:8" x14ac:dyDescent="0.25">
      <c r="A4478" s="72" t="s">
        <v>4684</v>
      </c>
      <c r="B4478" s="72" t="s">
        <v>73</v>
      </c>
      <c r="C4478" s="73">
        <v>19</v>
      </c>
      <c r="D4478" s="73">
        <v>509477.49888084148</v>
      </c>
      <c r="E4478" s="72">
        <v>40758.199910467316</v>
      </c>
      <c r="F4478" s="72" t="s">
        <v>78</v>
      </c>
      <c r="G4478" s="72" t="s">
        <v>71</v>
      </c>
      <c r="H4478" s="72" t="s">
        <v>72</v>
      </c>
    </row>
    <row r="4479" spans="1:8" x14ac:dyDescent="0.25">
      <c r="A4479" s="43" t="s">
        <v>4948</v>
      </c>
      <c r="B4479" s="43" t="s">
        <v>93</v>
      </c>
      <c r="C4479" s="46">
        <v>19</v>
      </c>
      <c r="D4479" s="46">
        <v>424507.012371708</v>
      </c>
      <c r="E4479" s="43">
        <v>25470.420742302485</v>
      </c>
      <c r="F4479" s="43" t="s">
        <v>106</v>
      </c>
      <c r="G4479" s="43" t="s">
        <v>71</v>
      </c>
      <c r="H4479" s="43" t="s">
        <v>72</v>
      </c>
    </row>
    <row r="4480" spans="1:8" x14ac:dyDescent="0.25">
      <c r="A4480" s="43" t="s">
        <v>4346</v>
      </c>
      <c r="B4480" s="43" t="s">
        <v>93</v>
      </c>
      <c r="C4480" s="46">
        <v>19</v>
      </c>
      <c r="D4480" s="46">
        <v>533036.80783778208</v>
      </c>
      <c r="E4480" s="43">
        <v>53303.680783778211</v>
      </c>
      <c r="F4480" s="43" t="s">
        <v>70</v>
      </c>
      <c r="G4480" s="43" t="s">
        <v>71</v>
      </c>
      <c r="H4480" s="43" t="s">
        <v>72</v>
      </c>
    </row>
    <row r="4481" spans="1:8" x14ac:dyDescent="0.25">
      <c r="A4481" s="43" t="s">
        <v>4630</v>
      </c>
      <c r="B4481" s="43" t="s">
        <v>93</v>
      </c>
      <c r="C4481" s="46">
        <v>19</v>
      </c>
      <c r="D4481" s="46">
        <v>534057.84007249738</v>
      </c>
      <c r="E4481" s="43">
        <v>42724.627205799792</v>
      </c>
      <c r="F4481" s="43" t="s">
        <v>87</v>
      </c>
      <c r="G4481" s="43" t="s">
        <v>71</v>
      </c>
      <c r="H4481" s="43" t="s">
        <v>88</v>
      </c>
    </row>
    <row r="4482" spans="1:8" x14ac:dyDescent="0.25">
      <c r="A4482" s="43" t="s">
        <v>4021</v>
      </c>
      <c r="B4482" s="43" t="s">
        <v>73</v>
      </c>
      <c r="C4482" s="46">
        <v>18</v>
      </c>
      <c r="D4482" s="46">
        <v>550877.49645712366</v>
      </c>
      <c r="E4482" s="43">
        <v>66105.299574854842</v>
      </c>
      <c r="F4482" s="43" t="s">
        <v>87</v>
      </c>
      <c r="G4482" s="43" t="s">
        <v>71</v>
      </c>
      <c r="H4482" s="43" t="s">
        <v>88</v>
      </c>
    </row>
    <row r="4483" spans="1:8" x14ac:dyDescent="0.25">
      <c r="A4483" s="72" t="s">
        <v>4797</v>
      </c>
      <c r="B4483" s="72" t="s">
        <v>73</v>
      </c>
      <c r="C4483" s="73">
        <v>18</v>
      </c>
      <c r="D4483" s="73">
        <v>490576.56912514957</v>
      </c>
      <c r="E4483" s="72">
        <v>34340.359838760465</v>
      </c>
      <c r="F4483" s="72" t="s">
        <v>87</v>
      </c>
      <c r="G4483" s="72" t="s">
        <v>71</v>
      </c>
      <c r="H4483" s="72" t="s">
        <v>88</v>
      </c>
    </row>
    <row r="4484" spans="1:8" x14ac:dyDescent="0.25">
      <c r="A4484" s="43" t="s">
        <v>4798</v>
      </c>
      <c r="B4484" s="43" t="s">
        <v>73</v>
      </c>
      <c r="C4484" s="46">
        <v>18</v>
      </c>
      <c r="D4484" s="46">
        <v>490576.56912514957</v>
      </c>
      <c r="E4484" s="43">
        <v>34340.359838760465</v>
      </c>
      <c r="F4484" s="43" t="s">
        <v>87</v>
      </c>
      <c r="G4484" s="43" t="s">
        <v>71</v>
      </c>
      <c r="H4484" s="43" t="s">
        <v>88</v>
      </c>
    </row>
    <row r="4485" spans="1:8" x14ac:dyDescent="0.25">
      <c r="A4485" s="43" t="s">
        <v>4359</v>
      </c>
      <c r="B4485" s="43" t="s">
        <v>108</v>
      </c>
      <c r="C4485" s="46">
        <v>18</v>
      </c>
      <c r="D4485" s="46">
        <v>530598.51963861112</v>
      </c>
      <c r="E4485" s="43">
        <v>53059.851963861118</v>
      </c>
      <c r="F4485" s="43" t="s">
        <v>87</v>
      </c>
      <c r="G4485" s="43" t="s">
        <v>71</v>
      </c>
      <c r="H4485" s="43" t="s">
        <v>88</v>
      </c>
    </row>
    <row r="4486" spans="1:8" x14ac:dyDescent="0.25">
      <c r="A4486" s="72" t="s">
        <v>3898</v>
      </c>
      <c r="B4486" s="72" t="s">
        <v>73</v>
      </c>
      <c r="C4486" s="73">
        <v>18</v>
      </c>
      <c r="D4486" s="73">
        <v>546551.68249477388</v>
      </c>
      <c r="E4486" s="72">
        <v>71051.718724320614</v>
      </c>
      <c r="F4486" s="72" t="s">
        <v>70</v>
      </c>
      <c r="G4486" s="72" t="s">
        <v>71</v>
      </c>
      <c r="H4486" s="72" t="s">
        <v>72</v>
      </c>
    </row>
    <row r="4487" spans="1:8" x14ac:dyDescent="0.25">
      <c r="A4487" s="43" t="s">
        <v>4687</v>
      </c>
      <c r="B4487" s="43" t="s">
        <v>93</v>
      </c>
      <c r="C4487" s="46">
        <v>18</v>
      </c>
      <c r="D4487" s="46">
        <v>505734.66353374848</v>
      </c>
      <c r="E4487" s="43">
        <v>40458.773082699881</v>
      </c>
      <c r="F4487" s="43" t="s">
        <v>87</v>
      </c>
      <c r="G4487" s="43" t="s">
        <v>71</v>
      </c>
      <c r="H4487" s="43" t="s">
        <v>88</v>
      </c>
    </row>
    <row r="4488" spans="1:8" x14ac:dyDescent="0.25">
      <c r="A4488" s="43" t="s">
        <v>3843</v>
      </c>
      <c r="B4488" s="43" t="s">
        <v>73</v>
      </c>
      <c r="C4488" s="46">
        <v>18</v>
      </c>
      <c r="D4488" s="46">
        <v>559844.69984460727</v>
      </c>
      <c r="E4488" s="43">
        <v>72779.810979798945</v>
      </c>
      <c r="F4488" s="43" t="s">
        <v>87</v>
      </c>
      <c r="G4488" s="43" t="s">
        <v>71</v>
      </c>
      <c r="H4488" s="43" t="s">
        <v>88</v>
      </c>
    </row>
    <row r="4489" spans="1:8" x14ac:dyDescent="0.25">
      <c r="A4489" s="72" t="s">
        <v>3844</v>
      </c>
      <c r="B4489" s="72" t="s">
        <v>103</v>
      </c>
      <c r="C4489" s="73">
        <v>18</v>
      </c>
      <c r="D4489" s="73">
        <v>559844.69984460727</v>
      </c>
      <c r="E4489" s="72">
        <v>72779.810979798945</v>
      </c>
      <c r="F4489" s="72" t="s">
        <v>87</v>
      </c>
      <c r="G4489" s="72" t="s">
        <v>71</v>
      </c>
      <c r="H4489" s="72" t="s">
        <v>88</v>
      </c>
    </row>
    <row r="4490" spans="1:8" x14ac:dyDescent="0.25">
      <c r="A4490" s="72" t="s">
        <v>4439</v>
      </c>
      <c r="B4490" s="72" t="s">
        <v>2201</v>
      </c>
      <c r="C4490" s="73">
        <v>18</v>
      </c>
      <c r="D4490" s="73">
        <v>504734.94400057575</v>
      </c>
      <c r="E4490" s="72">
        <v>50473.494400057578</v>
      </c>
      <c r="F4490" s="72" t="s">
        <v>70</v>
      </c>
      <c r="G4490" s="72" t="s">
        <v>71</v>
      </c>
      <c r="H4490" s="72" t="s">
        <v>72</v>
      </c>
    </row>
    <row r="4491" spans="1:8" x14ac:dyDescent="0.25">
      <c r="A4491" s="72" t="s">
        <v>4688</v>
      </c>
      <c r="B4491" s="72" t="s">
        <v>73</v>
      </c>
      <c r="C4491" s="73">
        <v>18</v>
      </c>
      <c r="D4491" s="73">
        <v>505734.66353374848</v>
      </c>
      <c r="E4491" s="72">
        <v>40458.773082699881</v>
      </c>
      <c r="F4491" s="72" t="s">
        <v>87</v>
      </c>
      <c r="G4491" s="72" t="s">
        <v>71</v>
      </c>
      <c r="H4491" s="72" t="s">
        <v>88</v>
      </c>
    </row>
    <row r="4492" spans="1:8" x14ac:dyDescent="0.25">
      <c r="A4492" s="72" t="s">
        <v>4022</v>
      </c>
      <c r="B4492" s="72" t="s">
        <v>93</v>
      </c>
      <c r="C4492" s="73">
        <v>18</v>
      </c>
      <c r="D4492" s="73">
        <v>550877.49645712366</v>
      </c>
      <c r="E4492" s="72">
        <v>66105.299574854842</v>
      </c>
      <c r="F4492" s="72" t="s">
        <v>87</v>
      </c>
      <c r="G4492" s="72" t="s">
        <v>71</v>
      </c>
      <c r="H4492" s="72" t="s">
        <v>88</v>
      </c>
    </row>
    <row r="4493" spans="1:8" x14ac:dyDescent="0.25">
      <c r="A4493" s="72" t="s">
        <v>4360</v>
      </c>
      <c r="B4493" s="72" t="s">
        <v>73</v>
      </c>
      <c r="C4493" s="73">
        <v>18</v>
      </c>
      <c r="D4493" s="73">
        <v>530598.51963861112</v>
      </c>
      <c r="E4493" s="72">
        <v>53059.851963861118</v>
      </c>
      <c r="F4493" s="72" t="s">
        <v>87</v>
      </c>
      <c r="G4493" s="72" t="s">
        <v>71</v>
      </c>
      <c r="H4493" s="72" t="s">
        <v>88</v>
      </c>
    </row>
    <row r="4494" spans="1:8" x14ac:dyDescent="0.25">
      <c r="A4494" s="72" t="s">
        <v>4183</v>
      </c>
      <c r="B4494" s="72" t="s">
        <v>73</v>
      </c>
      <c r="C4494" s="73">
        <v>18</v>
      </c>
      <c r="D4494" s="73">
        <v>541182.89659650601</v>
      </c>
      <c r="E4494" s="72">
        <v>59530.118625615665</v>
      </c>
      <c r="F4494" s="72" t="s">
        <v>87</v>
      </c>
      <c r="G4494" s="72" t="s">
        <v>71</v>
      </c>
      <c r="H4494" s="72" t="s">
        <v>88</v>
      </c>
    </row>
    <row r="4495" spans="1:8" x14ac:dyDescent="0.25">
      <c r="A4495" s="43" t="s">
        <v>4076</v>
      </c>
      <c r="B4495" s="43" t="s">
        <v>73</v>
      </c>
      <c r="C4495" s="46">
        <v>18</v>
      </c>
      <c r="D4495" s="46">
        <v>533697.88548005279</v>
      </c>
      <c r="E4495" s="43">
        <v>64043.746257606348</v>
      </c>
      <c r="F4495" s="43" t="s">
        <v>70</v>
      </c>
      <c r="G4495" s="43" t="s">
        <v>71</v>
      </c>
      <c r="H4495" s="43" t="s">
        <v>72</v>
      </c>
    </row>
    <row r="4496" spans="1:8" x14ac:dyDescent="0.25">
      <c r="A4496" s="43" t="s">
        <v>4440</v>
      </c>
      <c r="B4496" s="43" t="s">
        <v>97</v>
      </c>
      <c r="C4496" s="46">
        <v>18</v>
      </c>
      <c r="D4496" s="46">
        <v>504734.94400057575</v>
      </c>
      <c r="E4496" s="43">
        <v>50473.494400057578</v>
      </c>
      <c r="F4496" s="43" t="s">
        <v>70</v>
      </c>
      <c r="G4496" s="43" t="s">
        <v>71</v>
      </c>
      <c r="H4496" s="43" t="s">
        <v>72</v>
      </c>
    </row>
    <row r="4497" spans="1:8" x14ac:dyDescent="0.25">
      <c r="A4497" s="72" t="s">
        <v>4441</v>
      </c>
      <c r="B4497" s="72" t="s">
        <v>73</v>
      </c>
      <c r="C4497" s="73">
        <v>18</v>
      </c>
      <c r="D4497" s="73">
        <v>504734.94400057575</v>
      </c>
      <c r="E4497" s="72">
        <v>50473.494400057578</v>
      </c>
      <c r="F4497" s="72" t="s">
        <v>70</v>
      </c>
      <c r="G4497" s="72" t="s">
        <v>71</v>
      </c>
      <c r="H4497" s="72" t="s">
        <v>72</v>
      </c>
    </row>
    <row r="4498" spans="1:8" x14ac:dyDescent="0.25">
      <c r="A4498" s="43" t="s">
        <v>3835</v>
      </c>
      <c r="B4498" s="43" t="s">
        <v>73</v>
      </c>
      <c r="C4498" s="46">
        <v>18</v>
      </c>
      <c r="D4498" s="46">
        <v>561757.40159599832</v>
      </c>
      <c r="E4498" s="43">
        <v>73028.462207479781</v>
      </c>
      <c r="F4498" s="43" t="s">
        <v>78</v>
      </c>
      <c r="G4498" s="43" t="s">
        <v>71</v>
      </c>
      <c r="H4498" s="43" t="s">
        <v>72</v>
      </c>
    </row>
    <row r="4499" spans="1:8" x14ac:dyDescent="0.25">
      <c r="A4499" s="43" t="s">
        <v>4184</v>
      </c>
      <c r="B4499" s="43" t="s">
        <v>73</v>
      </c>
      <c r="C4499" s="46">
        <v>18</v>
      </c>
      <c r="D4499" s="46">
        <v>541182.89659650601</v>
      </c>
      <c r="E4499" s="43">
        <v>59530.118625615665</v>
      </c>
      <c r="F4499" s="43" t="s">
        <v>87</v>
      </c>
      <c r="G4499" s="43" t="s">
        <v>71</v>
      </c>
      <c r="H4499" s="43" t="s">
        <v>88</v>
      </c>
    </row>
    <row r="4500" spans="1:8" x14ac:dyDescent="0.25">
      <c r="A4500" s="43" t="s">
        <v>4371</v>
      </c>
      <c r="B4500" s="43" t="s">
        <v>73</v>
      </c>
      <c r="C4500" s="46">
        <v>18</v>
      </c>
      <c r="D4500" s="46">
        <v>440302.84313760116</v>
      </c>
      <c r="E4500" s="43">
        <v>52836.341176512135</v>
      </c>
      <c r="F4500" s="43" t="s">
        <v>106</v>
      </c>
      <c r="G4500" s="43" t="s">
        <v>71</v>
      </c>
      <c r="H4500" s="43" t="s">
        <v>72</v>
      </c>
    </row>
    <row r="4501" spans="1:8" x14ac:dyDescent="0.25">
      <c r="A4501" s="43" t="s">
        <v>4361</v>
      </c>
      <c r="B4501" s="43" t="s">
        <v>93</v>
      </c>
      <c r="C4501" s="46">
        <v>18</v>
      </c>
      <c r="D4501" s="46">
        <v>530598.51963861112</v>
      </c>
      <c r="E4501" s="43">
        <v>53059.851963861118</v>
      </c>
      <c r="F4501" s="43" t="s">
        <v>87</v>
      </c>
      <c r="G4501" s="43" t="s">
        <v>71</v>
      </c>
      <c r="H4501" s="43" t="s">
        <v>88</v>
      </c>
    </row>
    <row r="4502" spans="1:8" x14ac:dyDescent="0.25">
      <c r="A4502" s="43" t="s">
        <v>4442</v>
      </c>
      <c r="B4502" s="43" t="s">
        <v>73</v>
      </c>
      <c r="C4502" s="46">
        <v>18</v>
      </c>
      <c r="D4502" s="46">
        <v>504734.94400057575</v>
      </c>
      <c r="E4502" s="43">
        <v>50473.494400057578</v>
      </c>
      <c r="F4502" s="43" t="s">
        <v>70</v>
      </c>
      <c r="G4502" s="43" t="s">
        <v>71</v>
      </c>
      <c r="H4502" s="43" t="s">
        <v>72</v>
      </c>
    </row>
    <row r="4503" spans="1:8" x14ac:dyDescent="0.25">
      <c r="A4503" s="72" t="s">
        <v>4531</v>
      </c>
      <c r="B4503" s="72" t="s">
        <v>93</v>
      </c>
      <c r="C4503" s="73">
        <v>18</v>
      </c>
      <c r="D4503" s="73">
        <v>518895.54633260798</v>
      </c>
      <c r="E4503" s="72">
        <v>46700.599169934714</v>
      </c>
      <c r="F4503" s="72" t="s">
        <v>87</v>
      </c>
      <c r="G4503" s="72" t="s">
        <v>71</v>
      </c>
      <c r="H4503" s="72" t="s">
        <v>88</v>
      </c>
    </row>
    <row r="4504" spans="1:8" x14ac:dyDescent="0.25">
      <c r="A4504" s="72" t="s">
        <v>4901</v>
      </c>
      <c r="B4504" s="72" t="s">
        <v>73</v>
      </c>
      <c r="C4504" s="73">
        <v>18</v>
      </c>
      <c r="D4504" s="73">
        <v>472473.61546486773</v>
      </c>
      <c r="E4504" s="72">
        <v>28348.416927892064</v>
      </c>
      <c r="F4504" s="72" t="s">
        <v>87</v>
      </c>
      <c r="G4504" s="72" t="s">
        <v>71</v>
      </c>
      <c r="H4504" s="72" t="s">
        <v>88</v>
      </c>
    </row>
    <row r="4505" spans="1:8" x14ac:dyDescent="0.25">
      <c r="A4505" s="43" t="s">
        <v>4025</v>
      </c>
      <c r="B4505" s="43" t="s">
        <v>73</v>
      </c>
      <c r="C4505" s="46">
        <v>18</v>
      </c>
      <c r="D4505" s="46">
        <v>548570.10268731625</v>
      </c>
      <c r="E4505" s="43">
        <v>65828.412322477961</v>
      </c>
      <c r="F4505" s="43" t="s">
        <v>78</v>
      </c>
      <c r="G4505" s="43" t="s">
        <v>71</v>
      </c>
      <c r="H4505" s="43" t="s">
        <v>72</v>
      </c>
    </row>
    <row r="4506" spans="1:8" x14ac:dyDescent="0.25">
      <c r="A4506" s="43" t="s">
        <v>4894</v>
      </c>
      <c r="B4506" s="43" t="s">
        <v>93</v>
      </c>
      <c r="C4506" s="46">
        <v>18</v>
      </c>
      <c r="D4506" s="46">
        <v>410632.0811150145</v>
      </c>
      <c r="E4506" s="43">
        <v>28744.245678051011</v>
      </c>
      <c r="F4506" s="43" t="s">
        <v>106</v>
      </c>
      <c r="G4506" s="43" t="s">
        <v>71</v>
      </c>
      <c r="H4506" s="43" t="s">
        <v>72</v>
      </c>
    </row>
    <row r="4507" spans="1:8" x14ac:dyDescent="0.25">
      <c r="A4507" s="43" t="s">
        <v>4902</v>
      </c>
      <c r="B4507" s="43" t="s">
        <v>73</v>
      </c>
      <c r="C4507" s="46">
        <v>18</v>
      </c>
      <c r="D4507" s="46">
        <v>472473.61546486773</v>
      </c>
      <c r="E4507" s="43">
        <v>28348.416927892064</v>
      </c>
      <c r="F4507" s="43" t="s">
        <v>87</v>
      </c>
      <c r="G4507" s="43" t="s">
        <v>71</v>
      </c>
      <c r="H4507" s="43" t="s">
        <v>88</v>
      </c>
    </row>
    <row r="4508" spans="1:8" x14ac:dyDescent="0.25">
      <c r="A4508" s="43" t="s">
        <v>3719</v>
      </c>
      <c r="B4508" s="43" t="s">
        <v>81</v>
      </c>
      <c r="C4508" s="46">
        <v>18</v>
      </c>
      <c r="D4508" s="46">
        <v>558574.34230401157</v>
      </c>
      <c r="E4508" s="43">
        <v>78200.407922561615</v>
      </c>
      <c r="F4508" s="43" t="s">
        <v>70</v>
      </c>
      <c r="G4508" s="43" t="s">
        <v>71</v>
      </c>
      <c r="H4508" s="43" t="s">
        <v>72</v>
      </c>
    </row>
    <row r="4509" spans="1:8" x14ac:dyDescent="0.25">
      <c r="A4509" s="72" t="s">
        <v>4185</v>
      </c>
      <c r="B4509" s="72" t="s">
        <v>73</v>
      </c>
      <c r="C4509" s="73">
        <v>18</v>
      </c>
      <c r="D4509" s="73">
        <v>541182.89659650601</v>
      </c>
      <c r="E4509" s="72">
        <v>59530.118625615665</v>
      </c>
      <c r="F4509" s="72" t="s">
        <v>87</v>
      </c>
      <c r="G4509" s="72" t="s">
        <v>71</v>
      </c>
      <c r="H4509" s="72" t="s">
        <v>88</v>
      </c>
    </row>
    <row r="4510" spans="1:8" x14ac:dyDescent="0.25">
      <c r="A4510" s="43" t="s">
        <v>3899</v>
      </c>
      <c r="B4510" s="43" t="s">
        <v>97</v>
      </c>
      <c r="C4510" s="46">
        <v>18</v>
      </c>
      <c r="D4510" s="46">
        <v>546551.68249477388</v>
      </c>
      <c r="E4510" s="43">
        <v>71051.718724320614</v>
      </c>
      <c r="F4510" s="43" t="s">
        <v>70</v>
      </c>
      <c r="G4510" s="43" t="s">
        <v>71</v>
      </c>
      <c r="H4510" s="43" t="s">
        <v>72</v>
      </c>
    </row>
    <row r="4511" spans="1:8" x14ac:dyDescent="0.25">
      <c r="A4511" s="72" t="s">
        <v>4955</v>
      </c>
      <c r="B4511" s="72" t="s">
        <v>93</v>
      </c>
      <c r="C4511" s="73">
        <v>18</v>
      </c>
      <c r="D4511" s="73">
        <v>401922.80795838503</v>
      </c>
      <c r="E4511" s="72">
        <v>24115.368477503107</v>
      </c>
      <c r="F4511" s="72" t="s">
        <v>106</v>
      </c>
      <c r="G4511" s="72" t="s">
        <v>71</v>
      </c>
      <c r="H4511" s="72" t="s">
        <v>72</v>
      </c>
    </row>
    <row r="4512" spans="1:8" x14ac:dyDescent="0.25">
      <c r="A4512" s="43" t="s">
        <v>3845</v>
      </c>
      <c r="B4512" s="43" t="s">
        <v>73</v>
      </c>
      <c r="C4512" s="46">
        <v>18</v>
      </c>
      <c r="D4512" s="46">
        <v>559844.69984460727</v>
      </c>
      <c r="E4512" s="43">
        <v>72779.810979798945</v>
      </c>
      <c r="F4512" s="43" t="s">
        <v>87</v>
      </c>
      <c r="G4512" s="43" t="s">
        <v>71</v>
      </c>
      <c r="H4512" s="43" t="s">
        <v>88</v>
      </c>
    </row>
    <row r="4513" spans="1:8" x14ac:dyDescent="0.25">
      <c r="A4513" s="72" t="s">
        <v>3846</v>
      </c>
      <c r="B4513" s="72" t="s">
        <v>73</v>
      </c>
      <c r="C4513" s="73">
        <v>18</v>
      </c>
      <c r="D4513" s="73">
        <v>559844.69984460727</v>
      </c>
      <c r="E4513" s="72">
        <v>72779.810979798945</v>
      </c>
      <c r="F4513" s="72" t="s">
        <v>87</v>
      </c>
      <c r="G4513" s="72" t="s">
        <v>71</v>
      </c>
      <c r="H4513" s="72" t="s">
        <v>88</v>
      </c>
    </row>
    <row r="4514" spans="1:8" x14ac:dyDescent="0.25">
      <c r="A4514" s="43" t="s">
        <v>4023</v>
      </c>
      <c r="B4514" s="43" t="s">
        <v>73</v>
      </c>
      <c r="C4514" s="46">
        <v>18</v>
      </c>
      <c r="D4514" s="46">
        <v>550877.49645712366</v>
      </c>
      <c r="E4514" s="43">
        <v>66105.299574854842</v>
      </c>
      <c r="F4514" s="43" t="s">
        <v>87</v>
      </c>
      <c r="G4514" s="43" t="s">
        <v>71</v>
      </c>
      <c r="H4514" s="43" t="s">
        <v>88</v>
      </c>
    </row>
    <row r="4515" spans="1:8" x14ac:dyDescent="0.25">
      <c r="A4515" s="72" t="s">
        <v>4024</v>
      </c>
      <c r="B4515" s="72" t="s">
        <v>73</v>
      </c>
      <c r="C4515" s="73">
        <v>18</v>
      </c>
      <c r="D4515" s="73">
        <v>550877.49645712366</v>
      </c>
      <c r="E4515" s="72">
        <v>66105.299574854842</v>
      </c>
      <c r="F4515" s="72" t="s">
        <v>87</v>
      </c>
      <c r="G4515" s="72" t="s">
        <v>71</v>
      </c>
      <c r="H4515" s="72" t="s">
        <v>88</v>
      </c>
    </row>
    <row r="4516" spans="1:8" x14ac:dyDescent="0.25">
      <c r="A4516" s="43" t="s">
        <v>4570</v>
      </c>
      <c r="B4516" s="43" t="s">
        <v>92</v>
      </c>
      <c r="C4516" s="46">
        <v>18</v>
      </c>
      <c r="D4516" s="46">
        <v>501719.08330750867</v>
      </c>
      <c r="E4516" s="43">
        <v>45154.717497675781</v>
      </c>
      <c r="F4516" s="43" t="s">
        <v>78</v>
      </c>
      <c r="G4516" s="43" t="s">
        <v>71</v>
      </c>
      <c r="H4516" s="43" t="s">
        <v>72</v>
      </c>
    </row>
    <row r="4517" spans="1:8" x14ac:dyDescent="0.25">
      <c r="A4517" s="72" t="s">
        <v>4799</v>
      </c>
      <c r="B4517" s="72" t="s">
        <v>73</v>
      </c>
      <c r="C4517" s="73">
        <v>18</v>
      </c>
      <c r="D4517" s="73">
        <v>490576.56912514957</v>
      </c>
      <c r="E4517" s="72">
        <v>34340.359838760465</v>
      </c>
      <c r="F4517" s="72" t="s">
        <v>87</v>
      </c>
      <c r="G4517" s="72" t="s">
        <v>71</v>
      </c>
      <c r="H4517" s="72" t="s">
        <v>88</v>
      </c>
    </row>
    <row r="4518" spans="1:8" x14ac:dyDescent="0.25">
      <c r="A4518" s="43" t="s">
        <v>3847</v>
      </c>
      <c r="B4518" s="43" t="s">
        <v>93</v>
      </c>
      <c r="C4518" s="46">
        <v>18</v>
      </c>
      <c r="D4518" s="46">
        <v>559844.69984460727</v>
      </c>
      <c r="E4518" s="43">
        <v>72779.810979798945</v>
      </c>
      <c r="F4518" s="43" t="s">
        <v>87</v>
      </c>
      <c r="G4518" s="43" t="s">
        <v>71</v>
      </c>
      <c r="H4518" s="43" t="s">
        <v>88</v>
      </c>
    </row>
    <row r="4519" spans="1:8" x14ac:dyDescent="0.25">
      <c r="A4519" s="43" t="s">
        <v>4532</v>
      </c>
      <c r="B4519" s="43" t="s">
        <v>102</v>
      </c>
      <c r="C4519" s="46">
        <v>18</v>
      </c>
      <c r="D4519" s="46">
        <v>518895.54633260798</v>
      </c>
      <c r="E4519" s="43">
        <v>46700.599169934714</v>
      </c>
      <c r="F4519" s="43" t="s">
        <v>87</v>
      </c>
      <c r="G4519" s="43" t="s">
        <v>71</v>
      </c>
      <c r="H4519" s="43" t="s">
        <v>88</v>
      </c>
    </row>
    <row r="4520" spans="1:8" x14ac:dyDescent="0.25">
      <c r="A4520" s="72" t="s">
        <v>3848</v>
      </c>
      <c r="B4520" s="72" t="s">
        <v>93</v>
      </c>
      <c r="C4520" s="73">
        <v>18</v>
      </c>
      <c r="D4520" s="73">
        <v>559844.69984460727</v>
      </c>
      <c r="E4520" s="72">
        <v>72779.810979798945</v>
      </c>
      <c r="F4520" s="72" t="s">
        <v>87</v>
      </c>
      <c r="G4520" s="72" t="s">
        <v>71</v>
      </c>
      <c r="H4520" s="72" t="s">
        <v>88</v>
      </c>
    </row>
    <row r="4521" spans="1:8" x14ac:dyDescent="0.25">
      <c r="A4521" s="72" t="s">
        <v>3720</v>
      </c>
      <c r="B4521" s="72" t="s">
        <v>211</v>
      </c>
      <c r="C4521" s="73">
        <v>18</v>
      </c>
      <c r="D4521" s="73">
        <v>558574.34230401157</v>
      </c>
      <c r="E4521" s="72">
        <v>78200.407922561615</v>
      </c>
      <c r="F4521" s="72" t="s">
        <v>70</v>
      </c>
      <c r="G4521" s="72" t="s">
        <v>71</v>
      </c>
      <c r="H4521" s="72" t="s">
        <v>72</v>
      </c>
    </row>
    <row r="4522" spans="1:8" x14ac:dyDescent="0.25">
      <c r="A4522" s="43" t="s">
        <v>4689</v>
      </c>
      <c r="B4522" s="43" t="s">
        <v>234</v>
      </c>
      <c r="C4522" s="46">
        <v>18</v>
      </c>
      <c r="D4522" s="46">
        <v>505734.66353374848</v>
      </c>
      <c r="E4522" s="43">
        <v>40458.773082699881</v>
      </c>
      <c r="F4522" s="43" t="s">
        <v>87</v>
      </c>
      <c r="G4522" s="43" t="s">
        <v>71</v>
      </c>
      <c r="H4522" s="43" t="s">
        <v>88</v>
      </c>
    </row>
    <row r="4523" spans="1:8" x14ac:dyDescent="0.25">
      <c r="A4523" s="72" t="s">
        <v>4690</v>
      </c>
      <c r="B4523" s="72" t="s">
        <v>73</v>
      </c>
      <c r="C4523" s="73">
        <v>18</v>
      </c>
      <c r="D4523" s="73">
        <v>505734.66353374848</v>
      </c>
      <c r="E4523" s="72">
        <v>40458.773082699881</v>
      </c>
      <c r="F4523" s="72" t="s">
        <v>87</v>
      </c>
      <c r="G4523" s="72" t="s">
        <v>71</v>
      </c>
      <c r="H4523" s="72" t="s">
        <v>88</v>
      </c>
    </row>
    <row r="4524" spans="1:8" x14ac:dyDescent="0.25">
      <c r="A4524" s="43" t="s">
        <v>3995</v>
      </c>
      <c r="B4524" s="43" t="s">
        <v>73</v>
      </c>
      <c r="C4524" s="46">
        <v>17</v>
      </c>
      <c r="D4524" s="46">
        <v>515954.35966190905</v>
      </c>
      <c r="E4524" s="43">
        <v>67074.066756048182</v>
      </c>
      <c r="F4524" s="43" t="s">
        <v>70</v>
      </c>
      <c r="G4524" s="43" t="s">
        <v>71</v>
      </c>
      <c r="H4524" s="43" t="s">
        <v>72</v>
      </c>
    </row>
    <row r="4525" spans="1:8" x14ac:dyDescent="0.25">
      <c r="A4525" s="43" t="s">
        <v>4740</v>
      </c>
      <c r="B4525" s="43" t="s">
        <v>73</v>
      </c>
      <c r="C4525" s="46">
        <v>17</v>
      </c>
      <c r="D4525" s="46">
        <v>477435.52174153092</v>
      </c>
      <c r="E4525" s="43">
        <v>38194.841739322474</v>
      </c>
      <c r="F4525" s="43" t="s">
        <v>87</v>
      </c>
      <c r="G4525" s="43" t="s">
        <v>71</v>
      </c>
      <c r="H4525" s="43" t="s">
        <v>88</v>
      </c>
    </row>
    <row r="4526" spans="1:8" x14ac:dyDescent="0.25">
      <c r="A4526" s="72" t="s">
        <v>4132</v>
      </c>
      <c r="B4526" s="72" t="s">
        <v>73</v>
      </c>
      <c r="C4526" s="73">
        <v>17</v>
      </c>
      <c r="D4526" s="73">
        <v>520070.41950249643</v>
      </c>
      <c r="E4526" s="72">
        <v>62408.450340299569</v>
      </c>
      <c r="F4526" s="72" t="s">
        <v>87</v>
      </c>
      <c r="G4526" s="72" t="s">
        <v>71</v>
      </c>
      <c r="H4526" s="72" t="s">
        <v>88</v>
      </c>
    </row>
    <row r="4527" spans="1:8" x14ac:dyDescent="0.25">
      <c r="A4527" s="72" t="s">
        <v>4504</v>
      </c>
      <c r="B4527" s="72" t="s">
        <v>73</v>
      </c>
      <c r="C4527" s="73">
        <v>17</v>
      </c>
      <c r="D4527" s="73">
        <v>476460.77330627746</v>
      </c>
      <c r="E4527" s="72">
        <v>47646.077330627748</v>
      </c>
      <c r="F4527" s="72" t="s">
        <v>70</v>
      </c>
      <c r="G4527" s="72" t="s">
        <v>71</v>
      </c>
      <c r="H4527" s="72" t="s">
        <v>72</v>
      </c>
    </row>
    <row r="4528" spans="1:8" x14ac:dyDescent="0.25">
      <c r="A4528" s="72" t="s">
        <v>3996</v>
      </c>
      <c r="B4528" s="72" t="s">
        <v>97</v>
      </c>
      <c r="C4528" s="73">
        <v>17</v>
      </c>
      <c r="D4528" s="73">
        <v>515954.35966190905</v>
      </c>
      <c r="E4528" s="72">
        <v>67074.066756048182</v>
      </c>
      <c r="F4528" s="72" t="s">
        <v>70</v>
      </c>
      <c r="G4528" s="72" t="s">
        <v>71</v>
      </c>
      <c r="H4528" s="72" t="s">
        <v>72</v>
      </c>
    </row>
    <row r="4529" spans="1:8" x14ac:dyDescent="0.25">
      <c r="A4529" s="72" t="s">
        <v>4565</v>
      </c>
      <c r="B4529" s="72" t="s">
        <v>75</v>
      </c>
      <c r="C4529" s="73">
        <v>17</v>
      </c>
      <c r="D4529" s="73">
        <v>411099.7053880372</v>
      </c>
      <c r="E4529" s="72">
        <v>45220.967592684101</v>
      </c>
      <c r="F4529" s="72" t="s">
        <v>106</v>
      </c>
      <c r="G4529" s="72" t="s">
        <v>71</v>
      </c>
      <c r="H4529" s="72" t="s">
        <v>72</v>
      </c>
    </row>
    <row r="4530" spans="1:8" x14ac:dyDescent="0.25">
      <c r="A4530" s="43" t="s">
        <v>4926</v>
      </c>
      <c r="B4530" s="43" t="s">
        <v>93</v>
      </c>
      <c r="C4530" s="46">
        <v>17</v>
      </c>
      <c r="D4530" s="46">
        <v>446022.30967647693</v>
      </c>
      <c r="E4530" s="43">
        <v>26761.338580588614</v>
      </c>
      <c r="F4530" s="43" t="s">
        <v>87</v>
      </c>
      <c r="G4530" s="43" t="s">
        <v>71</v>
      </c>
      <c r="H4530" s="43" t="s">
        <v>88</v>
      </c>
    </row>
    <row r="4531" spans="1:8" x14ac:dyDescent="0.25">
      <c r="A4531" s="72" t="s">
        <v>4176</v>
      </c>
      <c r="B4531" s="72" t="s">
        <v>73</v>
      </c>
      <c r="C4531" s="73">
        <v>17</v>
      </c>
      <c r="D4531" s="73">
        <v>503814.66248133901</v>
      </c>
      <c r="E4531" s="72">
        <v>60457.759497760693</v>
      </c>
      <c r="F4531" s="72" t="s">
        <v>70</v>
      </c>
      <c r="G4531" s="72" t="s">
        <v>71</v>
      </c>
      <c r="H4531" s="72" t="s">
        <v>72</v>
      </c>
    </row>
    <row r="4532" spans="1:8" x14ac:dyDescent="0.25">
      <c r="A4532" s="43" t="s">
        <v>4177</v>
      </c>
      <c r="B4532" s="43" t="s">
        <v>97</v>
      </c>
      <c r="C4532" s="46">
        <v>17</v>
      </c>
      <c r="D4532" s="46">
        <v>503814.66248133901</v>
      </c>
      <c r="E4532" s="43">
        <v>60457.759497760693</v>
      </c>
      <c r="F4532" s="43" t="s">
        <v>70</v>
      </c>
      <c r="G4532" s="43" t="s">
        <v>71</v>
      </c>
      <c r="H4532" s="43" t="s">
        <v>72</v>
      </c>
    </row>
    <row r="4533" spans="1:8" x14ac:dyDescent="0.25">
      <c r="A4533" s="43" t="s">
        <v>4685</v>
      </c>
      <c r="B4533" s="43" t="s">
        <v>73</v>
      </c>
      <c r="C4533" s="46">
        <v>17</v>
      </c>
      <c r="D4533" s="46">
        <v>406165.00281600509</v>
      </c>
      <c r="E4533" s="43">
        <v>40616.500281600514</v>
      </c>
      <c r="F4533" s="43" t="s">
        <v>106</v>
      </c>
      <c r="G4533" s="43" t="s">
        <v>71</v>
      </c>
      <c r="H4533" s="43" t="s">
        <v>72</v>
      </c>
    </row>
    <row r="4534" spans="1:8" x14ac:dyDescent="0.25">
      <c r="A4534" s="43" t="s">
        <v>3809</v>
      </c>
      <c r="B4534" s="43" t="s">
        <v>73</v>
      </c>
      <c r="C4534" s="46">
        <v>17</v>
      </c>
      <c r="D4534" s="46">
        <v>527309.09392618912</v>
      </c>
      <c r="E4534" s="43">
        <v>73823.273149666464</v>
      </c>
      <c r="F4534" s="43" t="s">
        <v>70</v>
      </c>
      <c r="G4534" s="43" t="s">
        <v>71</v>
      </c>
      <c r="H4534" s="43" t="s">
        <v>72</v>
      </c>
    </row>
    <row r="4535" spans="1:8" x14ac:dyDescent="0.25">
      <c r="A4535" s="72" t="s">
        <v>4850</v>
      </c>
      <c r="B4535" s="72" t="s">
        <v>93</v>
      </c>
      <c r="C4535" s="73">
        <v>17</v>
      </c>
      <c r="D4535" s="73">
        <v>394589.71569243522</v>
      </c>
      <c r="E4535" s="72">
        <v>31567.177255394818</v>
      </c>
      <c r="F4535" s="72" t="s">
        <v>106</v>
      </c>
      <c r="G4535" s="72" t="s">
        <v>71</v>
      </c>
      <c r="H4535" s="72" t="s">
        <v>72</v>
      </c>
    </row>
    <row r="4536" spans="1:8" x14ac:dyDescent="0.25">
      <c r="A4536" s="43" t="s">
        <v>3951</v>
      </c>
      <c r="B4536" s="43" t="s">
        <v>73</v>
      </c>
      <c r="C4536" s="46">
        <v>17</v>
      </c>
      <c r="D4536" s="46">
        <v>528539.44492400868</v>
      </c>
      <c r="E4536" s="43">
        <v>68710.127840121131</v>
      </c>
      <c r="F4536" s="43" t="s">
        <v>87</v>
      </c>
      <c r="G4536" s="43" t="s">
        <v>71</v>
      </c>
      <c r="H4536" s="43" t="s">
        <v>88</v>
      </c>
    </row>
    <row r="4537" spans="1:8" x14ac:dyDescent="0.25">
      <c r="A4537" s="43" t="s">
        <v>4851</v>
      </c>
      <c r="B4537" s="43" t="s">
        <v>73</v>
      </c>
      <c r="C4537" s="46">
        <v>17</v>
      </c>
      <c r="D4537" s="46">
        <v>394589.71569243522</v>
      </c>
      <c r="E4537" s="43">
        <v>31567.177255394818</v>
      </c>
      <c r="F4537" s="43" t="s">
        <v>106</v>
      </c>
      <c r="G4537" s="43" t="s">
        <v>71</v>
      </c>
      <c r="H4537" s="43" t="s">
        <v>72</v>
      </c>
    </row>
    <row r="4538" spans="1:8" x14ac:dyDescent="0.25">
      <c r="A4538" s="72" t="s">
        <v>4741</v>
      </c>
      <c r="B4538" s="72" t="s">
        <v>73</v>
      </c>
      <c r="C4538" s="73">
        <v>17</v>
      </c>
      <c r="D4538" s="73">
        <v>477435.52174153092</v>
      </c>
      <c r="E4538" s="72">
        <v>38194.841739322474</v>
      </c>
      <c r="F4538" s="72" t="s">
        <v>87</v>
      </c>
      <c r="G4538" s="72" t="s">
        <v>71</v>
      </c>
      <c r="H4538" s="72" t="s">
        <v>88</v>
      </c>
    </row>
    <row r="4539" spans="1:8" x14ac:dyDescent="0.25">
      <c r="A4539" s="72" t="s">
        <v>4927</v>
      </c>
      <c r="B4539" s="72" t="s">
        <v>73</v>
      </c>
      <c r="C4539" s="73">
        <v>17</v>
      </c>
      <c r="D4539" s="73">
        <v>446022.30967647693</v>
      </c>
      <c r="E4539" s="72">
        <v>26761.338580588614</v>
      </c>
      <c r="F4539" s="72" t="s">
        <v>87</v>
      </c>
      <c r="G4539" s="72" t="s">
        <v>71</v>
      </c>
      <c r="H4539" s="72" t="s">
        <v>88</v>
      </c>
    </row>
    <row r="4540" spans="1:8" x14ac:dyDescent="0.25">
      <c r="A4540" s="43" t="s">
        <v>4928</v>
      </c>
      <c r="B4540" s="43" t="s">
        <v>73</v>
      </c>
      <c r="C4540" s="46">
        <v>17</v>
      </c>
      <c r="D4540" s="46">
        <v>446022.30967647693</v>
      </c>
      <c r="E4540" s="43">
        <v>26761.338580588614</v>
      </c>
      <c r="F4540" s="43" t="s">
        <v>87</v>
      </c>
      <c r="G4540" s="43" t="s">
        <v>71</v>
      </c>
      <c r="H4540" s="43" t="s">
        <v>88</v>
      </c>
    </row>
    <row r="4541" spans="1:8" x14ac:dyDescent="0.25">
      <c r="A4541" s="72" t="s">
        <v>4914</v>
      </c>
      <c r="B4541" s="72" t="s">
        <v>93</v>
      </c>
      <c r="C4541" s="73">
        <v>17</v>
      </c>
      <c r="D4541" s="73">
        <v>387591.14822356647</v>
      </c>
      <c r="E4541" s="72">
        <v>27131.380375649649</v>
      </c>
      <c r="F4541" s="72" t="s">
        <v>106</v>
      </c>
      <c r="G4541" s="72" t="s">
        <v>71</v>
      </c>
      <c r="H4541" s="72" t="s">
        <v>72</v>
      </c>
    </row>
    <row r="4542" spans="1:8" x14ac:dyDescent="0.25">
      <c r="A4542" s="72" t="s">
        <v>3810</v>
      </c>
      <c r="B4542" s="72" t="s">
        <v>3811</v>
      </c>
      <c r="C4542" s="73">
        <v>17</v>
      </c>
      <c r="D4542" s="73">
        <v>527309.09392618912</v>
      </c>
      <c r="E4542" s="72">
        <v>73823.273149666464</v>
      </c>
      <c r="F4542" s="72" t="s">
        <v>70</v>
      </c>
      <c r="G4542" s="72" t="s">
        <v>71</v>
      </c>
      <c r="H4542" s="72" t="s">
        <v>72</v>
      </c>
    </row>
    <row r="4543" spans="1:8" x14ac:dyDescent="0.25">
      <c r="A4543" s="43" t="s">
        <v>4742</v>
      </c>
      <c r="B4543" s="43" t="s">
        <v>93</v>
      </c>
      <c r="C4543" s="46">
        <v>17</v>
      </c>
      <c r="D4543" s="46">
        <v>477435.52174153092</v>
      </c>
      <c r="E4543" s="43">
        <v>38194.841739322474</v>
      </c>
      <c r="F4543" s="43" t="s">
        <v>87</v>
      </c>
      <c r="G4543" s="43" t="s">
        <v>71</v>
      </c>
      <c r="H4543" s="43" t="s">
        <v>88</v>
      </c>
    </row>
    <row r="4544" spans="1:8" x14ac:dyDescent="0.25">
      <c r="A4544" s="43" t="s">
        <v>4273</v>
      </c>
      <c r="B4544" s="43" t="s">
        <v>73</v>
      </c>
      <c r="C4544" s="46">
        <v>17</v>
      </c>
      <c r="D4544" s="46">
        <v>510914.40852302418</v>
      </c>
      <c r="E4544" s="43">
        <v>56200.584937532665</v>
      </c>
      <c r="F4544" s="43" t="s">
        <v>87</v>
      </c>
      <c r="G4544" s="43" t="s">
        <v>71</v>
      </c>
      <c r="H4544" s="43" t="s">
        <v>88</v>
      </c>
    </row>
    <row r="4545" spans="1:8" x14ac:dyDescent="0.25">
      <c r="A4545" s="72" t="s">
        <v>4929</v>
      </c>
      <c r="B4545" s="72" t="s">
        <v>93</v>
      </c>
      <c r="C4545" s="73">
        <v>17</v>
      </c>
      <c r="D4545" s="73">
        <v>446022.30967647693</v>
      </c>
      <c r="E4545" s="72">
        <v>26761.338580588614</v>
      </c>
      <c r="F4545" s="72" t="s">
        <v>87</v>
      </c>
      <c r="G4545" s="72" t="s">
        <v>71</v>
      </c>
      <c r="H4545" s="72" t="s">
        <v>88</v>
      </c>
    </row>
    <row r="4546" spans="1:8" x14ac:dyDescent="0.25">
      <c r="A4546" s="72" t="s">
        <v>4743</v>
      </c>
      <c r="B4546" s="72" t="s">
        <v>73</v>
      </c>
      <c r="C4546" s="73">
        <v>17</v>
      </c>
      <c r="D4546" s="73">
        <v>477435.52174153092</v>
      </c>
      <c r="E4546" s="72">
        <v>38194.841739322474</v>
      </c>
      <c r="F4546" s="72" t="s">
        <v>87</v>
      </c>
      <c r="G4546" s="72" t="s">
        <v>71</v>
      </c>
      <c r="H4546" s="72" t="s">
        <v>88</v>
      </c>
    </row>
    <row r="4547" spans="1:8" x14ac:dyDescent="0.25">
      <c r="A4547" s="43" t="s">
        <v>3949</v>
      </c>
      <c r="B4547" s="43" t="s">
        <v>378</v>
      </c>
      <c r="C4547" s="46">
        <v>17</v>
      </c>
      <c r="D4547" s="46">
        <v>530279.02359601005</v>
      </c>
      <c r="E4547" s="43">
        <v>68936.273067481306</v>
      </c>
      <c r="F4547" s="43" t="s">
        <v>78</v>
      </c>
      <c r="G4547" s="43" t="s">
        <v>71</v>
      </c>
      <c r="H4547" s="43" t="s">
        <v>72</v>
      </c>
    </row>
    <row r="4548" spans="1:8" x14ac:dyDescent="0.25">
      <c r="A4548" s="72" t="s">
        <v>4274</v>
      </c>
      <c r="B4548" s="72" t="s">
        <v>93</v>
      </c>
      <c r="C4548" s="73">
        <v>17</v>
      </c>
      <c r="D4548" s="73">
        <v>510914.40852302418</v>
      </c>
      <c r="E4548" s="72">
        <v>56200.584937532665</v>
      </c>
      <c r="F4548" s="72" t="s">
        <v>87</v>
      </c>
      <c r="G4548" s="72" t="s">
        <v>71</v>
      </c>
      <c r="H4548" s="72" t="s">
        <v>88</v>
      </c>
    </row>
    <row r="4549" spans="1:8" x14ac:dyDescent="0.25">
      <c r="A4549" s="43" t="s">
        <v>4930</v>
      </c>
      <c r="B4549" s="43" t="s">
        <v>73</v>
      </c>
      <c r="C4549" s="46">
        <v>17</v>
      </c>
      <c r="D4549" s="46">
        <v>446022.30967647693</v>
      </c>
      <c r="E4549" s="43">
        <v>26761.338580588614</v>
      </c>
      <c r="F4549" s="43" t="s">
        <v>87</v>
      </c>
      <c r="G4549" s="43" t="s">
        <v>71</v>
      </c>
      <c r="H4549" s="43" t="s">
        <v>88</v>
      </c>
    </row>
    <row r="4550" spans="1:8" x14ac:dyDescent="0.25">
      <c r="A4550" s="43" t="s">
        <v>3812</v>
      </c>
      <c r="B4550" s="43" t="s">
        <v>211</v>
      </c>
      <c r="C4550" s="46">
        <v>17</v>
      </c>
      <c r="D4550" s="46">
        <v>527309.09392618912</v>
      </c>
      <c r="E4550" s="43">
        <v>73823.273149666464</v>
      </c>
      <c r="F4550" s="43" t="s">
        <v>70</v>
      </c>
      <c r="G4550" s="43" t="s">
        <v>71</v>
      </c>
      <c r="H4550" s="43" t="s">
        <v>72</v>
      </c>
    </row>
    <row r="4551" spans="1:8" x14ac:dyDescent="0.25">
      <c r="A4551" s="43" t="s">
        <v>4133</v>
      </c>
      <c r="B4551" s="43" t="s">
        <v>73</v>
      </c>
      <c r="C4551" s="46">
        <v>17</v>
      </c>
      <c r="D4551" s="46">
        <v>520070.41950249643</v>
      </c>
      <c r="E4551" s="43">
        <v>62408.450340299569</v>
      </c>
      <c r="F4551" s="43" t="s">
        <v>87</v>
      </c>
      <c r="G4551" s="43" t="s">
        <v>71</v>
      </c>
      <c r="H4551" s="43" t="s">
        <v>88</v>
      </c>
    </row>
    <row r="4552" spans="1:8" x14ac:dyDescent="0.25">
      <c r="A4552" s="72" t="s">
        <v>3952</v>
      </c>
      <c r="B4552" s="72" t="s">
        <v>73</v>
      </c>
      <c r="C4552" s="73">
        <v>17</v>
      </c>
      <c r="D4552" s="73">
        <v>528539.44492400868</v>
      </c>
      <c r="E4552" s="72">
        <v>68710.127840121131</v>
      </c>
      <c r="F4552" s="72" t="s">
        <v>87</v>
      </c>
      <c r="G4552" s="72" t="s">
        <v>71</v>
      </c>
      <c r="H4552" s="72" t="s">
        <v>88</v>
      </c>
    </row>
    <row r="4553" spans="1:8" x14ac:dyDescent="0.25">
      <c r="A4553" s="43" t="s">
        <v>4275</v>
      </c>
      <c r="B4553" s="43" t="s">
        <v>93</v>
      </c>
      <c r="C4553" s="46">
        <v>17</v>
      </c>
      <c r="D4553" s="46">
        <v>510914.40852302418</v>
      </c>
      <c r="E4553" s="43">
        <v>56200.584937532665</v>
      </c>
      <c r="F4553" s="43" t="s">
        <v>87</v>
      </c>
      <c r="G4553" s="43" t="s">
        <v>71</v>
      </c>
      <c r="H4553" s="43" t="s">
        <v>88</v>
      </c>
    </row>
    <row r="4554" spans="1:8" x14ac:dyDescent="0.25">
      <c r="A4554" s="72" t="s">
        <v>4134</v>
      </c>
      <c r="B4554" s="72" t="s">
        <v>73</v>
      </c>
      <c r="C4554" s="73">
        <v>17</v>
      </c>
      <c r="D4554" s="73">
        <v>520070.41950249643</v>
      </c>
      <c r="E4554" s="72">
        <v>62408.450340299569</v>
      </c>
      <c r="F4554" s="72" t="s">
        <v>87</v>
      </c>
      <c r="G4554" s="72" t="s">
        <v>71</v>
      </c>
      <c r="H4554" s="72" t="s">
        <v>88</v>
      </c>
    </row>
    <row r="4555" spans="1:8" x14ac:dyDescent="0.25">
      <c r="A4555" s="43" t="s">
        <v>4833</v>
      </c>
      <c r="B4555" s="43" t="s">
        <v>83</v>
      </c>
      <c r="C4555" s="46">
        <v>17</v>
      </c>
      <c r="D4555" s="46">
        <v>463119.54368896544</v>
      </c>
      <c r="E4555" s="43">
        <v>32418.368058227577</v>
      </c>
      <c r="F4555" s="43" t="s">
        <v>87</v>
      </c>
      <c r="G4555" s="43" t="s">
        <v>71</v>
      </c>
      <c r="H4555" s="43" t="s">
        <v>88</v>
      </c>
    </row>
    <row r="4556" spans="1:8" x14ac:dyDescent="0.25">
      <c r="A4556" s="72" t="s">
        <v>4834</v>
      </c>
      <c r="B4556" s="72" t="s">
        <v>93</v>
      </c>
      <c r="C4556" s="73">
        <v>17</v>
      </c>
      <c r="D4556" s="73">
        <v>463119.54368896544</v>
      </c>
      <c r="E4556" s="72">
        <v>32418.368058227577</v>
      </c>
      <c r="F4556" s="72" t="s">
        <v>87</v>
      </c>
      <c r="G4556" s="72" t="s">
        <v>71</v>
      </c>
      <c r="H4556" s="72" t="s">
        <v>88</v>
      </c>
    </row>
    <row r="4557" spans="1:8" x14ac:dyDescent="0.25">
      <c r="A4557" s="72" t="s">
        <v>4276</v>
      </c>
      <c r="B4557" s="72" t="s">
        <v>73</v>
      </c>
      <c r="C4557" s="73">
        <v>17</v>
      </c>
      <c r="D4557" s="73">
        <v>510914.40852302418</v>
      </c>
      <c r="E4557" s="72">
        <v>56200.584937532665</v>
      </c>
      <c r="F4557" s="72" t="s">
        <v>87</v>
      </c>
      <c r="G4557" s="72" t="s">
        <v>71</v>
      </c>
      <c r="H4557" s="72" t="s">
        <v>88</v>
      </c>
    </row>
    <row r="4558" spans="1:8" x14ac:dyDescent="0.25">
      <c r="A4558" s="43" t="s">
        <v>4744</v>
      </c>
      <c r="B4558" s="43" t="s">
        <v>93</v>
      </c>
      <c r="C4558" s="46">
        <v>17</v>
      </c>
      <c r="D4558" s="46">
        <v>477435.52174153092</v>
      </c>
      <c r="E4558" s="43">
        <v>38194.841739322474</v>
      </c>
      <c r="F4558" s="43" t="s">
        <v>87</v>
      </c>
      <c r="G4558" s="43" t="s">
        <v>71</v>
      </c>
      <c r="H4558" s="43" t="s">
        <v>88</v>
      </c>
    </row>
    <row r="4559" spans="1:8" x14ac:dyDescent="0.25">
      <c r="A4559" s="72" t="s">
        <v>4457</v>
      </c>
      <c r="B4559" s="72" t="s">
        <v>73</v>
      </c>
      <c r="C4559" s="73">
        <v>17</v>
      </c>
      <c r="D4559" s="73">
        <v>415613.53457823169</v>
      </c>
      <c r="E4559" s="72">
        <v>49873.624149387804</v>
      </c>
      <c r="F4559" s="72" t="s">
        <v>106</v>
      </c>
      <c r="G4559" s="72" t="s">
        <v>71</v>
      </c>
      <c r="H4559" s="72" t="s">
        <v>72</v>
      </c>
    </row>
    <row r="4560" spans="1:8" x14ac:dyDescent="0.25">
      <c r="A4560" s="72" t="s">
        <v>4931</v>
      </c>
      <c r="B4560" s="72" t="s">
        <v>73</v>
      </c>
      <c r="C4560" s="73">
        <v>17</v>
      </c>
      <c r="D4560" s="73">
        <v>446022.30967647693</v>
      </c>
      <c r="E4560" s="72">
        <v>26761.338580588614</v>
      </c>
      <c r="F4560" s="72" t="s">
        <v>87</v>
      </c>
      <c r="G4560" s="72" t="s">
        <v>71</v>
      </c>
      <c r="H4560" s="72" t="s">
        <v>88</v>
      </c>
    </row>
    <row r="4561" spans="1:8" x14ac:dyDescent="0.25">
      <c r="A4561" s="43" t="s">
        <v>4456</v>
      </c>
      <c r="B4561" s="43" t="s">
        <v>139</v>
      </c>
      <c r="C4561" s="46">
        <v>17</v>
      </c>
      <c r="D4561" s="46">
        <v>500918.05250723456</v>
      </c>
      <c r="E4561" s="43">
        <v>50091.805250723461</v>
      </c>
      <c r="F4561" s="43" t="s">
        <v>87</v>
      </c>
      <c r="G4561" s="43" t="s">
        <v>71</v>
      </c>
      <c r="H4561" s="43" t="s">
        <v>88</v>
      </c>
    </row>
    <row r="4562" spans="1:8" x14ac:dyDescent="0.25">
      <c r="A4562" s="43" t="s">
        <v>4056</v>
      </c>
      <c r="B4562" s="43" t="s">
        <v>73</v>
      </c>
      <c r="C4562" s="46">
        <v>16</v>
      </c>
      <c r="D4562" s="46">
        <v>497258.19632567867</v>
      </c>
      <c r="E4562" s="43">
        <v>64643.565522338227</v>
      </c>
      <c r="F4562" s="43" t="s">
        <v>87</v>
      </c>
      <c r="G4562" s="43" t="s">
        <v>71</v>
      </c>
      <c r="H4562" s="43" t="s">
        <v>88</v>
      </c>
    </row>
    <row r="4563" spans="1:8" x14ac:dyDescent="0.25">
      <c r="A4563" s="72" t="s">
        <v>4520</v>
      </c>
      <c r="B4563" s="72" t="s">
        <v>77</v>
      </c>
      <c r="C4563" s="73">
        <v>16</v>
      </c>
      <c r="D4563" s="73">
        <v>471261.59169812663</v>
      </c>
      <c r="E4563" s="72">
        <v>47126.159169812665</v>
      </c>
      <c r="F4563" s="72" t="s">
        <v>87</v>
      </c>
      <c r="G4563" s="72" t="s">
        <v>71</v>
      </c>
      <c r="H4563" s="72" t="s">
        <v>88</v>
      </c>
    </row>
    <row r="4564" spans="1:8" x14ac:dyDescent="0.25">
      <c r="A4564" s="72" t="s">
        <v>4428</v>
      </c>
      <c r="B4564" s="72" t="s">
        <v>73</v>
      </c>
      <c r="C4564" s="73">
        <v>16</v>
      </c>
      <c r="D4564" s="73">
        <v>461640.47274481278</v>
      </c>
      <c r="E4564" s="72">
        <v>50780.452001929414</v>
      </c>
      <c r="F4564" s="72" t="s">
        <v>70</v>
      </c>
      <c r="G4564" s="72" t="s">
        <v>71</v>
      </c>
      <c r="H4564" s="72" t="s">
        <v>72</v>
      </c>
    </row>
    <row r="4565" spans="1:8" x14ac:dyDescent="0.25">
      <c r="A4565" s="72" t="s">
        <v>4057</v>
      </c>
      <c r="B4565" s="72" t="s">
        <v>93</v>
      </c>
      <c r="C4565" s="73">
        <v>16</v>
      </c>
      <c r="D4565" s="73">
        <v>497258.19632567867</v>
      </c>
      <c r="E4565" s="72">
        <v>64643.565522338227</v>
      </c>
      <c r="F4565" s="72" t="s">
        <v>87</v>
      </c>
      <c r="G4565" s="72" t="s">
        <v>71</v>
      </c>
      <c r="H4565" s="72" t="s">
        <v>88</v>
      </c>
    </row>
    <row r="4566" spans="1:8" x14ac:dyDescent="0.25">
      <c r="A4566" s="43" t="s">
        <v>4203</v>
      </c>
      <c r="B4566" s="43" t="s">
        <v>73</v>
      </c>
      <c r="C4566" s="46">
        <v>16</v>
      </c>
      <c r="D4566" s="46">
        <v>489287.34887013771</v>
      </c>
      <c r="E4566" s="43">
        <v>58714.481864416521</v>
      </c>
      <c r="F4566" s="43" t="s">
        <v>87</v>
      </c>
      <c r="G4566" s="43" t="s">
        <v>71</v>
      </c>
      <c r="H4566" s="43" t="s">
        <v>88</v>
      </c>
    </row>
    <row r="4567" spans="1:8" x14ac:dyDescent="0.25">
      <c r="A4567" s="72" t="s">
        <v>4204</v>
      </c>
      <c r="B4567" s="72" t="s">
        <v>176</v>
      </c>
      <c r="C4567" s="73">
        <v>16</v>
      </c>
      <c r="D4567" s="73">
        <v>489287.34887013771</v>
      </c>
      <c r="E4567" s="72">
        <v>58714.481864416521</v>
      </c>
      <c r="F4567" s="72" t="s">
        <v>87</v>
      </c>
      <c r="G4567" s="72" t="s">
        <v>71</v>
      </c>
      <c r="H4567" s="72" t="s">
        <v>88</v>
      </c>
    </row>
    <row r="4568" spans="1:8" x14ac:dyDescent="0.25">
      <c r="A4568" s="43" t="s">
        <v>4058</v>
      </c>
      <c r="B4568" s="43" t="s">
        <v>73</v>
      </c>
      <c r="C4568" s="46">
        <v>16</v>
      </c>
      <c r="D4568" s="46">
        <v>497258.19632567867</v>
      </c>
      <c r="E4568" s="43">
        <v>64643.565522338227</v>
      </c>
      <c r="F4568" s="43" t="s">
        <v>87</v>
      </c>
      <c r="G4568" s="43" t="s">
        <v>71</v>
      </c>
      <c r="H4568" s="43" t="s">
        <v>88</v>
      </c>
    </row>
    <row r="4569" spans="1:8" x14ac:dyDescent="0.25">
      <c r="A4569" s="43" t="s">
        <v>4205</v>
      </c>
      <c r="B4569" s="43" t="s">
        <v>73</v>
      </c>
      <c r="C4569" s="46">
        <v>16</v>
      </c>
      <c r="D4569" s="46">
        <v>489287.34887013771</v>
      </c>
      <c r="E4569" s="43">
        <v>58714.481864416521</v>
      </c>
      <c r="F4569" s="43" t="s">
        <v>87</v>
      </c>
      <c r="G4569" s="43" t="s">
        <v>71</v>
      </c>
      <c r="H4569" s="43" t="s">
        <v>88</v>
      </c>
    </row>
    <row r="4570" spans="1:8" x14ac:dyDescent="0.25">
      <c r="A4570" s="43" t="s">
        <v>4429</v>
      </c>
      <c r="B4570" s="43" t="s">
        <v>73</v>
      </c>
      <c r="C4570" s="46">
        <v>16</v>
      </c>
      <c r="D4570" s="46">
        <v>461640.47274481278</v>
      </c>
      <c r="E4570" s="43">
        <v>50780.452001929414</v>
      </c>
      <c r="F4570" s="43" t="s">
        <v>70</v>
      </c>
      <c r="G4570" s="43" t="s">
        <v>71</v>
      </c>
      <c r="H4570" s="43" t="s">
        <v>72</v>
      </c>
    </row>
    <row r="4571" spans="1:8" x14ac:dyDescent="0.25">
      <c r="A4571" s="43" t="s">
        <v>4521</v>
      </c>
      <c r="B4571" s="43" t="s">
        <v>93</v>
      </c>
      <c r="C4571" s="46">
        <v>16</v>
      </c>
      <c r="D4571" s="46">
        <v>471261.59169812663</v>
      </c>
      <c r="E4571" s="43">
        <v>47126.159169812665</v>
      </c>
      <c r="F4571" s="43" t="s">
        <v>87</v>
      </c>
      <c r="G4571" s="43" t="s">
        <v>71</v>
      </c>
      <c r="H4571" s="43" t="s">
        <v>88</v>
      </c>
    </row>
    <row r="4572" spans="1:8" x14ac:dyDescent="0.25">
      <c r="A4572" s="72" t="s">
        <v>4667</v>
      </c>
      <c r="B4572" s="72" t="s">
        <v>93</v>
      </c>
      <c r="C4572" s="73">
        <v>16</v>
      </c>
      <c r="D4572" s="73">
        <v>460858.94875945715</v>
      </c>
      <c r="E4572" s="72">
        <v>41477.305388351146</v>
      </c>
      <c r="F4572" s="72" t="s">
        <v>87</v>
      </c>
      <c r="G4572" s="72" t="s">
        <v>71</v>
      </c>
      <c r="H4572" s="72" t="s">
        <v>88</v>
      </c>
    </row>
    <row r="4573" spans="1:8" x14ac:dyDescent="0.25">
      <c r="A4573" s="72" t="s">
        <v>4206</v>
      </c>
      <c r="B4573" s="72" t="s">
        <v>73</v>
      </c>
      <c r="C4573" s="73">
        <v>16</v>
      </c>
      <c r="D4573" s="73">
        <v>489287.34887013771</v>
      </c>
      <c r="E4573" s="72">
        <v>58714.481864416521</v>
      </c>
      <c r="F4573" s="72" t="s">
        <v>87</v>
      </c>
      <c r="G4573" s="72" t="s">
        <v>71</v>
      </c>
      <c r="H4573" s="72" t="s">
        <v>88</v>
      </c>
    </row>
    <row r="4574" spans="1:8" x14ac:dyDescent="0.25">
      <c r="A4574" s="43" t="s">
        <v>4780</v>
      </c>
      <c r="B4574" s="43" t="s">
        <v>93</v>
      </c>
      <c r="C4574" s="46">
        <v>16</v>
      </c>
      <c r="D4574" s="46">
        <v>449160.38627158199</v>
      </c>
      <c r="E4574" s="43">
        <v>35932.830901726556</v>
      </c>
      <c r="F4574" s="43" t="s">
        <v>87</v>
      </c>
      <c r="G4574" s="43" t="s">
        <v>71</v>
      </c>
      <c r="H4574" s="43" t="s">
        <v>88</v>
      </c>
    </row>
    <row r="4575" spans="1:8" x14ac:dyDescent="0.25">
      <c r="A4575" s="72" t="s">
        <v>4059</v>
      </c>
      <c r="B4575" s="72" t="s">
        <v>73</v>
      </c>
      <c r="C4575" s="73">
        <v>16</v>
      </c>
      <c r="D4575" s="73">
        <v>497258.19632567867</v>
      </c>
      <c r="E4575" s="72">
        <v>64643.565522338227</v>
      </c>
      <c r="F4575" s="72" t="s">
        <v>87</v>
      </c>
      <c r="G4575" s="72" t="s">
        <v>71</v>
      </c>
      <c r="H4575" s="72" t="s">
        <v>88</v>
      </c>
    </row>
    <row r="4576" spans="1:8" x14ac:dyDescent="0.25">
      <c r="A4576" s="72" t="s">
        <v>4522</v>
      </c>
      <c r="B4576" s="72" t="s">
        <v>73</v>
      </c>
      <c r="C4576" s="73">
        <v>16</v>
      </c>
      <c r="D4576" s="73">
        <v>471261.59169812663</v>
      </c>
      <c r="E4576" s="72">
        <v>47126.159169812665</v>
      </c>
      <c r="F4576" s="72" t="s">
        <v>87</v>
      </c>
      <c r="G4576" s="72" t="s">
        <v>71</v>
      </c>
      <c r="H4576" s="72" t="s">
        <v>88</v>
      </c>
    </row>
    <row r="4577" spans="1:8" x14ac:dyDescent="0.25">
      <c r="A4577" s="72" t="s">
        <v>4388</v>
      </c>
      <c r="B4577" s="72" t="s">
        <v>73</v>
      </c>
      <c r="C4577" s="73">
        <v>16</v>
      </c>
      <c r="D4577" s="73">
        <v>474472.34903119953</v>
      </c>
      <c r="E4577" s="72">
        <v>52191.958393431953</v>
      </c>
      <c r="F4577" s="72" t="s">
        <v>78</v>
      </c>
      <c r="G4577" s="72" t="s">
        <v>71</v>
      </c>
      <c r="H4577" s="72" t="s">
        <v>72</v>
      </c>
    </row>
    <row r="4578" spans="1:8" x14ac:dyDescent="0.25">
      <c r="A4578" s="72" t="s">
        <v>4111</v>
      </c>
      <c r="B4578" s="72" t="s">
        <v>73</v>
      </c>
      <c r="C4578" s="73">
        <v>16</v>
      </c>
      <c r="D4578" s="73">
        <v>485384.69168049941</v>
      </c>
      <c r="E4578" s="72">
        <v>63100.009918464923</v>
      </c>
      <c r="F4578" s="72" t="s">
        <v>70</v>
      </c>
      <c r="G4578" s="72" t="s">
        <v>71</v>
      </c>
      <c r="H4578" s="72" t="s">
        <v>72</v>
      </c>
    </row>
    <row r="4579" spans="1:8" x14ac:dyDescent="0.25">
      <c r="A4579" s="43" t="s">
        <v>4578</v>
      </c>
      <c r="B4579" s="43" t="s">
        <v>73</v>
      </c>
      <c r="C4579" s="46">
        <v>16</v>
      </c>
      <c r="D4579" s="46">
        <v>448214.25746343454</v>
      </c>
      <c r="E4579" s="43">
        <v>44821.425746343455</v>
      </c>
      <c r="F4579" s="43" t="s">
        <v>70</v>
      </c>
      <c r="G4579" s="43" t="s">
        <v>71</v>
      </c>
      <c r="H4579" s="43" t="s">
        <v>72</v>
      </c>
    </row>
    <row r="4580" spans="1:8" x14ac:dyDescent="0.25">
      <c r="A4580" s="43" t="s">
        <v>3935</v>
      </c>
      <c r="B4580" s="43" t="s">
        <v>139</v>
      </c>
      <c r="C4580" s="46">
        <v>16</v>
      </c>
      <c r="D4580" s="46">
        <v>496071.50039982185</v>
      </c>
      <c r="E4580" s="43">
        <v>69450.010055975057</v>
      </c>
      <c r="F4580" s="43" t="s">
        <v>70</v>
      </c>
      <c r="G4580" s="43" t="s">
        <v>71</v>
      </c>
      <c r="H4580" s="43" t="s">
        <v>72</v>
      </c>
    </row>
    <row r="4581" spans="1:8" x14ac:dyDescent="0.25">
      <c r="A4581" s="72" t="s">
        <v>4947</v>
      </c>
      <c r="B4581" s="72" t="s">
        <v>93</v>
      </c>
      <c r="C4581" s="73">
        <v>16</v>
      </c>
      <c r="D4581" s="73">
        <v>364577.28899927938</v>
      </c>
      <c r="E4581" s="72">
        <v>25520.410229949553</v>
      </c>
      <c r="F4581" s="72" t="s">
        <v>106</v>
      </c>
      <c r="G4581" s="72" t="s">
        <v>71</v>
      </c>
      <c r="H4581" s="72" t="s">
        <v>72</v>
      </c>
    </row>
    <row r="4582" spans="1:8" x14ac:dyDescent="0.25">
      <c r="A4582" s="43" t="s">
        <v>4112</v>
      </c>
      <c r="B4582" s="43" t="s">
        <v>73</v>
      </c>
      <c r="C4582" s="46">
        <v>16</v>
      </c>
      <c r="D4582" s="46">
        <v>485384.69168049941</v>
      </c>
      <c r="E4582" s="43">
        <v>63100.009918464923</v>
      </c>
      <c r="F4582" s="43" t="s">
        <v>70</v>
      </c>
      <c r="G4582" s="43" t="s">
        <v>71</v>
      </c>
      <c r="H4582" s="43" t="s">
        <v>72</v>
      </c>
    </row>
    <row r="4583" spans="1:8" x14ac:dyDescent="0.25">
      <c r="A4583" s="72" t="s">
        <v>4869</v>
      </c>
      <c r="B4583" s="72" t="s">
        <v>93</v>
      </c>
      <c r="C4583" s="73">
        <v>16</v>
      </c>
      <c r="D4583" s="73">
        <v>435686.52457504976</v>
      </c>
      <c r="E4583" s="72">
        <v>30498.05672025348</v>
      </c>
      <c r="F4583" s="72" t="s">
        <v>87</v>
      </c>
      <c r="G4583" s="72" t="s">
        <v>71</v>
      </c>
      <c r="H4583" s="72" t="s">
        <v>88</v>
      </c>
    </row>
    <row r="4584" spans="1:8" x14ac:dyDescent="0.25">
      <c r="A4584" s="43" t="s">
        <v>4207</v>
      </c>
      <c r="B4584" s="43" t="s">
        <v>73</v>
      </c>
      <c r="C4584" s="46">
        <v>16</v>
      </c>
      <c r="D4584" s="46">
        <v>489287.34887013771</v>
      </c>
      <c r="E4584" s="43">
        <v>58714.481864416521</v>
      </c>
      <c r="F4584" s="43" t="s">
        <v>87</v>
      </c>
      <c r="G4584" s="43" t="s">
        <v>71</v>
      </c>
      <c r="H4584" s="43" t="s">
        <v>88</v>
      </c>
    </row>
    <row r="4585" spans="1:8" x14ac:dyDescent="0.25">
      <c r="A4585" s="43" t="s">
        <v>4709</v>
      </c>
      <c r="B4585" s="43" t="s">
        <v>75</v>
      </c>
      <c r="C4585" s="46">
        <v>16</v>
      </c>
      <c r="D4585" s="46">
        <v>445465.2364064001</v>
      </c>
      <c r="E4585" s="43">
        <v>40091.871276576006</v>
      </c>
      <c r="F4585" s="43" t="s">
        <v>78</v>
      </c>
      <c r="G4585" s="43" t="s">
        <v>71</v>
      </c>
      <c r="H4585" s="43" t="s">
        <v>72</v>
      </c>
    </row>
    <row r="4586" spans="1:8" x14ac:dyDescent="0.25">
      <c r="A4586" s="72" t="s">
        <v>4368</v>
      </c>
      <c r="B4586" s="72" t="s">
        <v>73</v>
      </c>
      <c r="C4586" s="73">
        <v>16</v>
      </c>
      <c r="D4586" s="73">
        <v>480669.92677181086</v>
      </c>
      <c r="E4586" s="72">
        <v>52873.691944899205</v>
      </c>
      <c r="F4586" s="72" t="s">
        <v>87</v>
      </c>
      <c r="G4586" s="72" t="s">
        <v>71</v>
      </c>
      <c r="H4586" s="72" t="s">
        <v>88</v>
      </c>
    </row>
    <row r="4587" spans="1:8" x14ac:dyDescent="0.25">
      <c r="A4587" s="43" t="s">
        <v>4060</v>
      </c>
      <c r="B4587" s="43" t="s">
        <v>93</v>
      </c>
      <c r="C4587" s="46">
        <v>16</v>
      </c>
      <c r="D4587" s="46">
        <v>497258.19632567867</v>
      </c>
      <c r="E4587" s="43">
        <v>64643.565522338227</v>
      </c>
      <c r="F4587" s="43" t="s">
        <v>87</v>
      </c>
      <c r="G4587" s="43" t="s">
        <v>71</v>
      </c>
      <c r="H4587" s="43" t="s">
        <v>88</v>
      </c>
    </row>
    <row r="4588" spans="1:8" x14ac:dyDescent="0.25">
      <c r="A4588" s="72" t="s">
        <v>4061</v>
      </c>
      <c r="B4588" s="72" t="s">
        <v>73</v>
      </c>
      <c r="C4588" s="73">
        <v>16</v>
      </c>
      <c r="D4588" s="73">
        <v>497258.19632567867</v>
      </c>
      <c r="E4588" s="72">
        <v>64643.565522338227</v>
      </c>
      <c r="F4588" s="72" t="s">
        <v>87</v>
      </c>
      <c r="G4588" s="72" t="s">
        <v>71</v>
      </c>
      <c r="H4588" s="72" t="s">
        <v>88</v>
      </c>
    </row>
    <row r="4589" spans="1:8" x14ac:dyDescent="0.25">
      <c r="A4589" s="43" t="s">
        <v>4062</v>
      </c>
      <c r="B4589" s="43" t="s">
        <v>73</v>
      </c>
      <c r="C4589" s="46">
        <v>16</v>
      </c>
      <c r="D4589" s="46">
        <v>497258.19632567867</v>
      </c>
      <c r="E4589" s="43">
        <v>64643.565522338227</v>
      </c>
      <c r="F4589" s="43" t="s">
        <v>87</v>
      </c>
      <c r="G4589" s="43" t="s">
        <v>71</v>
      </c>
      <c r="H4589" s="43" t="s">
        <v>88</v>
      </c>
    </row>
    <row r="4590" spans="1:8" x14ac:dyDescent="0.25">
      <c r="A4590" s="72" t="s">
        <v>4781</v>
      </c>
      <c r="B4590" s="72" t="s">
        <v>93</v>
      </c>
      <c r="C4590" s="73">
        <v>16</v>
      </c>
      <c r="D4590" s="73">
        <v>449160.38627158199</v>
      </c>
      <c r="E4590" s="72">
        <v>35932.830901726556</v>
      </c>
      <c r="F4590" s="72" t="s">
        <v>87</v>
      </c>
      <c r="G4590" s="72" t="s">
        <v>71</v>
      </c>
      <c r="H4590" s="72" t="s">
        <v>88</v>
      </c>
    </row>
    <row r="4591" spans="1:8" x14ac:dyDescent="0.25">
      <c r="A4591" s="43" t="s">
        <v>4369</v>
      </c>
      <c r="B4591" s="43" t="s">
        <v>1247</v>
      </c>
      <c r="C4591" s="46">
        <v>16</v>
      </c>
      <c r="D4591" s="46">
        <v>480669.92677181086</v>
      </c>
      <c r="E4591" s="43">
        <v>52873.691944899205</v>
      </c>
      <c r="F4591" s="43" t="s">
        <v>87</v>
      </c>
      <c r="G4591" s="43" t="s">
        <v>71</v>
      </c>
      <c r="H4591" s="43" t="s">
        <v>88</v>
      </c>
    </row>
    <row r="4592" spans="1:8" x14ac:dyDescent="0.25">
      <c r="A4592" s="43" t="s">
        <v>4782</v>
      </c>
      <c r="B4592" s="43" t="s">
        <v>93</v>
      </c>
      <c r="C4592" s="46">
        <v>16</v>
      </c>
      <c r="D4592" s="46">
        <v>449160.38627158199</v>
      </c>
      <c r="E4592" s="43">
        <v>35932.830901726556</v>
      </c>
      <c r="F4592" s="43" t="s">
        <v>87</v>
      </c>
      <c r="G4592" s="43" t="s">
        <v>71</v>
      </c>
      <c r="H4592" s="43" t="s">
        <v>88</v>
      </c>
    </row>
    <row r="4593" spans="1:8" x14ac:dyDescent="0.25">
      <c r="A4593" s="72" t="s">
        <v>3936</v>
      </c>
      <c r="B4593" s="72" t="s">
        <v>97</v>
      </c>
      <c r="C4593" s="73">
        <v>16</v>
      </c>
      <c r="D4593" s="73">
        <v>496071.50039982185</v>
      </c>
      <c r="E4593" s="72">
        <v>69450.010055975057</v>
      </c>
      <c r="F4593" s="72" t="s">
        <v>70</v>
      </c>
      <c r="G4593" s="72" t="s">
        <v>71</v>
      </c>
      <c r="H4593" s="72" t="s">
        <v>72</v>
      </c>
    </row>
    <row r="4594" spans="1:8" x14ac:dyDescent="0.25">
      <c r="A4594" s="43" t="s">
        <v>4668</v>
      </c>
      <c r="B4594" s="43" t="s">
        <v>93</v>
      </c>
      <c r="C4594" s="46">
        <v>16</v>
      </c>
      <c r="D4594" s="46">
        <v>460858.94875945715</v>
      </c>
      <c r="E4594" s="43">
        <v>41477.305388351146</v>
      </c>
      <c r="F4594" s="43" t="s">
        <v>87</v>
      </c>
      <c r="G4594" s="43" t="s">
        <v>71</v>
      </c>
      <c r="H4594" s="43" t="s">
        <v>88</v>
      </c>
    </row>
    <row r="4595" spans="1:8" x14ac:dyDescent="0.25">
      <c r="A4595" s="72" t="s">
        <v>4805</v>
      </c>
      <c r="B4595" s="72" t="s">
        <v>93</v>
      </c>
      <c r="C4595" s="73">
        <v>16</v>
      </c>
      <c r="D4595" s="73">
        <v>376923.79272030445</v>
      </c>
      <c r="E4595" s="72">
        <v>33923.141344827396</v>
      </c>
      <c r="F4595" s="72" t="s">
        <v>106</v>
      </c>
      <c r="G4595" s="72" t="s">
        <v>71</v>
      </c>
      <c r="H4595" s="72" t="s">
        <v>72</v>
      </c>
    </row>
    <row r="4596" spans="1:8" x14ac:dyDescent="0.25">
      <c r="A4596" s="43" t="s">
        <v>4523</v>
      </c>
      <c r="B4596" s="43" t="s">
        <v>73</v>
      </c>
      <c r="C4596" s="46">
        <v>16</v>
      </c>
      <c r="D4596" s="46">
        <v>471261.59169812663</v>
      </c>
      <c r="E4596" s="43">
        <v>47126.159169812665</v>
      </c>
      <c r="F4596" s="43" t="s">
        <v>87</v>
      </c>
      <c r="G4596" s="43" t="s">
        <v>71</v>
      </c>
      <c r="H4596" s="43" t="s">
        <v>88</v>
      </c>
    </row>
    <row r="4597" spans="1:8" x14ac:dyDescent="0.25">
      <c r="A4597" s="72" t="s">
        <v>4370</v>
      </c>
      <c r="B4597" s="72" t="s">
        <v>93</v>
      </c>
      <c r="C4597" s="73">
        <v>16</v>
      </c>
      <c r="D4597" s="73">
        <v>480669.92677181086</v>
      </c>
      <c r="E4597" s="72">
        <v>52873.691944899205</v>
      </c>
      <c r="F4597" s="72" t="s">
        <v>87</v>
      </c>
      <c r="G4597" s="72" t="s">
        <v>71</v>
      </c>
      <c r="H4597" s="72" t="s">
        <v>88</v>
      </c>
    </row>
    <row r="4598" spans="1:8" x14ac:dyDescent="0.25">
      <c r="A4598" s="72" t="s">
        <v>4524</v>
      </c>
      <c r="B4598" s="72" t="s">
        <v>73</v>
      </c>
      <c r="C4598" s="73">
        <v>16</v>
      </c>
      <c r="D4598" s="73">
        <v>471261.59169812663</v>
      </c>
      <c r="E4598" s="72">
        <v>47126.159169812665</v>
      </c>
      <c r="F4598" s="72" t="s">
        <v>87</v>
      </c>
      <c r="G4598" s="72" t="s">
        <v>71</v>
      </c>
      <c r="H4598" s="72" t="s">
        <v>88</v>
      </c>
    </row>
    <row r="4599" spans="1:8" x14ac:dyDescent="0.25">
      <c r="A4599" s="43" t="s">
        <v>4870</v>
      </c>
      <c r="B4599" s="43" t="s">
        <v>73</v>
      </c>
      <c r="C4599" s="46">
        <v>16</v>
      </c>
      <c r="D4599" s="46">
        <v>435686.52457504976</v>
      </c>
      <c r="E4599" s="43">
        <v>30498.05672025348</v>
      </c>
      <c r="F4599" s="43" t="s">
        <v>87</v>
      </c>
      <c r="G4599" s="43" t="s">
        <v>71</v>
      </c>
      <c r="H4599" s="43" t="s">
        <v>88</v>
      </c>
    </row>
    <row r="4600" spans="1:8" x14ac:dyDescent="0.25">
      <c r="A4600" s="72" t="s">
        <v>4871</v>
      </c>
      <c r="B4600" s="72" t="s">
        <v>93</v>
      </c>
      <c r="C4600" s="73">
        <v>16</v>
      </c>
      <c r="D4600" s="73">
        <v>435686.52457504976</v>
      </c>
      <c r="E4600" s="72">
        <v>30498.05672025348</v>
      </c>
      <c r="F4600" s="72" t="s">
        <v>87</v>
      </c>
      <c r="G4600" s="72" t="s">
        <v>71</v>
      </c>
      <c r="H4600" s="72" t="s">
        <v>88</v>
      </c>
    </row>
    <row r="4601" spans="1:8" x14ac:dyDescent="0.25">
      <c r="A4601" s="43" t="s">
        <v>4525</v>
      </c>
      <c r="B4601" s="43" t="s">
        <v>75</v>
      </c>
      <c r="C4601" s="46">
        <v>16</v>
      </c>
      <c r="D4601" s="46">
        <v>390951.29968602303</v>
      </c>
      <c r="E4601" s="43">
        <v>46914.155962322766</v>
      </c>
      <c r="F4601" s="43" t="s">
        <v>106</v>
      </c>
      <c r="G4601" s="43" t="s">
        <v>71</v>
      </c>
      <c r="H4601" s="43" t="s">
        <v>72</v>
      </c>
    </row>
    <row r="4602" spans="1:8" x14ac:dyDescent="0.25">
      <c r="A4602" s="72" t="s">
        <v>4208</v>
      </c>
      <c r="B4602" s="72" t="s">
        <v>93</v>
      </c>
      <c r="C4602" s="73">
        <v>16</v>
      </c>
      <c r="D4602" s="73">
        <v>489287.34887013771</v>
      </c>
      <c r="E4602" s="72">
        <v>58714.481864416521</v>
      </c>
      <c r="F4602" s="72" t="s">
        <v>87</v>
      </c>
      <c r="G4602" s="72" t="s">
        <v>71</v>
      </c>
      <c r="H4602" s="72" t="s">
        <v>88</v>
      </c>
    </row>
    <row r="4603" spans="1:8" x14ac:dyDescent="0.25">
      <c r="A4603" s="72" t="s">
        <v>4669</v>
      </c>
      <c r="B4603" s="72" t="s">
        <v>73</v>
      </c>
      <c r="C4603" s="73">
        <v>16</v>
      </c>
      <c r="D4603" s="73">
        <v>460858.94875945715</v>
      </c>
      <c r="E4603" s="72">
        <v>41477.305388351146</v>
      </c>
      <c r="F4603" s="72" t="s">
        <v>87</v>
      </c>
      <c r="G4603" s="72" t="s">
        <v>71</v>
      </c>
      <c r="H4603" s="72" t="s">
        <v>88</v>
      </c>
    </row>
    <row r="4604" spans="1:8" x14ac:dyDescent="0.25">
      <c r="A4604" s="43" t="s">
        <v>4872</v>
      </c>
      <c r="B4604" s="43" t="s">
        <v>1247</v>
      </c>
      <c r="C4604" s="46">
        <v>16</v>
      </c>
      <c r="D4604" s="46">
        <v>435686.52457504976</v>
      </c>
      <c r="E4604" s="43">
        <v>30498.05672025348</v>
      </c>
      <c r="F4604" s="43" t="s">
        <v>87</v>
      </c>
      <c r="G4604" s="43" t="s">
        <v>71</v>
      </c>
      <c r="H4604" s="43" t="s">
        <v>88</v>
      </c>
    </row>
    <row r="4605" spans="1:8" x14ac:dyDescent="0.25">
      <c r="A4605" s="72" t="s">
        <v>4508</v>
      </c>
      <c r="B4605" s="72" t="s">
        <v>378</v>
      </c>
      <c r="C4605" s="73">
        <v>15</v>
      </c>
      <c r="D4605" s="73">
        <v>432582.43505401723</v>
      </c>
      <c r="E4605" s="72">
        <v>47584.067855941903</v>
      </c>
      <c r="F4605" s="72" t="s">
        <v>70</v>
      </c>
      <c r="G4605" s="72" t="s">
        <v>71</v>
      </c>
      <c r="H4605" s="72" t="s">
        <v>72</v>
      </c>
    </row>
    <row r="4606" spans="1:8" x14ac:dyDescent="0.25">
      <c r="A4606" s="72" t="s">
        <v>4172</v>
      </c>
      <c r="B4606" s="72" t="s">
        <v>93</v>
      </c>
      <c r="C4606" s="73">
        <v>15</v>
      </c>
      <c r="D4606" s="73">
        <v>466000.92565527174</v>
      </c>
      <c r="E4606" s="72">
        <v>60580.120335185326</v>
      </c>
      <c r="F4606" s="72" t="s">
        <v>87</v>
      </c>
      <c r="G4606" s="72" t="s">
        <v>71</v>
      </c>
      <c r="H4606" s="72" t="s">
        <v>88</v>
      </c>
    </row>
    <row r="4607" spans="1:8" x14ac:dyDescent="0.25">
      <c r="A4607" s="43" t="s">
        <v>4729</v>
      </c>
      <c r="B4607" s="43" t="s">
        <v>93</v>
      </c>
      <c r="C4607" s="46">
        <v>15</v>
      </c>
      <c r="D4607" s="46">
        <v>431876.631061939</v>
      </c>
      <c r="E4607" s="43">
        <v>38868.89679557451</v>
      </c>
      <c r="F4607" s="43" t="s">
        <v>87</v>
      </c>
      <c r="G4607" s="43" t="s">
        <v>71</v>
      </c>
      <c r="H4607" s="43" t="s">
        <v>88</v>
      </c>
    </row>
    <row r="4608" spans="1:8" x14ac:dyDescent="0.25">
      <c r="A4608" s="43" t="s">
        <v>4173</v>
      </c>
      <c r="B4608" s="43" t="s">
        <v>93</v>
      </c>
      <c r="C4608" s="46">
        <v>15</v>
      </c>
      <c r="D4608" s="46">
        <v>466000.92565527174</v>
      </c>
      <c r="E4608" s="43">
        <v>60580.120335185326</v>
      </c>
      <c r="F4608" s="43" t="s">
        <v>87</v>
      </c>
      <c r="G4608" s="43" t="s">
        <v>71</v>
      </c>
      <c r="H4608" s="43" t="s">
        <v>88</v>
      </c>
    </row>
    <row r="4609" spans="1:8" x14ac:dyDescent="0.25">
      <c r="A4609" s="43" t="s">
        <v>4806</v>
      </c>
      <c r="B4609" s="43" t="s">
        <v>73</v>
      </c>
      <c r="C4609" s="46">
        <v>15</v>
      </c>
      <c r="D4609" s="46">
        <v>420909.22872955602</v>
      </c>
      <c r="E4609" s="43">
        <v>33672.738298364486</v>
      </c>
      <c r="F4609" s="43" t="s">
        <v>87</v>
      </c>
      <c r="G4609" s="43" t="s">
        <v>71</v>
      </c>
      <c r="H4609" s="43" t="s">
        <v>88</v>
      </c>
    </row>
    <row r="4610" spans="1:8" x14ac:dyDescent="0.25">
      <c r="A4610" s="72" t="s">
        <v>4648</v>
      </c>
      <c r="B4610" s="72" t="s">
        <v>97</v>
      </c>
      <c r="C4610" s="73">
        <v>15</v>
      </c>
      <c r="D4610" s="73">
        <v>419995.35822772508</v>
      </c>
      <c r="E4610" s="72">
        <v>41999.535822772508</v>
      </c>
      <c r="F4610" s="72" t="s">
        <v>70</v>
      </c>
      <c r="G4610" s="72" t="s">
        <v>71</v>
      </c>
      <c r="H4610" s="72" t="s">
        <v>72</v>
      </c>
    </row>
    <row r="4611" spans="1:8" x14ac:dyDescent="0.25">
      <c r="A4611" s="43" t="s">
        <v>4509</v>
      </c>
      <c r="B4611" s="43" t="s">
        <v>75</v>
      </c>
      <c r="C4611" s="46">
        <v>15</v>
      </c>
      <c r="D4611" s="46">
        <v>432582.43505401723</v>
      </c>
      <c r="E4611" s="43">
        <v>47584.067855941903</v>
      </c>
      <c r="F4611" s="43" t="s">
        <v>70</v>
      </c>
      <c r="G4611" s="43" t="s">
        <v>71</v>
      </c>
      <c r="H4611" s="43" t="s">
        <v>72</v>
      </c>
    </row>
    <row r="4612" spans="1:8" x14ac:dyDescent="0.25">
      <c r="A4612" s="72" t="s">
        <v>4464</v>
      </c>
      <c r="B4612" s="72" t="s">
        <v>73</v>
      </c>
      <c r="C4612" s="73">
        <v>15</v>
      </c>
      <c r="D4612" s="73">
        <v>450449.42294852069</v>
      </c>
      <c r="E4612" s="72">
        <v>49549.436524337281</v>
      </c>
      <c r="F4612" s="72" t="s">
        <v>87</v>
      </c>
      <c r="G4612" s="72" t="s">
        <v>71</v>
      </c>
      <c r="H4612" s="72" t="s">
        <v>88</v>
      </c>
    </row>
    <row r="4613" spans="1:8" x14ac:dyDescent="0.25">
      <c r="A4613" s="72" t="s">
        <v>4895</v>
      </c>
      <c r="B4613" s="72" t="s">
        <v>73</v>
      </c>
      <c r="C4613" s="73">
        <v>15</v>
      </c>
      <c r="D4613" s="73">
        <v>408277.4833890571</v>
      </c>
      <c r="E4613" s="72">
        <v>28579.423837233993</v>
      </c>
      <c r="F4613" s="72" t="s">
        <v>87</v>
      </c>
      <c r="G4613" s="72" t="s">
        <v>71</v>
      </c>
      <c r="H4613" s="72" t="s">
        <v>88</v>
      </c>
    </row>
    <row r="4614" spans="1:8" x14ac:dyDescent="0.25">
      <c r="A4614" s="72" t="s">
        <v>4730</v>
      </c>
      <c r="B4614" s="72" t="s">
        <v>93</v>
      </c>
      <c r="C4614" s="73">
        <v>15</v>
      </c>
      <c r="D4614" s="73">
        <v>431876.631061939</v>
      </c>
      <c r="E4614" s="72">
        <v>38868.89679557451</v>
      </c>
      <c r="F4614" s="72" t="s">
        <v>87</v>
      </c>
      <c r="G4614" s="72" t="s">
        <v>71</v>
      </c>
      <c r="H4614" s="72" t="s">
        <v>88</v>
      </c>
    </row>
    <row r="4615" spans="1:8" x14ac:dyDescent="0.25">
      <c r="A4615" s="72" t="s">
        <v>4309</v>
      </c>
      <c r="B4615" s="72" t="s">
        <v>97</v>
      </c>
      <c r="C4615" s="73">
        <v>15</v>
      </c>
      <c r="D4615" s="73">
        <v>458528.25616570207</v>
      </c>
      <c r="E4615" s="72">
        <v>55023.390739884249</v>
      </c>
      <c r="F4615" s="72" t="s">
        <v>87</v>
      </c>
      <c r="G4615" s="72" t="s">
        <v>71</v>
      </c>
      <c r="H4615" s="72" t="s">
        <v>88</v>
      </c>
    </row>
    <row r="4616" spans="1:8" x14ac:dyDescent="0.25">
      <c r="A4616" s="43" t="s">
        <v>4187</v>
      </c>
      <c r="B4616" s="43" t="s">
        <v>2201</v>
      </c>
      <c r="C4616" s="46">
        <v>15</v>
      </c>
      <c r="D4616" s="46">
        <v>454842.64030622347</v>
      </c>
      <c r="E4616" s="43">
        <v>59129.543239809056</v>
      </c>
      <c r="F4616" s="43" t="s">
        <v>70</v>
      </c>
      <c r="G4616" s="43" t="s">
        <v>71</v>
      </c>
      <c r="H4616" s="43" t="s">
        <v>72</v>
      </c>
    </row>
    <row r="4617" spans="1:8" x14ac:dyDescent="0.25">
      <c r="A4617" s="72" t="s">
        <v>4510</v>
      </c>
      <c r="B4617" s="72" t="s">
        <v>73</v>
      </c>
      <c r="C4617" s="73">
        <v>15</v>
      </c>
      <c r="D4617" s="73">
        <v>432582.43505401723</v>
      </c>
      <c r="E4617" s="72">
        <v>47584.067855941903</v>
      </c>
      <c r="F4617" s="72" t="s">
        <v>70</v>
      </c>
      <c r="G4617" s="72" t="s">
        <v>71</v>
      </c>
      <c r="H4617" s="72" t="s">
        <v>72</v>
      </c>
    </row>
    <row r="4618" spans="1:8" x14ac:dyDescent="0.25">
      <c r="A4618" s="72" t="s">
        <v>4807</v>
      </c>
      <c r="B4618" s="72" t="s">
        <v>73</v>
      </c>
      <c r="C4618" s="73">
        <v>15</v>
      </c>
      <c r="D4618" s="73">
        <v>420909.22872955602</v>
      </c>
      <c r="E4618" s="72">
        <v>33672.738298364486</v>
      </c>
      <c r="F4618" s="72" t="s">
        <v>87</v>
      </c>
      <c r="G4618" s="72" t="s">
        <v>71</v>
      </c>
      <c r="H4618" s="72" t="s">
        <v>88</v>
      </c>
    </row>
    <row r="4619" spans="1:8" x14ac:dyDescent="0.25">
      <c r="A4619" s="43" t="s">
        <v>4649</v>
      </c>
      <c r="B4619" s="43" t="s">
        <v>73</v>
      </c>
      <c r="C4619" s="46">
        <v>15</v>
      </c>
      <c r="D4619" s="46">
        <v>419995.35822772508</v>
      </c>
      <c r="E4619" s="43">
        <v>41999.535822772508</v>
      </c>
      <c r="F4619" s="43" t="s">
        <v>70</v>
      </c>
      <c r="G4619" s="43" t="s">
        <v>71</v>
      </c>
      <c r="H4619" s="43" t="s">
        <v>72</v>
      </c>
    </row>
    <row r="4620" spans="1:8" x14ac:dyDescent="0.25">
      <c r="A4620" s="72" t="s">
        <v>4037</v>
      </c>
      <c r="B4620" s="72" t="s">
        <v>73</v>
      </c>
      <c r="C4620" s="73">
        <v>15</v>
      </c>
      <c r="D4620" s="73">
        <v>464861.52348058828</v>
      </c>
      <c r="E4620" s="72">
        <v>65080.613287282351</v>
      </c>
      <c r="F4620" s="72" t="s">
        <v>70</v>
      </c>
      <c r="G4620" s="72" t="s">
        <v>71</v>
      </c>
      <c r="H4620" s="72" t="s">
        <v>72</v>
      </c>
    </row>
    <row r="4621" spans="1:8" x14ac:dyDescent="0.25">
      <c r="A4621" s="43" t="s">
        <v>4590</v>
      </c>
      <c r="B4621" s="43" t="s">
        <v>93</v>
      </c>
      <c r="C4621" s="46">
        <v>15</v>
      </c>
      <c r="D4621" s="46">
        <v>441629.10881694168</v>
      </c>
      <c r="E4621" s="43">
        <v>44162.910881694173</v>
      </c>
      <c r="F4621" s="43" t="s">
        <v>87</v>
      </c>
      <c r="G4621" s="43" t="s">
        <v>71</v>
      </c>
      <c r="H4621" s="43" t="s">
        <v>88</v>
      </c>
    </row>
    <row r="4622" spans="1:8" x14ac:dyDescent="0.25">
      <c r="A4622" s="43" t="s">
        <v>4038</v>
      </c>
      <c r="B4622" s="43" t="s">
        <v>73</v>
      </c>
      <c r="C4622" s="46">
        <v>15</v>
      </c>
      <c r="D4622" s="46">
        <v>464861.52348058828</v>
      </c>
      <c r="E4622" s="43">
        <v>65080.613287282351</v>
      </c>
      <c r="F4622" s="43" t="s">
        <v>70</v>
      </c>
      <c r="G4622" s="43" t="s">
        <v>71</v>
      </c>
      <c r="H4622" s="43" t="s">
        <v>72</v>
      </c>
    </row>
    <row r="4623" spans="1:8" x14ac:dyDescent="0.25">
      <c r="A4623" s="72" t="s">
        <v>4347</v>
      </c>
      <c r="B4623" s="72" t="s">
        <v>73</v>
      </c>
      <c r="C4623" s="73">
        <v>15</v>
      </c>
      <c r="D4623" s="73">
        <v>444131.14279395586</v>
      </c>
      <c r="E4623" s="72">
        <v>53295.737135274714</v>
      </c>
      <c r="F4623" s="72" t="s">
        <v>70</v>
      </c>
      <c r="G4623" s="72" t="s">
        <v>71</v>
      </c>
      <c r="H4623" s="72" t="s">
        <v>72</v>
      </c>
    </row>
    <row r="4624" spans="1:8" x14ac:dyDescent="0.25">
      <c r="A4624" s="72" t="s">
        <v>4000</v>
      </c>
      <c r="B4624" s="72" t="s">
        <v>73</v>
      </c>
      <c r="C4624" s="73">
        <v>15</v>
      </c>
      <c r="D4624" s="73">
        <v>477697.00350694451</v>
      </c>
      <c r="E4624" s="72">
        <v>66877.580490972221</v>
      </c>
      <c r="F4624" s="72" t="s">
        <v>78</v>
      </c>
      <c r="G4624" s="72" t="s">
        <v>71</v>
      </c>
      <c r="H4624" s="72" t="s">
        <v>72</v>
      </c>
    </row>
    <row r="4625" spans="1:8" x14ac:dyDescent="0.25">
      <c r="A4625" s="72" t="s">
        <v>4174</v>
      </c>
      <c r="B4625" s="72" t="s">
        <v>93</v>
      </c>
      <c r="C4625" s="73">
        <v>15</v>
      </c>
      <c r="D4625" s="73">
        <v>466000.92565527174</v>
      </c>
      <c r="E4625" s="72">
        <v>60580.120335185326</v>
      </c>
      <c r="F4625" s="72" t="s">
        <v>87</v>
      </c>
      <c r="G4625" s="72" t="s">
        <v>71</v>
      </c>
      <c r="H4625" s="72" t="s">
        <v>88</v>
      </c>
    </row>
    <row r="4626" spans="1:8" x14ac:dyDescent="0.25">
      <c r="A4626" s="43" t="s">
        <v>4731</v>
      </c>
      <c r="B4626" s="43" t="s">
        <v>93</v>
      </c>
      <c r="C4626" s="46">
        <v>15</v>
      </c>
      <c r="D4626" s="46">
        <v>431876.631061939</v>
      </c>
      <c r="E4626" s="43">
        <v>38868.89679557451</v>
      </c>
      <c r="F4626" s="43" t="s">
        <v>87</v>
      </c>
      <c r="G4626" s="43" t="s">
        <v>71</v>
      </c>
      <c r="H4626" s="43" t="s">
        <v>88</v>
      </c>
    </row>
    <row r="4627" spans="1:8" x14ac:dyDescent="0.25">
      <c r="A4627" s="43" t="s">
        <v>4310</v>
      </c>
      <c r="B4627" s="43" t="s">
        <v>93</v>
      </c>
      <c r="C4627" s="46">
        <v>15</v>
      </c>
      <c r="D4627" s="46">
        <v>458528.25616570207</v>
      </c>
      <c r="E4627" s="43">
        <v>55023.390739884249</v>
      </c>
      <c r="F4627" s="43" t="s">
        <v>87</v>
      </c>
      <c r="G4627" s="43" t="s">
        <v>71</v>
      </c>
      <c r="H4627" s="43" t="s">
        <v>88</v>
      </c>
    </row>
    <row r="4628" spans="1:8" x14ac:dyDescent="0.25">
      <c r="A4628" s="72" t="s">
        <v>4311</v>
      </c>
      <c r="B4628" s="72" t="s">
        <v>93</v>
      </c>
      <c r="C4628" s="73">
        <v>15</v>
      </c>
      <c r="D4628" s="73">
        <v>458528.25616570207</v>
      </c>
      <c r="E4628" s="72">
        <v>55023.390739884249</v>
      </c>
      <c r="F4628" s="72" t="s">
        <v>87</v>
      </c>
      <c r="G4628" s="72" t="s">
        <v>71</v>
      </c>
      <c r="H4628" s="72" t="s">
        <v>88</v>
      </c>
    </row>
    <row r="4629" spans="1:8" x14ac:dyDescent="0.25">
      <c r="A4629" s="43" t="s">
        <v>4896</v>
      </c>
      <c r="B4629" s="43" t="s">
        <v>73</v>
      </c>
      <c r="C4629" s="46">
        <v>15</v>
      </c>
      <c r="D4629" s="46">
        <v>408277.4833890571</v>
      </c>
      <c r="E4629" s="43">
        <v>28579.423837233993</v>
      </c>
      <c r="F4629" s="43" t="s">
        <v>87</v>
      </c>
      <c r="G4629" s="43" t="s">
        <v>71</v>
      </c>
      <c r="H4629" s="43" t="s">
        <v>88</v>
      </c>
    </row>
    <row r="4630" spans="1:8" x14ac:dyDescent="0.25">
      <c r="A4630" s="43" t="s">
        <v>4175</v>
      </c>
      <c r="B4630" s="43" t="s">
        <v>93</v>
      </c>
      <c r="C4630" s="46">
        <v>15</v>
      </c>
      <c r="D4630" s="46">
        <v>466000.92565527174</v>
      </c>
      <c r="E4630" s="43">
        <v>60580.120335185326</v>
      </c>
      <c r="F4630" s="43" t="s">
        <v>87</v>
      </c>
      <c r="G4630" s="43" t="s">
        <v>71</v>
      </c>
      <c r="H4630" s="43" t="s">
        <v>88</v>
      </c>
    </row>
    <row r="4631" spans="1:8" x14ac:dyDescent="0.25">
      <c r="A4631" s="72" t="s">
        <v>4897</v>
      </c>
      <c r="B4631" s="72" t="s">
        <v>93</v>
      </c>
      <c r="C4631" s="73">
        <v>15</v>
      </c>
      <c r="D4631" s="73">
        <v>408277.4833890571</v>
      </c>
      <c r="E4631" s="72">
        <v>28579.423837233993</v>
      </c>
      <c r="F4631" s="72" t="s">
        <v>87</v>
      </c>
      <c r="G4631" s="72" t="s">
        <v>71</v>
      </c>
      <c r="H4631" s="72" t="s">
        <v>88</v>
      </c>
    </row>
    <row r="4632" spans="1:8" x14ac:dyDescent="0.25">
      <c r="A4632" s="72" t="s">
        <v>4732</v>
      </c>
      <c r="B4632" s="72" t="s">
        <v>73</v>
      </c>
      <c r="C4632" s="73">
        <v>15</v>
      </c>
      <c r="D4632" s="73">
        <v>431876.631061939</v>
      </c>
      <c r="E4632" s="72">
        <v>38868.89679557451</v>
      </c>
      <c r="F4632" s="72" t="s">
        <v>87</v>
      </c>
      <c r="G4632" s="72" t="s">
        <v>71</v>
      </c>
      <c r="H4632" s="72" t="s">
        <v>88</v>
      </c>
    </row>
    <row r="4633" spans="1:8" x14ac:dyDescent="0.25">
      <c r="A4633" s="43" t="s">
        <v>4898</v>
      </c>
      <c r="B4633" s="43" t="s">
        <v>93</v>
      </c>
      <c r="C4633" s="46">
        <v>15</v>
      </c>
      <c r="D4633" s="46">
        <v>408277.4833890571</v>
      </c>
      <c r="E4633" s="43">
        <v>28579.423837233993</v>
      </c>
      <c r="F4633" s="43" t="s">
        <v>87</v>
      </c>
      <c r="G4633" s="43" t="s">
        <v>71</v>
      </c>
      <c r="H4633" s="43" t="s">
        <v>88</v>
      </c>
    </row>
    <row r="4634" spans="1:8" x14ac:dyDescent="0.25">
      <c r="A4634" s="72" t="s">
        <v>4650</v>
      </c>
      <c r="B4634" s="72" t="s">
        <v>107</v>
      </c>
      <c r="C4634" s="73">
        <v>15</v>
      </c>
      <c r="D4634" s="73">
        <v>419995.35822772508</v>
      </c>
      <c r="E4634" s="72">
        <v>41999.535822772508</v>
      </c>
      <c r="F4634" s="72" t="s">
        <v>70</v>
      </c>
      <c r="G4634" s="72" t="s">
        <v>71</v>
      </c>
      <c r="H4634" s="72" t="s">
        <v>72</v>
      </c>
    </row>
    <row r="4635" spans="1:8" x14ac:dyDescent="0.25">
      <c r="A4635" s="43" t="s">
        <v>4808</v>
      </c>
      <c r="B4635" s="43" t="s">
        <v>73</v>
      </c>
      <c r="C4635" s="46">
        <v>15</v>
      </c>
      <c r="D4635" s="46">
        <v>420909.22872955602</v>
      </c>
      <c r="E4635" s="43">
        <v>33672.738298364486</v>
      </c>
      <c r="F4635" s="43" t="s">
        <v>87</v>
      </c>
      <c r="G4635" s="43" t="s">
        <v>71</v>
      </c>
      <c r="H4635" s="43" t="s">
        <v>88</v>
      </c>
    </row>
    <row r="4636" spans="1:8" x14ac:dyDescent="0.25">
      <c r="A4636" s="72" t="s">
        <v>4673</v>
      </c>
      <c r="B4636" s="72" t="s">
        <v>93</v>
      </c>
      <c r="C4636" s="73">
        <v>14</v>
      </c>
      <c r="D4636" s="73">
        <v>412020.57549922226</v>
      </c>
      <c r="E4636" s="72">
        <v>41202.057549922232</v>
      </c>
      <c r="F4636" s="72" t="s">
        <v>87</v>
      </c>
      <c r="G4636" s="72" t="s">
        <v>71</v>
      </c>
      <c r="H4636" s="72" t="s">
        <v>88</v>
      </c>
    </row>
    <row r="4637" spans="1:8" x14ac:dyDescent="0.25">
      <c r="A4637" s="43" t="s">
        <v>4778</v>
      </c>
      <c r="B4637" s="43" t="s">
        <v>73</v>
      </c>
      <c r="C4637" s="46">
        <v>14</v>
      </c>
      <c r="D4637" s="46">
        <v>402918.26292788645</v>
      </c>
      <c r="E4637" s="43">
        <v>36262.643663509778</v>
      </c>
      <c r="F4637" s="43" t="s">
        <v>87</v>
      </c>
      <c r="G4637" s="43" t="s">
        <v>71</v>
      </c>
      <c r="H4637" s="43" t="s">
        <v>88</v>
      </c>
    </row>
    <row r="4638" spans="1:8" x14ac:dyDescent="0.25">
      <c r="A4638" s="43" t="s">
        <v>4674</v>
      </c>
      <c r="B4638" s="43" t="s">
        <v>93</v>
      </c>
      <c r="C4638" s="46">
        <v>14</v>
      </c>
      <c r="D4638" s="46">
        <v>412020.57549922226</v>
      </c>
      <c r="E4638" s="43">
        <v>41202.057549922232</v>
      </c>
      <c r="F4638" s="43" t="s">
        <v>87</v>
      </c>
      <c r="G4638" s="43" t="s">
        <v>71</v>
      </c>
      <c r="H4638" s="43" t="s">
        <v>88</v>
      </c>
    </row>
    <row r="4639" spans="1:8" x14ac:dyDescent="0.25">
      <c r="A4639" s="72" t="s">
        <v>4675</v>
      </c>
      <c r="B4639" s="72" t="s">
        <v>73</v>
      </c>
      <c r="C4639" s="73">
        <v>14</v>
      </c>
      <c r="D4639" s="73">
        <v>412020.57549922226</v>
      </c>
      <c r="E4639" s="72">
        <v>41202.057549922232</v>
      </c>
      <c r="F4639" s="72" t="s">
        <v>87</v>
      </c>
      <c r="G4639" s="72" t="s">
        <v>71</v>
      </c>
      <c r="H4639" s="72" t="s">
        <v>88</v>
      </c>
    </row>
    <row r="4640" spans="1:8" x14ac:dyDescent="0.25">
      <c r="A4640" s="72" t="s">
        <v>4168</v>
      </c>
      <c r="B4640" s="72" t="s">
        <v>2379</v>
      </c>
      <c r="C4640" s="73">
        <v>14</v>
      </c>
      <c r="D4640" s="73">
        <v>433679.12497124344</v>
      </c>
      <c r="E4640" s="72">
        <v>60715.077495974074</v>
      </c>
      <c r="F4640" s="72" t="s">
        <v>70</v>
      </c>
      <c r="G4640" s="72" t="s">
        <v>71</v>
      </c>
      <c r="H4640" s="72" t="s">
        <v>72</v>
      </c>
    </row>
    <row r="4641" spans="1:8" x14ac:dyDescent="0.25">
      <c r="A4641" s="43" t="s">
        <v>4676</v>
      </c>
      <c r="B4641" s="43" t="s">
        <v>73</v>
      </c>
      <c r="C4641" s="46">
        <v>14</v>
      </c>
      <c r="D4641" s="46">
        <v>412020.57549922226</v>
      </c>
      <c r="E4641" s="43">
        <v>41202.057549922232</v>
      </c>
      <c r="F4641" s="43" t="s">
        <v>87</v>
      </c>
      <c r="G4641" s="43" t="s">
        <v>71</v>
      </c>
      <c r="H4641" s="43" t="s">
        <v>88</v>
      </c>
    </row>
    <row r="4642" spans="1:8" x14ac:dyDescent="0.25">
      <c r="A4642" s="43" t="s">
        <v>4932</v>
      </c>
      <c r="B4642" s="43" t="s">
        <v>73</v>
      </c>
      <c r="C4642" s="46">
        <v>14</v>
      </c>
      <c r="D4642" s="46">
        <v>380892.39176652994</v>
      </c>
      <c r="E4642" s="43">
        <v>26662.467423657094</v>
      </c>
      <c r="F4642" s="43" t="s">
        <v>87</v>
      </c>
      <c r="G4642" s="43" t="s">
        <v>71</v>
      </c>
      <c r="H4642" s="43" t="s">
        <v>88</v>
      </c>
    </row>
    <row r="4643" spans="1:8" x14ac:dyDescent="0.25">
      <c r="A4643" s="72" t="s">
        <v>4946</v>
      </c>
      <c r="B4643" s="72" t="s">
        <v>93</v>
      </c>
      <c r="C4643" s="73">
        <v>14</v>
      </c>
      <c r="D4643" s="73">
        <v>324394.13260216074</v>
      </c>
      <c r="E4643" s="72">
        <v>25951.53060817286</v>
      </c>
      <c r="F4643" s="72" t="s">
        <v>106</v>
      </c>
      <c r="G4643" s="72" t="s">
        <v>71</v>
      </c>
      <c r="H4643" s="72" t="s">
        <v>72</v>
      </c>
    </row>
    <row r="4644" spans="1:8" x14ac:dyDescent="0.25">
      <c r="A4644" s="72" t="s">
        <v>4258</v>
      </c>
      <c r="B4644" s="72" t="s">
        <v>73</v>
      </c>
      <c r="C4644" s="73">
        <v>14</v>
      </c>
      <c r="D4644" s="73">
        <v>434767.6045483303</v>
      </c>
      <c r="E4644" s="72">
        <v>56519.788591282944</v>
      </c>
      <c r="F4644" s="72" t="s">
        <v>87</v>
      </c>
      <c r="G4644" s="72" t="s">
        <v>71</v>
      </c>
      <c r="H4644" s="72" t="s">
        <v>88</v>
      </c>
    </row>
    <row r="4645" spans="1:8" x14ac:dyDescent="0.25">
      <c r="A4645" s="72" t="s">
        <v>4677</v>
      </c>
      <c r="B4645" s="72" t="s">
        <v>93</v>
      </c>
      <c r="C4645" s="73">
        <v>14</v>
      </c>
      <c r="D4645" s="73">
        <v>412020.57549922226</v>
      </c>
      <c r="E4645" s="72">
        <v>41202.057549922232</v>
      </c>
      <c r="F4645" s="72" t="s">
        <v>87</v>
      </c>
      <c r="G4645" s="72" t="s">
        <v>71</v>
      </c>
      <c r="H4645" s="72" t="s">
        <v>88</v>
      </c>
    </row>
    <row r="4646" spans="1:8" x14ac:dyDescent="0.25">
      <c r="A4646" s="43" t="s">
        <v>4259</v>
      </c>
      <c r="B4646" s="43" t="s">
        <v>73</v>
      </c>
      <c r="C4646" s="46">
        <v>14</v>
      </c>
      <c r="D4646" s="46">
        <v>434767.6045483303</v>
      </c>
      <c r="E4646" s="43">
        <v>56519.788591282944</v>
      </c>
      <c r="F4646" s="43" t="s">
        <v>87</v>
      </c>
      <c r="G4646" s="43" t="s">
        <v>71</v>
      </c>
      <c r="H4646" s="43" t="s">
        <v>88</v>
      </c>
    </row>
    <row r="4647" spans="1:8" x14ac:dyDescent="0.25">
      <c r="A4647" s="43" t="s">
        <v>4169</v>
      </c>
      <c r="B4647" s="43" t="s">
        <v>73</v>
      </c>
      <c r="C4647" s="46">
        <v>14</v>
      </c>
      <c r="D4647" s="46">
        <v>433679.12497124344</v>
      </c>
      <c r="E4647" s="43">
        <v>60715.077495974074</v>
      </c>
      <c r="F4647" s="43" t="s">
        <v>70</v>
      </c>
      <c r="G4647" s="43" t="s">
        <v>71</v>
      </c>
      <c r="H4647" s="43" t="s">
        <v>72</v>
      </c>
    </row>
    <row r="4648" spans="1:8" x14ac:dyDescent="0.25">
      <c r="A4648" s="43" t="s">
        <v>4461</v>
      </c>
      <c r="B4648" s="43" t="s">
        <v>93</v>
      </c>
      <c r="C4648" s="46">
        <v>14</v>
      </c>
      <c r="D4648" s="46">
        <v>414330.76966371981</v>
      </c>
      <c r="E4648" s="43">
        <v>49719.692359646389</v>
      </c>
      <c r="F4648" s="43" t="s">
        <v>70</v>
      </c>
      <c r="G4648" s="43" t="s">
        <v>71</v>
      </c>
      <c r="H4648" s="43" t="s">
        <v>72</v>
      </c>
    </row>
    <row r="4649" spans="1:8" x14ac:dyDescent="0.25">
      <c r="A4649" s="43" t="s">
        <v>4307</v>
      </c>
      <c r="B4649" s="43" t="s">
        <v>73</v>
      </c>
      <c r="C4649" s="46">
        <v>14</v>
      </c>
      <c r="D4649" s="46">
        <v>424328.16734183626</v>
      </c>
      <c r="E4649" s="43">
        <v>55162.661754438719</v>
      </c>
      <c r="F4649" s="43" t="s">
        <v>70</v>
      </c>
      <c r="G4649" s="43" t="s">
        <v>71</v>
      </c>
      <c r="H4649" s="43" t="s">
        <v>72</v>
      </c>
    </row>
    <row r="4650" spans="1:8" x14ac:dyDescent="0.25">
      <c r="A4650" s="72" t="s">
        <v>4260</v>
      </c>
      <c r="B4650" s="72" t="s">
        <v>73</v>
      </c>
      <c r="C4650" s="73">
        <v>14</v>
      </c>
      <c r="D4650" s="73">
        <v>434767.6045483303</v>
      </c>
      <c r="E4650" s="72">
        <v>56519.788591282944</v>
      </c>
      <c r="F4650" s="72" t="s">
        <v>87</v>
      </c>
      <c r="G4650" s="72" t="s">
        <v>71</v>
      </c>
      <c r="H4650" s="72" t="s">
        <v>88</v>
      </c>
    </row>
    <row r="4651" spans="1:8" x14ac:dyDescent="0.25">
      <c r="A4651" s="72" t="s">
        <v>4462</v>
      </c>
      <c r="B4651" s="72" t="s">
        <v>73</v>
      </c>
      <c r="C4651" s="73">
        <v>14</v>
      </c>
      <c r="D4651" s="73">
        <v>414330.76966371981</v>
      </c>
      <c r="E4651" s="72">
        <v>49719.692359646389</v>
      </c>
      <c r="F4651" s="72" t="s">
        <v>70</v>
      </c>
      <c r="G4651" s="72" t="s">
        <v>71</v>
      </c>
      <c r="H4651" s="72" t="s">
        <v>72</v>
      </c>
    </row>
    <row r="4652" spans="1:8" x14ac:dyDescent="0.25">
      <c r="A4652" s="72" t="s">
        <v>4759</v>
      </c>
      <c r="B4652" s="72" t="s">
        <v>73</v>
      </c>
      <c r="C4652" s="73">
        <v>14</v>
      </c>
      <c r="D4652" s="73">
        <v>337990.59470442124</v>
      </c>
      <c r="E4652" s="72">
        <v>37178.965417486339</v>
      </c>
      <c r="F4652" s="72" t="s">
        <v>106</v>
      </c>
      <c r="G4652" s="72" t="s">
        <v>71</v>
      </c>
      <c r="H4652" s="72" t="s">
        <v>72</v>
      </c>
    </row>
    <row r="4653" spans="1:8" x14ac:dyDescent="0.25">
      <c r="A4653" s="72" t="s">
        <v>4308</v>
      </c>
      <c r="B4653" s="72" t="s">
        <v>73</v>
      </c>
      <c r="C4653" s="73">
        <v>14</v>
      </c>
      <c r="D4653" s="73">
        <v>424328.16734183626</v>
      </c>
      <c r="E4653" s="72">
        <v>55162.661754438719</v>
      </c>
      <c r="F4653" s="72" t="s">
        <v>70</v>
      </c>
      <c r="G4653" s="72" t="s">
        <v>71</v>
      </c>
      <c r="H4653" s="72" t="s">
        <v>72</v>
      </c>
    </row>
    <row r="4654" spans="1:8" x14ac:dyDescent="0.25">
      <c r="A4654" s="43" t="s">
        <v>4463</v>
      </c>
      <c r="B4654" s="43" t="s">
        <v>93</v>
      </c>
      <c r="C4654" s="46">
        <v>14</v>
      </c>
      <c r="D4654" s="46">
        <v>414330.76966371981</v>
      </c>
      <c r="E4654" s="43">
        <v>49719.692359646389</v>
      </c>
      <c r="F4654" s="43" t="s">
        <v>70</v>
      </c>
      <c r="G4654" s="43" t="s">
        <v>71</v>
      </c>
      <c r="H4654" s="43" t="s">
        <v>72</v>
      </c>
    </row>
    <row r="4655" spans="1:8" x14ac:dyDescent="0.25">
      <c r="A4655" s="43" t="s">
        <v>4678</v>
      </c>
      <c r="B4655" s="43" t="s">
        <v>93</v>
      </c>
      <c r="C4655" s="46">
        <v>14</v>
      </c>
      <c r="D4655" s="46">
        <v>412020.57549922226</v>
      </c>
      <c r="E4655" s="43">
        <v>41202.057549922232</v>
      </c>
      <c r="F4655" s="43" t="s">
        <v>87</v>
      </c>
      <c r="G4655" s="43" t="s">
        <v>71</v>
      </c>
      <c r="H4655" s="43" t="s">
        <v>88</v>
      </c>
    </row>
    <row r="4656" spans="1:8" x14ac:dyDescent="0.25">
      <c r="A4656" s="43" t="s">
        <v>4261</v>
      </c>
      <c r="B4656" s="43" t="s">
        <v>93</v>
      </c>
      <c r="C4656" s="46">
        <v>14</v>
      </c>
      <c r="D4656" s="46">
        <v>434767.6045483303</v>
      </c>
      <c r="E4656" s="43">
        <v>56519.788591282944</v>
      </c>
      <c r="F4656" s="43" t="s">
        <v>87</v>
      </c>
      <c r="G4656" s="43" t="s">
        <v>71</v>
      </c>
      <c r="H4656" s="43" t="s">
        <v>88</v>
      </c>
    </row>
    <row r="4657" spans="1:8" x14ac:dyDescent="0.25">
      <c r="A4657" s="72" t="s">
        <v>3329</v>
      </c>
      <c r="B4657" s="72" t="s">
        <v>93</v>
      </c>
      <c r="C4657" s="73">
        <v>14</v>
      </c>
      <c r="D4657" s="73">
        <v>427793.11302473198</v>
      </c>
      <c r="E4657" s="72">
        <v>51335.173562967837</v>
      </c>
      <c r="F4657" s="72" t="s">
        <v>87</v>
      </c>
      <c r="G4657" s="72" t="s">
        <v>71</v>
      </c>
      <c r="H4657" s="72" t="s">
        <v>88</v>
      </c>
    </row>
    <row r="4658" spans="1:8" x14ac:dyDescent="0.25">
      <c r="A4658" s="72" t="s">
        <v>4262</v>
      </c>
      <c r="B4658" s="72" t="s">
        <v>73</v>
      </c>
      <c r="C4658" s="73">
        <v>14</v>
      </c>
      <c r="D4658" s="73">
        <v>434767.6045483303</v>
      </c>
      <c r="E4658" s="72">
        <v>56519.788591282944</v>
      </c>
      <c r="F4658" s="72" t="s">
        <v>87</v>
      </c>
      <c r="G4658" s="72" t="s">
        <v>71</v>
      </c>
      <c r="H4658" s="72" t="s">
        <v>88</v>
      </c>
    </row>
    <row r="4659" spans="1:8" x14ac:dyDescent="0.25">
      <c r="A4659" s="72" t="s">
        <v>4779</v>
      </c>
      <c r="B4659" s="72" t="s">
        <v>93</v>
      </c>
      <c r="C4659" s="73">
        <v>14</v>
      </c>
      <c r="D4659" s="73">
        <v>402918.26292788645</v>
      </c>
      <c r="E4659" s="72">
        <v>36262.643663509778</v>
      </c>
      <c r="F4659" s="72" t="s">
        <v>87</v>
      </c>
      <c r="G4659" s="72" t="s">
        <v>71</v>
      </c>
      <c r="H4659" s="72" t="s">
        <v>88</v>
      </c>
    </row>
    <row r="4660" spans="1:8" x14ac:dyDescent="0.25">
      <c r="A4660" s="72" t="s">
        <v>4547</v>
      </c>
      <c r="B4660" s="72" t="s">
        <v>93</v>
      </c>
      <c r="C4660" s="73">
        <v>14</v>
      </c>
      <c r="D4660" s="73">
        <v>420252.86868869606</v>
      </c>
      <c r="E4660" s="72">
        <v>46227.81555575657</v>
      </c>
      <c r="F4660" s="72" t="s">
        <v>87</v>
      </c>
      <c r="G4660" s="72" t="s">
        <v>71</v>
      </c>
      <c r="H4660" s="72" t="s">
        <v>88</v>
      </c>
    </row>
    <row r="4661" spans="1:8" x14ac:dyDescent="0.25">
      <c r="A4661" s="43" t="s">
        <v>4413</v>
      </c>
      <c r="B4661" s="43" t="s">
        <v>93</v>
      </c>
      <c r="C4661" s="46">
        <v>14</v>
      </c>
      <c r="D4661" s="46">
        <v>427793.11302473198</v>
      </c>
      <c r="E4661" s="43">
        <v>51335.173562967837</v>
      </c>
      <c r="F4661" s="43" t="s">
        <v>87</v>
      </c>
      <c r="G4661" s="43" t="s">
        <v>71</v>
      </c>
      <c r="H4661" s="43" t="s">
        <v>88</v>
      </c>
    </row>
    <row r="4662" spans="1:8" x14ac:dyDescent="0.25">
      <c r="A4662" s="72" t="s">
        <v>4933</v>
      </c>
      <c r="B4662" s="72" t="s">
        <v>93</v>
      </c>
      <c r="C4662" s="73">
        <v>14</v>
      </c>
      <c r="D4662" s="73">
        <v>380892.39176652994</v>
      </c>
      <c r="E4662" s="72">
        <v>26662.467423657094</v>
      </c>
      <c r="F4662" s="72" t="s">
        <v>87</v>
      </c>
      <c r="G4662" s="72" t="s">
        <v>71</v>
      </c>
      <c r="H4662" s="72" t="s">
        <v>88</v>
      </c>
    </row>
    <row r="4663" spans="1:8" x14ac:dyDescent="0.25">
      <c r="A4663" s="72" t="s">
        <v>4681</v>
      </c>
      <c r="B4663" s="72" t="s">
        <v>2379</v>
      </c>
      <c r="C4663" s="73">
        <v>14</v>
      </c>
      <c r="D4663" s="73">
        <v>341707.86580222845</v>
      </c>
      <c r="E4663" s="72">
        <v>41004.94389626741</v>
      </c>
      <c r="F4663" s="72" t="s">
        <v>106</v>
      </c>
      <c r="G4663" s="72" t="s">
        <v>71</v>
      </c>
      <c r="H4663" s="72" t="s">
        <v>72</v>
      </c>
    </row>
    <row r="4664" spans="1:8" x14ac:dyDescent="0.25">
      <c r="A4664" s="72" t="s">
        <v>4414</v>
      </c>
      <c r="B4664" s="72" t="s">
        <v>93</v>
      </c>
      <c r="C4664" s="73">
        <v>14</v>
      </c>
      <c r="D4664" s="73">
        <v>427793.11302473198</v>
      </c>
      <c r="E4664" s="72">
        <v>51335.173562967837</v>
      </c>
      <c r="F4664" s="72" t="s">
        <v>87</v>
      </c>
      <c r="G4664" s="72" t="s">
        <v>71</v>
      </c>
      <c r="H4664" s="72" t="s">
        <v>88</v>
      </c>
    </row>
    <row r="4665" spans="1:8" x14ac:dyDescent="0.25">
      <c r="A4665" s="72" t="s">
        <v>4679</v>
      </c>
      <c r="B4665" s="72" t="s">
        <v>93</v>
      </c>
      <c r="C4665" s="73">
        <v>14</v>
      </c>
      <c r="D4665" s="73">
        <v>412020.57549922226</v>
      </c>
      <c r="E4665" s="72">
        <v>41202.057549922232</v>
      </c>
      <c r="F4665" s="72" t="s">
        <v>87</v>
      </c>
      <c r="G4665" s="72" t="s">
        <v>71</v>
      </c>
      <c r="H4665" s="72" t="s">
        <v>88</v>
      </c>
    </row>
    <row r="4666" spans="1:8" x14ac:dyDescent="0.25">
      <c r="A4666" s="43" t="s">
        <v>4934</v>
      </c>
      <c r="B4666" s="43" t="s">
        <v>93</v>
      </c>
      <c r="C4666" s="46">
        <v>14</v>
      </c>
      <c r="D4666" s="46">
        <v>380892.39176652994</v>
      </c>
      <c r="E4666" s="43">
        <v>26662.467423657094</v>
      </c>
      <c r="F4666" s="43" t="s">
        <v>87</v>
      </c>
      <c r="G4666" s="43" t="s">
        <v>71</v>
      </c>
      <c r="H4666" s="43" t="s">
        <v>88</v>
      </c>
    </row>
    <row r="4667" spans="1:8" x14ac:dyDescent="0.25">
      <c r="A4667" s="43" t="s">
        <v>4415</v>
      </c>
      <c r="B4667" s="43" t="s">
        <v>2379</v>
      </c>
      <c r="C4667" s="46">
        <v>13</v>
      </c>
      <c r="D4667" s="46">
        <v>393841.23463711585</v>
      </c>
      <c r="E4667" s="43">
        <v>51199.36050282506</v>
      </c>
      <c r="F4667" s="43" t="s">
        <v>70</v>
      </c>
      <c r="G4667" s="43" t="s">
        <v>71</v>
      </c>
      <c r="H4667" s="43" t="s">
        <v>72</v>
      </c>
    </row>
    <row r="4668" spans="1:8" x14ac:dyDescent="0.25">
      <c r="A4668" s="43" t="s">
        <v>4379</v>
      </c>
      <c r="B4668" s="43" t="s">
        <v>93</v>
      </c>
      <c r="C4668" s="46">
        <v>13</v>
      </c>
      <c r="D4668" s="46">
        <v>403558.2046702556</v>
      </c>
      <c r="E4668" s="43">
        <v>52462.566607133231</v>
      </c>
      <c r="F4668" s="43" t="s">
        <v>87</v>
      </c>
      <c r="G4668" s="43" t="s">
        <v>71</v>
      </c>
      <c r="H4668" s="43" t="s">
        <v>88</v>
      </c>
    </row>
    <row r="4669" spans="1:8" x14ac:dyDescent="0.25">
      <c r="A4669" s="43" t="s">
        <v>4736</v>
      </c>
      <c r="B4669" s="43" t="s">
        <v>73</v>
      </c>
      <c r="C4669" s="46">
        <v>13</v>
      </c>
      <c r="D4669" s="46">
        <v>382435.96341036953</v>
      </c>
      <c r="E4669" s="43">
        <v>38243.596341036951</v>
      </c>
      <c r="F4669" s="43" t="s">
        <v>87</v>
      </c>
      <c r="G4669" s="43" t="s">
        <v>71</v>
      </c>
      <c r="H4669" s="43" t="s">
        <v>88</v>
      </c>
    </row>
    <row r="4670" spans="1:8" x14ac:dyDescent="0.25">
      <c r="A4670" s="43" t="s">
        <v>4501</v>
      </c>
      <c r="B4670" s="43" t="s">
        <v>73</v>
      </c>
      <c r="C4670" s="46">
        <v>13</v>
      </c>
      <c r="D4670" s="46">
        <v>397081.89111262851</v>
      </c>
      <c r="E4670" s="43">
        <v>47649.826933515418</v>
      </c>
      <c r="F4670" s="43" t="s">
        <v>87</v>
      </c>
      <c r="G4670" s="43" t="s">
        <v>71</v>
      </c>
      <c r="H4670" s="43" t="s">
        <v>88</v>
      </c>
    </row>
    <row r="4671" spans="1:8" x14ac:dyDescent="0.25">
      <c r="A4671" s="72" t="s">
        <v>4268</v>
      </c>
      <c r="B4671" s="72" t="s">
        <v>75</v>
      </c>
      <c r="C4671" s="73">
        <v>13</v>
      </c>
      <c r="D4671" s="73">
        <v>402524.26672156528</v>
      </c>
      <c r="E4671" s="72">
        <v>56353.397341019132</v>
      </c>
      <c r="F4671" s="72" t="s">
        <v>70</v>
      </c>
      <c r="G4671" s="72" t="s">
        <v>71</v>
      </c>
      <c r="H4671" s="72" t="s">
        <v>72</v>
      </c>
    </row>
    <row r="4672" spans="1:8" x14ac:dyDescent="0.25">
      <c r="A4672" s="43" t="s">
        <v>4269</v>
      </c>
      <c r="B4672" s="43" t="s">
        <v>73</v>
      </c>
      <c r="C4672" s="46">
        <v>13</v>
      </c>
      <c r="D4672" s="46">
        <v>402524.26672156528</v>
      </c>
      <c r="E4672" s="43">
        <v>56353.397341019132</v>
      </c>
      <c r="F4672" s="43" t="s">
        <v>70</v>
      </c>
      <c r="G4672" s="43" t="s">
        <v>71</v>
      </c>
      <c r="H4672" s="43" t="s">
        <v>72</v>
      </c>
    </row>
    <row r="4673" spans="1:8" x14ac:dyDescent="0.25">
      <c r="A4673" s="72" t="s">
        <v>4380</v>
      </c>
      <c r="B4673" s="72" t="s">
        <v>93</v>
      </c>
      <c r="C4673" s="73">
        <v>13</v>
      </c>
      <c r="D4673" s="73">
        <v>403558.2046702556</v>
      </c>
      <c r="E4673" s="72">
        <v>52462.566607133231</v>
      </c>
      <c r="F4673" s="72" t="s">
        <v>87</v>
      </c>
      <c r="G4673" s="72" t="s">
        <v>71</v>
      </c>
      <c r="H4673" s="72" t="s">
        <v>88</v>
      </c>
    </row>
    <row r="4674" spans="1:8" x14ac:dyDescent="0.25">
      <c r="A4674" s="72" t="s">
        <v>4270</v>
      </c>
      <c r="B4674" s="72" t="s">
        <v>77</v>
      </c>
      <c r="C4674" s="73">
        <v>13</v>
      </c>
      <c r="D4674" s="73">
        <v>402524.26672156528</v>
      </c>
      <c r="E4674" s="72">
        <v>56353.397341019132</v>
      </c>
      <c r="F4674" s="72" t="s">
        <v>70</v>
      </c>
      <c r="G4674" s="72" t="s">
        <v>71</v>
      </c>
      <c r="H4674" s="72" t="s">
        <v>72</v>
      </c>
    </row>
    <row r="4675" spans="1:8" x14ac:dyDescent="0.25">
      <c r="A4675" s="72" t="s">
        <v>4809</v>
      </c>
      <c r="B4675" s="72" t="s">
        <v>93</v>
      </c>
      <c r="C4675" s="73">
        <v>13</v>
      </c>
      <c r="D4675" s="73">
        <v>373983.81602270057</v>
      </c>
      <c r="E4675" s="72">
        <v>33658.543442043054</v>
      </c>
      <c r="F4675" s="72" t="s">
        <v>87</v>
      </c>
      <c r="G4675" s="72" t="s">
        <v>71</v>
      </c>
      <c r="H4675" s="72" t="s">
        <v>88</v>
      </c>
    </row>
    <row r="4676" spans="1:8" x14ac:dyDescent="0.25">
      <c r="A4676" s="72" t="s">
        <v>4890</v>
      </c>
      <c r="B4676" s="72" t="s">
        <v>102</v>
      </c>
      <c r="C4676" s="73">
        <v>13</v>
      </c>
      <c r="D4676" s="73">
        <v>364478.73400130199</v>
      </c>
      <c r="E4676" s="72">
        <v>29158.298720104158</v>
      </c>
      <c r="F4676" s="72" t="s">
        <v>87</v>
      </c>
      <c r="G4676" s="72" t="s">
        <v>71</v>
      </c>
      <c r="H4676" s="72" t="s">
        <v>88</v>
      </c>
    </row>
    <row r="4677" spans="1:8" x14ac:dyDescent="0.25">
      <c r="A4677" s="72" t="s">
        <v>4621</v>
      </c>
      <c r="B4677" s="72" t="s">
        <v>73</v>
      </c>
      <c r="C4677" s="73">
        <v>13</v>
      </c>
      <c r="D4677" s="73">
        <v>390080.23565773794</v>
      </c>
      <c r="E4677" s="72">
        <v>42908.825922351178</v>
      </c>
      <c r="F4677" s="72" t="s">
        <v>87</v>
      </c>
      <c r="G4677" s="72" t="s">
        <v>71</v>
      </c>
      <c r="H4677" s="72" t="s">
        <v>88</v>
      </c>
    </row>
    <row r="4678" spans="1:8" x14ac:dyDescent="0.25">
      <c r="A4678" s="43" t="s">
        <v>4956</v>
      </c>
      <c r="B4678" s="43" t="s">
        <v>75</v>
      </c>
      <c r="C4678" s="46">
        <v>13</v>
      </c>
      <c r="D4678" s="46">
        <v>301049.53646482044</v>
      </c>
      <c r="E4678" s="43">
        <v>24083.962917185636</v>
      </c>
      <c r="F4678" s="43" t="s">
        <v>106</v>
      </c>
      <c r="G4678" s="43" t="s">
        <v>71</v>
      </c>
      <c r="H4678" s="43" t="s">
        <v>72</v>
      </c>
    </row>
    <row r="4679" spans="1:8" x14ac:dyDescent="0.25">
      <c r="A4679" s="72" t="s">
        <v>4416</v>
      </c>
      <c r="B4679" s="72" t="s">
        <v>74</v>
      </c>
      <c r="C4679" s="73">
        <v>13</v>
      </c>
      <c r="D4679" s="73">
        <v>393841.23463711585</v>
      </c>
      <c r="E4679" s="72">
        <v>51199.36050282506</v>
      </c>
      <c r="F4679" s="72" t="s">
        <v>70</v>
      </c>
      <c r="G4679" s="72" t="s">
        <v>71</v>
      </c>
      <c r="H4679" s="72" t="s">
        <v>72</v>
      </c>
    </row>
    <row r="4680" spans="1:8" x14ac:dyDescent="0.25">
      <c r="A4680" s="43" t="s">
        <v>4622</v>
      </c>
      <c r="B4680" s="43" t="s">
        <v>93</v>
      </c>
      <c r="C4680" s="46">
        <v>13</v>
      </c>
      <c r="D4680" s="46">
        <v>390080.23565773794</v>
      </c>
      <c r="E4680" s="43">
        <v>42908.825922351178</v>
      </c>
      <c r="F4680" s="43" t="s">
        <v>87</v>
      </c>
      <c r="G4680" s="43" t="s">
        <v>71</v>
      </c>
      <c r="H4680" s="43" t="s">
        <v>88</v>
      </c>
    </row>
    <row r="4681" spans="1:8" x14ac:dyDescent="0.25">
      <c r="A4681" s="72" t="s">
        <v>4737</v>
      </c>
      <c r="B4681" s="72" t="s">
        <v>93</v>
      </c>
      <c r="C4681" s="73">
        <v>13</v>
      </c>
      <c r="D4681" s="73">
        <v>382435.96341036953</v>
      </c>
      <c r="E4681" s="72">
        <v>38243.596341036951</v>
      </c>
      <c r="F4681" s="72" t="s">
        <v>87</v>
      </c>
      <c r="G4681" s="72" t="s">
        <v>71</v>
      </c>
      <c r="H4681" s="72" t="s">
        <v>88</v>
      </c>
    </row>
    <row r="4682" spans="1:8" x14ac:dyDescent="0.25">
      <c r="A4682" s="72" t="s">
        <v>4502</v>
      </c>
      <c r="B4682" s="72" t="s">
        <v>93</v>
      </c>
      <c r="C4682" s="73">
        <v>13</v>
      </c>
      <c r="D4682" s="73">
        <v>397081.89111262851</v>
      </c>
      <c r="E4682" s="72">
        <v>47649.826933515418</v>
      </c>
      <c r="F4682" s="72" t="s">
        <v>87</v>
      </c>
      <c r="G4682" s="72" t="s">
        <v>71</v>
      </c>
      <c r="H4682" s="72" t="s">
        <v>88</v>
      </c>
    </row>
    <row r="4683" spans="1:8" x14ac:dyDescent="0.25">
      <c r="A4683" s="43" t="s">
        <v>4738</v>
      </c>
      <c r="B4683" s="43" t="s">
        <v>93</v>
      </c>
      <c r="C4683" s="46">
        <v>13</v>
      </c>
      <c r="D4683" s="46">
        <v>382435.96341036953</v>
      </c>
      <c r="E4683" s="43">
        <v>38243.596341036951</v>
      </c>
      <c r="F4683" s="43" t="s">
        <v>87</v>
      </c>
      <c r="G4683" s="43" t="s">
        <v>71</v>
      </c>
      <c r="H4683" s="43" t="s">
        <v>88</v>
      </c>
    </row>
    <row r="4684" spans="1:8" x14ac:dyDescent="0.25">
      <c r="A4684" s="72" t="s">
        <v>4739</v>
      </c>
      <c r="B4684" s="72" t="s">
        <v>93</v>
      </c>
      <c r="C4684" s="73">
        <v>13</v>
      </c>
      <c r="D4684" s="73">
        <v>382435.96341036953</v>
      </c>
      <c r="E4684" s="72">
        <v>38243.596341036951</v>
      </c>
      <c r="F4684" s="72" t="s">
        <v>87</v>
      </c>
      <c r="G4684" s="72" t="s">
        <v>71</v>
      </c>
      <c r="H4684" s="72" t="s">
        <v>88</v>
      </c>
    </row>
    <row r="4685" spans="1:8" x14ac:dyDescent="0.25">
      <c r="A4685" s="43" t="s">
        <v>4373</v>
      </c>
      <c r="B4685" s="43" t="s">
        <v>75</v>
      </c>
      <c r="C4685" s="46">
        <v>13</v>
      </c>
      <c r="D4685" s="46">
        <v>404684.86421118921</v>
      </c>
      <c r="E4685" s="43">
        <v>52609.032347454602</v>
      </c>
      <c r="F4685" s="43" t="s">
        <v>78</v>
      </c>
      <c r="G4685" s="43" t="s">
        <v>71</v>
      </c>
      <c r="H4685" s="43" t="s">
        <v>72</v>
      </c>
    </row>
    <row r="4686" spans="1:8" x14ac:dyDescent="0.25">
      <c r="A4686" s="43" t="s">
        <v>4503</v>
      </c>
      <c r="B4686" s="43" t="s">
        <v>202</v>
      </c>
      <c r="C4686" s="46">
        <v>13</v>
      </c>
      <c r="D4686" s="46">
        <v>397081.89111262851</v>
      </c>
      <c r="E4686" s="43">
        <v>47649.826933515418</v>
      </c>
      <c r="F4686" s="43" t="s">
        <v>87</v>
      </c>
      <c r="G4686" s="43" t="s">
        <v>71</v>
      </c>
      <c r="H4686" s="43" t="s">
        <v>88</v>
      </c>
    </row>
    <row r="4687" spans="1:8" x14ac:dyDescent="0.25">
      <c r="A4687" s="43" t="s">
        <v>4810</v>
      </c>
      <c r="B4687" s="43" t="s">
        <v>93</v>
      </c>
      <c r="C4687" s="46">
        <v>13</v>
      </c>
      <c r="D4687" s="46">
        <v>373983.81602270057</v>
      </c>
      <c r="E4687" s="43">
        <v>33658.543442043054</v>
      </c>
      <c r="F4687" s="43" t="s">
        <v>87</v>
      </c>
      <c r="G4687" s="43" t="s">
        <v>71</v>
      </c>
      <c r="H4687" s="43" t="s">
        <v>88</v>
      </c>
    </row>
    <row r="4688" spans="1:8" x14ac:dyDescent="0.25">
      <c r="A4688" s="43" t="s">
        <v>4860</v>
      </c>
      <c r="B4688" s="43" t="s">
        <v>93</v>
      </c>
      <c r="C4688" s="46">
        <v>12</v>
      </c>
      <c r="D4688" s="46">
        <v>345073.26204161131</v>
      </c>
      <c r="E4688" s="43">
        <v>31056.593583745016</v>
      </c>
      <c r="F4688" s="43" t="s">
        <v>87</v>
      </c>
      <c r="G4688" s="43" t="s">
        <v>71</v>
      </c>
      <c r="H4688" s="43" t="s">
        <v>88</v>
      </c>
    </row>
    <row r="4689" spans="1:8" x14ac:dyDescent="0.25">
      <c r="A4689" s="43" t="s">
        <v>4714</v>
      </c>
      <c r="B4689" s="43" t="s">
        <v>73</v>
      </c>
      <c r="C4689" s="46">
        <v>12</v>
      </c>
      <c r="D4689" s="46">
        <v>359931.4955508766</v>
      </c>
      <c r="E4689" s="43">
        <v>39592.46451059643</v>
      </c>
      <c r="F4689" s="43" t="s">
        <v>87</v>
      </c>
      <c r="G4689" s="43" t="s">
        <v>71</v>
      </c>
      <c r="H4689" s="43" t="s">
        <v>88</v>
      </c>
    </row>
    <row r="4690" spans="1:8" x14ac:dyDescent="0.25">
      <c r="A4690" s="72" t="s">
        <v>4715</v>
      </c>
      <c r="B4690" s="72" t="s">
        <v>93</v>
      </c>
      <c r="C4690" s="73">
        <v>12</v>
      </c>
      <c r="D4690" s="73">
        <v>359931.4955508766</v>
      </c>
      <c r="E4690" s="72">
        <v>39592.46451059643</v>
      </c>
      <c r="F4690" s="72" t="s">
        <v>87</v>
      </c>
      <c r="G4690" s="72" t="s">
        <v>71</v>
      </c>
      <c r="H4690" s="72" t="s">
        <v>88</v>
      </c>
    </row>
    <row r="4691" spans="1:8" x14ac:dyDescent="0.25">
      <c r="A4691" s="72" t="s">
        <v>4918</v>
      </c>
      <c r="B4691" s="72" t="s">
        <v>93</v>
      </c>
      <c r="C4691" s="73">
        <v>12</v>
      </c>
      <c r="D4691" s="73">
        <v>336299.34017570491</v>
      </c>
      <c r="E4691" s="72">
        <v>26903.947214056392</v>
      </c>
      <c r="F4691" s="72" t="s">
        <v>87</v>
      </c>
      <c r="G4691" s="72" t="s">
        <v>71</v>
      </c>
      <c r="H4691" s="72" t="s">
        <v>88</v>
      </c>
    </row>
    <row r="4692" spans="1:8" x14ac:dyDescent="0.25">
      <c r="A4692" s="72" t="s">
        <v>4784</v>
      </c>
      <c r="B4692" s="72" t="s">
        <v>93</v>
      </c>
      <c r="C4692" s="73">
        <v>12</v>
      </c>
      <c r="D4692" s="73">
        <v>352875.2442456134</v>
      </c>
      <c r="E4692" s="72">
        <v>35287.524424561343</v>
      </c>
      <c r="F4692" s="72" t="s">
        <v>87</v>
      </c>
      <c r="G4692" s="72" t="s">
        <v>71</v>
      </c>
      <c r="H4692" s="72" t="s">
        <v>88</v>
      </c>
    </row>
    <row r="4693" spans="1:8" x14ac:dyDescent="0.25">
      <c r="A4693" s="72" t="s">
        <v>4861</v>
      </c>
      <c r="B4693" s="72" t="s">
        <v>93</v>
      </c>
      <c r="C4693" s="73">
        <v>12</v>
      </c>
      <c r="D4693" s="73">
        <v>345073.26204161131</v>
      </c>
      <c r="E4693" s="72">
        <v>31056.593583745016</v>
      </c>
      <c r="F4693" s="72" t="s">
        <v>87</v>
      </c>
      <c r="G4693" s="72" t="s">
        <v>71</v>
      </c>
      <c r="H4693" s="72" t="s">
        <v>88</v>
      </c>
    </row>
    <row r="4694" spans="1:8" x14ac:dyDescent="0.25">
      <c r="A4694" s="43" t="s">
        <v>4785</v>
      </c>
      <c r="B4694" s="43" t="s">
        <v>73</v>
      </c>
      <c r="C4694" s="46">
        <v>12</v>
      </c>
      <c r="D4694" s="46">
        <v>352875.2442456134</v>
      </c>
      <c r="E4694" s="43">
        <v>35287.524424561343</v>
      </c>
      <c r="F4694" s="43" t="s">
        <v>87</v>
      </c>
      <c r="G4694" s="43" t="s">
        <v>71</v>
      </c>
      <c r="H4694" s="43" t="s">
        <v>88</v>
      </c>
    </row>
    <row r="4695" spans="1:8" x14ac:dyDescent="0.25">
      <c r="A4695" s="72" t="s">
        <v>4136</v>
      </c>
      <c r="B4695" s="72" t="s">
        <v>2379</v>
      </c>
      <c r="C4695" s="73">
        <v>12</v>
      </c>
      <c r="D4695" s="73">
        <v>365581.58059581835</v>
      </c>
      <c r="E4695" s="72">
        <v>62148.868701289117</v>
      </c>
      <c r="F4695" s="72" t="s">
        <v>95</v>
      </c>
      <c r="G4695" s="72" t="s">
        <v>96</v>
      </c>
      <c r="H4695" s="72" t="s">
        <v>88</v>
      </c>
    </row>
    <row r="4696" spans="1:8" x14ac:dyDescent="0.25">
      <c r="A4696" s="72" t="s">
        <v>4607</v>
      </c>
      <c r="B4696" s="72" t="s">
        <v>73</v>
      </c>
      <c r="C4696" s="73">
        <v>12</v>
      </c>
      <c r="D4696" s="73">
        <v>364574.38233985082</v>
      </c>
      <c r="E4696" s="72">
        <v>43748.92588078211</v>
      </c>
      <c r="F4696" s="72" t="s">
        <v>78</v>
      </c>
      <c r="G4696" s="72" t="s">
        <v>71</v>
      </c>
      <c r="H4696" s="72" t="s">
        <v>72</v>
      </c>
    </row>
    <row r="4697" spans="1:8" x14ac:dyDescent="0.25">
      <c r="A4697" s="43" t="s">
        <v>4598</v>
      </c>
      <c r="B4697" s="43" t="s">
        <v>73</v>
      </c>
      <c r="C4697" s="46">
        <v>12</v>
      </c>
      <c r="D4697" s="46">
        <v>366394.56212462171</v>
      </c>
      <c r="E4697" s="43">
        <v>43967.347454954601</v>
      </c>
      <c r="F4697" s="43" t="s">
        <v>87</v>
      </c>
      <c r="G4697" s="43" t="s">
        <v>71</v>
      </c>
      <c r="H4697" s="43" t="s">
        <v>88</v>
      </c>
    </row>
    <row r="4698" spans="1:8" x14ac:dyDescent="0.25">
      <c r="A4698" s="43" t="s">
        <v>4919</v>
      </c>
      <c r="B4698" s="43" t="s">
        <v>73</v>
      </c>
      <c r="C4698" s="46">
        <v>12</v>
      </c>
      <c r="D4698" s="46">
        <v>336299.34017570491</v>
      </c>
      <c r="E4698" s="43">
        <v>26903.947214056392</v>
      </c>
      <c r="F4698" s="43" t="s">
        <v>87</v>
      </c>
      <c r="G4698" s="43" t="s">
        <v>71</v>
      </c>
      <c r="H4698" s="43" t="s">
        <v>88</v>
      </c>
    </row>
    <row r="4699" spans="1:8" x14ac:dyDescent="0.25">
      <c r="A4699" s="72" t="s">
        <v>4920</v>
      </c>
      <c r="B4699" s="72" t="s">
        <v>93</v>
      </c>
      <c r="C4699" s="73">
        <v>12</v>
      </c>
      <c r="D4699" s="73">
        <v>336299.34017570491</v>
      </c>
      <c r="E4699" s="72">
        <v>26903.947214056392</v>
      </c>
      <c r="F4699" s="72" t="s">
        <v>87</v>
      </c>
      <c r="G4699" s="72" t="s">
        <v>71</v>
      </c>
      <c r="H4699" s="72" t="s">
        <v>88</v>
      </c>
    </row>
    <row r="4700" spans="1:8" x14ac:dyDescent="0.25">
      <c r="A4700" s="43" t="s">
        <v>4394</v>
      </c>
      <c r="B4700" s="43" t="s">
        <v>102</v>
      </c>
      <c r="C4700" s="46">
        <v>12</v>
      </c>
      <c r="D4700" s="46">
        <v>371396.91062829969</v>
      </c>
      <c r="E4700" s="43">
        <v>51995.567487961955</v>
      </c>
      <c r="F4700" s="43" t="s">
        <v>70</v>
      </c>
      <c r="G4700" s="43" t="s">
        <v>71</v>
      </c>
      <c r="H4700" s="43" t="s">
        <v>72</v>
      </c>
    </row>
    <row r="4701" spans="1:8" x14ac:dyDescent="0.25">
      <c r="A4701" s="43" t="s">
        <v>4862</v>
      </c>
      <c r="B4701" s="43" t="s">
        <v>93</v>
      </c>
      <c r="C4701" s="46">
        <v>12</v>
      </c>
      <c r="D4701" s="46">
        <v>345073.26204161131</v>
      </c>
      <c r="E4701" s="43">
        <v>31056.593583745016</v>
      </c>
      <c r="F4701" s="43" t="s">
        <v>87</v>
      </c>
      <c r="G4701" s="43" t="s">
        <v>71</v>
      </c>
      <c r="H4701" s="43" t="s">
        <v>88</v>
      </c>
    </row>
    <row r="4702" spans="1:8" x14ac:dyDescent="0.25">
      <c r="A4702" s="72" t="s">
        <v>4395</v>
      </c>
      <c r="B4702" s="72" t="s">
        <v>73</v>
      </c>
      <c r="C4702" s="73">
        <v>12</v>
      </c>
      <c r="D4702" s="73">
        <v>371396.91062829969</v>
      </c>
      <c r="E4702" s="72">
        <v>51995.567487961955</v>
      </c>
      <c r="F4702" s="72" t="s">
        <v>70</v>
      </c>
      <c r="G4702" s="72" t="s">
        <v>71</v>
      </c>
      <c r="H4702" s="72" t="s">
        <v>72</v>
      </c>
    </row>
    <row r="4703" spans="1:8" x14ac:dyDescent="0.25">
      <c r="A4703" s="72" t="s">
        <v>4633</v>
      </c>
      <c r="B4703" s="72" t="s">
        <v>73</v>
      </c>
      <c r="C4703" s="73">
        <v>12</v>
      </c>
      <c r="D4703" s="73">
        <v>354812.60607899382</v>
      </c>
      <c r="E4703" s="72">
        <v>42577.512729479269</v>
      </c>
      <c r="F4703" s="72" t="s">
        <v>70</v>
      </c>
      <c r="G4703" s="72" t="s">
        <v>71</v>
      </c>
      <c r="H4703" s="72" t="s">
        <v>72</v>
      </c>
    </row>
    <row r="4704" spans="1:8" x14ac:dyDescent="0.25">
      <c r="A4704" s="43" t="s">
        <v>4634</v>
      </c>
      <c r="B4704" s="43" t="s">
        <v>73</v>
      </c>
      <c r="C4704" s="46">
        <v>12</v>
      </c>
      <c r="D4704" s="46">
        <v>354812.60607899382</v>
      </c>
      <c r="E4704" s="43">
        <v>42577.512729479269</v>
      </c>
      <c r="F4704" s="43" t="s">
        <v>70</v>
      </c>
      <c r="G4704" s="43" t="s">
        <v>71</v>
      </c>
      <c r="H4704" s="43" t="s">
        <v>72</v>
      </c>
    </row>
    <row r="4705" spans="1:8" x14ac:dyDescent="0.25">
      <c r="A4705" s="43" t="s">
        <v>4396</v>
      </c>
      <c r="B4705" s="43" t="s">
        <v>73</v>
      </c>
      <c r="C4705" s="46">
        <v>12</v>
      </c>
      <c r="D4705" s="46">
        <v>371396.91062829969</v>
      </c>
      <c r="E4705" s="43">
        <v>51995.567487961955</v>
      </c>
      <c r="F4705" s="43" t="s">
        <v>70</v>
      </c>
      <c r="G4705" s="43" t="s">
        <v>71</v>
      </c>
      <c r="H4705" s="43" t="s">
        <v>72</v>
      </c>
    </row>
    <row r="4706" spans="1:8" x14ac:dyDescent="0.25">
      <c r="A4706" s="72" t="s">
        <v>4397</v>
      </c>
      <c r="B4706" s="72" t="s">
        <v>73</v>
      </c>
      <c r="C4706" s="73">
        <v>12</v>
      </c>
      <c r="D4706" s="73">
        <v>371396.91062829969</v>
      </c>
      <c r="E4706" s="72">
        <v>51995.567487961955</v>
      </c>
      <c r="F4706" s="72" t="s">
        <v>70</v>
      </c>
      <c r="G4706" s="72" t="s">
        <v>71</v>
      </c>
      <c r="H4706" s="72" t="s">
        <v>72</v>
      </c>
    </row>
    <row r="4707" spans="1:8" x14ac:dyDescent="0.25">
      <c r="A4707" s="72" t="s">
        <v>4863</v>
      </c>
      <c r="B4707" s="72" t="s">
        <v>73</v>
      </c>
      <c r="C4707" s="73">
        <v>12</v>
      </c>
      <c r="D4707" s="73">
        <v>345073.26204161131</v>
      </c>
      <c r="E4707" s="72">
        <v>31056.593583745016</v>
      </c>
      <c r="F4707" s="72" t="s">
        <v>87</v>
      </c>
      <c r="G4707" s="72" t="s">
        <v>71</v>
      </c>
      <c r="H4707" s="72" t="s">
        <v>88</v>
      </c>
    </row>
    <row r="4708" spans="1:8" x14ac:dyDescent="0.25">
      <c r="A4708" s="43" t="s">
        <v>4716</v>
      </c>
      <c r="B4708" s="43" t="s">
        <v>73</v>
      </c>
      <c r="C4708" s="46">
        <v>12</v>
      </c>
      <c r="D4708" s="46">
        <v>359931.4955508766</v>
      </c>
      <c r="E4708" s="43">
        <v>39592.46451059643</v>
      </c>
      <c r="F4708" s="43" t="s">
        <v>87</v>
      </c>
      <c r="G4708" s="43" t="s">
        <v>71</v>
      </c>
      <c r="H4708" s="43" t="s">
        <v>88</v>
      </c>
    </row>
    <row r="4709" spans="1:8" x14ac:dyDescent="0.25">
      <c r="A4709" s="72" t="s">
        <v>4717</v>
      </c>
      <c r="B4709" s="72" t="s">
        <v>202</v>
      </c>
      <c r="C4709" s="73">
        <v>12</v>
      </c>
      <c r="D4709" s="73">
        <v>359931.4955508766</v>
      </c>
      <c r="E4709" s="72">
        <v>39592.46451059643</v>
      </c>
      <c r="F4709" s="72" t="s">
        <v>87</v>
      </c>
      <c r="G4709" s="72" t="s">
        <v>71</v>
      </c>
      <c r="H4709" s="72" t="s">
        <v>88</v>
      </c>
    </row>
    <row r="4710" spans="1:8" x14ac:dyDescent="0.25">
      <c r="A4710" s="72" t="s">
        <v>4949</v>
      </c>
      <c r="B4710" s="72" t="s">
        <v>2379</v>
      </c>
      <c r="C4710" s="73">
        <v>12</v>
      </c>
      <c r="D4710" s="73">
        <v>282051.5417644048</v>
      </c>
      <c r="E4710" s="72">
        <v>25384.638758796431</v>
      </c>
      <c r="F4710" s="72" t="s">
        <v>106</v>
      </c>
      <c r="G4710" s="72" t="s">
        <v>71</v>
      </c>
      <c r="H4710" s="72" t="s">
        <v>72</v>
      </c>
    </row>
    <row r="4711" spans="1:8" x14ac:dyDescent="0.25">
      <c r="A4711" s="72" t="s">
        <v>4786</v>
      </c>
      <c r="B4711" s="72" t="s">
        <v>93</v>
      </c>
      <c r="C4711" s="73">
        <v>12</v>
      </c>
      <c r="D4711" s="73">
        <v>352875.2442456134</v>
      </c>
      <c r="E4711" s="72">
        <v>35287.524424561343</v>
      </c>
      <c r="F4711" s="72" t="s">
        <v>87</v>
      </c>
      <c r="G4711" s="72" t="s">
        <v>71</v>
      </c>
      <c r="H4711" s="72" t="s">
        <v>88</v>
      </c>
    </row>
    <row r="4712" spans="1:8" x14ac:dyDescent="0.25">
      <c r="A4712" s="72" t="s">
        <v>4518</v>
      </c>
      <c r="B4712" s="72" t="s">
        <v>2379</v>
      </c>
      <c r="C4712" s="73">
        <v>12</v>
      </c>
      <c r="D4712" s="73">
        <v>363381.8040888079</v>
      </c>
      <c r="E4712" s="72">
        <v>47239.634531545031</v>
      </c>
      <c r="F4712" s="72" t="s">
        <v>70</v>
      </c>
      <c r="G4712" s="72" t="s">
        <v>71</v>
      </c>
      <c r="H4712" s="72" t="s">
        <v>72</v>
      </c>
    </row>
    <row r="4713" spans="1:8" x14ac:dyDescent="0.25">
      <c r="A4713" s="72" t="s">
        <v>4599</v>
      </c>
      <c r="B4713" s="72" t="s">
        <v>93</v>
      </c>
      <c r="C4713" s="73">
        <v>12</v>
      </c>
      <c r="D4713" s="73">
        <v>366394.56212462171</v>
      </c>
      <c r="E4713" s="72">
        <v>43967.347454954601</v>
      </c>
      <c r="F4713" s="72" t="s">
        <v>87</v>
      </c>
      <c r="G4713" s="72" t="s">
        <v>71</v>
      </c>
      <c r="H4713" s="72" t="s">
        <v>88</v>
      </c>
    </row>
    <row r="4714" spans="1:8" x14ac:dyDescent="0.25">
      <c r="A4714" s="43" t="s">
        <v>4921</v>
      </c>
      <c r="B4714" s="43" t="s">
        <v>93</v>
      </c>
      <c r="C4714" s="46">
        <v>12</v>
      </c>
      <c r="D4714" s="46">
        <v>336299.34017570491</v>
      </c>
      <c r="E4714" s="43">
        <v>26903.947214056392</v>
      </c>
      <c r="F4714" s="43" t="s">
        <v>87</v>
      </c>
      <c r="G4714" s="43" t="s">
        <v>71</v>
      </c>
      <c r="H4714" s="43" t="s">
        <v>88</v>
      </c>
    </row>
    <row r="4715" spans="1:8" x14ac:dyDescent="0.25">
      <c r="A4715" s="72" t="s">
        <v>4922</v>
      </c>
      <c r="B4715" s="72" t="s">
        <v>73</v>
      </c>
      <c r="C4715" s="73">
        <v>12</v>
      </c>
      <c r="D4715" s="73">
        <v>336299.34017570491</v>
      </c>
      <c r="E4715" s="72">
        <v>26903.947214056392</v>
      </c>
      <c r="F4715" s="72" t="s">
        <v>87</v>
      </c>
      <c r="G4715" s="72" t="s">
        <v>71</v>
      </c>
      <c r="H4715" s="72" t="s">
        <v>88</v>
      </c>
    </row>
    <row r="4716" spans="1:8" x14ac:dyDescent="0.25">
      <c r="A4716" s="72" t="s">
        <v>4491</v>
      </c>
      <c r="B4716" s="72" t="s">
        <v>93</v>
      </c>
      <c r="C4716" s="73">
        <v>12</v>
      </c>
      <c r="D4716" s="73">
        <v>372372.69771627744</v>
      </c>
      <c r="E4716" s="72">
        <v>48408.450703116068</v>
      </c>
      <c r="F4716" s="72" t="s">
        <v>87</v>
      </c>
      <c r="G4716" s="72" t="s">
        <v>71</v>
      </c>
      <c r="H4716" s="72" t="s">
        <v>88</v>
      </c>
    </row>
    <row r="4717" spans="1:8" x14ac:dyDescent="0.25">
      <c r="A4717" s="43" t="s">
        <v>4600</v>
      </c>
      <c r="B4717" s="43" t="s">
        <v>73</v>
      </c>
      <c r="C4717" s="46">
        <v>12</v>
      </c>
      <c r="D4717" s="46">
        <v>366394.56212462171</v>
      </c>
      <c r="E4717" s="43">
        <v>43967.347454954601</v>
      </c>
      <c r="F4717" s="43" t="s">
        <v>87</v>
      </c>
      <c r="G4717" s="43" t="s">
        <v>71</v>
      </c>
      <c r="H4717" s="43" t="s">
        <v>88</v>
      </c>
    </row>
    <row r="4718" spans="1:8" x14ac:dyDescent="0.25">
      <c r="A4718" s="43" t="s">
        <v>4492</v>
      </c>
      <c r="B4718" s="43" t="s">
        <v>93</v>
      </c>
      <c r="C4718" s="46">
        <v>12</v>
      </c>
      <c r="D4718" s="46">
        <v>372372.69771627744</v>
      </c>
      <c r="E4718" s="43">
        <v>48408.450703116068</v>
      </c>
      <c r="F4718" s="43" t="s">
        <v>87</v>
      </c>
      <c r="G4718" s="43" t="s">
        <v>71</v>
      </c>
      <c r="H4718" s="43" t="s">
        <v>88</v>
      </c>
    </row>
    <row r="4719" spans="1:8" x14ac:dyDescent="0.25">
      <c r="A4719" s="43" t="s">
        <v>4787</v>
      </c>
      <c r="B4719" s="43" t="s">
        <v>73</v>
      </c>
      <c r="C4719" s="46">
        <v>12</v>
      </c>
      <c r="D4719" s="46">
        <v>352875.2442456134</v>
      </c>
      <c r="E4719" s="43">
        <v>35287.524424561343</v>
      </c>
      <c r="F4719" s="43" t="s">
        <v>87</v>
      </c>
      <c r="G4719" s="43" t="s">
        <v>71</v>
      </c>
      <c r="H4719" s="43" t="s">
        <v>88</v>
      </c>
    </row>
    <row r="4720" spans="1:8" x14ac:dyDescent="0.25">
      <c r="A4720" s="43" t="s">
        <v>4398</v>
      </c>
      <c r="B4720" s="43" t="s">
        <v>108</v>
      </c>
      <c r="C4720" s="46">
        <v>12</v>
      </c>
      <c r="D4720" s="46">
        <v>371396.91062829969</v>
      </c>
      <c r="E4720" s="43">
        <v>51995.567487961955</v>
      </c>
      <c r="F4720" s="43" t="s">
        <v>70</v>
      </c>
      <c r="G4720" s="43" t="s">
        <v>71</v>
      </c>
      <c r="H4720" s="43" t="s">
        <v>72</v>
      </c>
    </row>
    <row r="4721" spans="1:8" x14ac:dyDescent="0.25">
      <c r="A4721" s="43" t="s">
        <v>4718</v>
      </c>
      <c r="B4721" s="43" t="s">
        <v>93</v>
      </c>
      <c r="C4721" s="46">
        <v>12</v>
      </c>
      <c r="D4721" s="46">
        <v>359931.4955508766</v>
      </c>
      <c r="E4721" s="43">
        <v>39592.46451059643</v>
      </c>
      <c r="F4721" s="43" t="s">
        <v>87</v>
      </c>
      <c r="G4721" s="43" t="s">
        <v>71</v>
      </c>
      <c r="H4721" s="43" t="s">
        <v>88</v>
      </c>
    </row>
    <row r="4722" spans="1:8" x14ac:dyDescent="0.25">
      <c r="A4722" s="72" t="s">
        <v>4719</v>
      </c>
      <c r="B4722" s="72" t="s">
        <v>73</v>
      </c>
      <c r="C4722" s="73">
        <v>12</v>
      </c>
      <c r="D4722" s="73">
        <v>359931.4955508766</v>
      </c>
      <c r="E4722" s="72">
        <v>39592.46451059643</v>
      </c>
      <c r="F4722" s="72" t="s">
        <v>87</v>
      </c>
      <c r="G4722" s="72" t="s">
        <v>71</v>
      </c>
      <c r="H4722" s="72" t="s">
        <v>88</v>
      </c>
    </row>
    <row r="4723" spans="1:8" x14ac:dyDescent="0.25">
      <c r="A4723" s="43" t="s">
        <v>4720</v>
      </c>
      <c r="B4723" s="43" t="s">
        <v>73</v>
      </c>
      <c r="C4723" s="46">
        <v>12</v>
      </c>
      <c r="D4723" s="46">
        <v>359931.4955508766</v>
      </c>
      <c r="E4723" s="43">
        <v>39592.46451059643</v>
      </c>
      <c r="F4723" s="43" t="s">
        <v>87</v>
      </c>
      <c r="G4723" s="43" t="s">
        <v>71</v>
      </c>
      <c r="H4723" s="43" t="s">
        <v>88</v>
      </c>
    </row>
    <row r="4724" spans="1:8" x14ac:dyDescent="0.25">
      <c r="A4724" s="72" t="s">
        <v>4721</v>
      </c>
      <c r="B4724" s="72" t="s">
        <v>93</v>
      </c>
      <c r="C4724" s="73">
        <v>12</v>
      </c>
      <c r="D4724" s="73">
        <v>359931.4955508766</v>
      </c>
      <c r="E4724" s="72">
        <v>39592.46451059643</v>
      </c>
      <c r="F4724" s="72" t="s">
        <v>87</v>
      </c>
      <c r="G4724" s="72" t="s">
        <v>71</v>
      </c>
      <c r="H4724" s="72" t="s">
        <v>88</v>
      </c>
    </row>
    <row r="4725" spans="1:8" x14ac:dyDescent="0.25">
      <c r="A4725" s="72" t="s">
        <v>4601</v>
      </c>
      <c r="B4725" s="72" t="s">
        <v>93</v>
      </c>
      <c r="C4725" s="73">
        <v>12</v>
      </c>
      <c r="D4725" s="73">
        <v>366394.56212462171</v>
      </c>
      <c r="E4725" s="72">
        <v>43967.347454954601</v>
      </c>
      <c r="F4725" s="72" t="s">
        <v>87</v>
      </c>
      <c r="G4725" s="72" t="s">
        <v>71</v>
      </c>
      <c r="H4725" s="72" t="s">
        <v>88</v>
      </c>
    </row>
    <row r="4726" spans="1:8" x14ac:dyDescent="0.25">
      <c r="A4726" s="43" t="s">
        <v>4835</v>
      </c>
      <c r="B4726" s="43" t="s">
        <v>73</v>
      </c>
      <c r="C4726" s="46">
        <v>11</v>
      </c>
      <c r="D4726" s="46">
        <v>323338.38972998346</v>
      </c>
      <c r="E4726" s="43">
        <v>32333.838972998346</v>
      </c>
      <c r="F4726" s="43" t="s">
        <v>87</v>
      </c>
      <c r="G4726" s="43" t="s">
        <v>71</v>
      </c>
      <c r="H4726" s="43" t="s">
        <v>88</v>
      </c>
    </row>
    <row r="4727" spans="1:8" x14ac:dyDescent="0.25">
      <c r="A4727" s="72" t="s">
        <v>4836</v>
      </c>
      <c r="B4727" s="72" t="s">
        <v>93</v>
      </c>
      <c r="C4727" s="73">
        <v>11</v>
      </c>
      <c r="D4727" s="73">
        <v>323338.38972998346</v>
      </c>
      <c r="E4727" s="72">
        <v>32333.838972998346</v>
      </c>
      <c r="F4727" s="72" t="s">
        <v>87</v>
      </c>
      <c r="G4727" s="72" t="s">
        <v>71</v>
      </c>
      <c r="H4727" s="72" t="s">
        <v>88</v>
      </c>
    </row>
    <row r="4728" spans="1:8" x14ac:dyDescent="0.25">
      <c r="A4728" s="43" t="s">
        <v>4837</v>
      </c>
      <c r="B4728" s="43" t="s">
        <v>93</v>
      </c>
      <c r="C4728" s="46">
        <v>11</v>
      </c>
      <c r="D4728" s="46">
        <v>323338.38972998346</v>
      </c>
      <c r="E4728" s="43">
        <v>32333.838972998346</v>
      </c>
      <c r="F4728" s="43" t="s">
        <v>87</v>
      </c>
      <c r="G4728" s="43" t="s">
        <v>71</v>
      </c>
      <c r="H4728" s="43" t="s">
        <v>88</v>
      </c>
    </row>
    <row r="4729" spans="1:8" x14ac:dyDescent="0.25">
      <c r="A4729" s="72" t="s">
        <v>4583</v>
      </c>
      <c r="B4729" s="72" t="s">
        <v>73</v>
      </c>
      <c r="C4729" s="73">
        <v>11</v>
      </c>
      <c r="D4729" s="73">
        <v>341211.05541142554</v>
      </c>
      <c r="E4729" s="72">
        <v>44357.437203485322</v>
      </c>
      <c r="F4729" s="72" t="s">
        <v>87</v>
      </c>
      <c r="G4729" s="72" t="s">
        <v>71</v>
      </c>
      <c r="H4729" s="72" t="s">
        <v>88</v>
      </c>
    </row>
    <row r="4730" spans="1:8" x14ac:dyDescent="0.25">
      <c r="A4730" s="43" t="s">
        <v>4584</v>
      </c>
      <c r="B4730" s="43" t="s">
        <v>93</v>
      </c>
      <c r="C4730" s="46">
        <v>11</v>
      </c>
      <c r="D4730" s="46">
        <v>341211.05541142554</v>
      </c>
      <c r="E4730" s="43">
        <v>44357.437203485322</v>
      </c>
      <c r="F4730" s="43" t="s">
        <v>87</v>
      </c>
      <c r="G4730" s="43" t="s">
        <v>71</v>
      </c>
      <c r="H4730" s="43" t="s">
        <v>88</v>
      </c>
    </row>
    <row r="4731" spans="1:8" x14ac:dyDescent="0.25">
      <c r="A4731" s="72" t="s">
        <v>4838</v>
      </c>
      <c r="B4731" s="72" t="s">
        <v>93</v>
      </c>
      <c r="C4731" s="73">
        <v>11</v>
      </c>
      <c r="D4731" s="73">
        <v>323338.38972998346</v>
      </c>
      <c r="E4731" s="72">
        <v>32333.838972998346</v>
      </c>
      <c r="F4731" s="72" t="s">
        <v>87</v>
      </c>
      <c r="G4731" s="72" t="s">
        <v>71</v>
      </c>
      <c r="H4731" s="72" t="s">
        <v>88</v>
      </c>
    </row>
    <row r="4732" spans="1:8" x14ac:dyDescent="0.25">
      <c r="A4732" s="43" t="s">
        <v>4772</v>
      </c>
      <c r="B4732" s="43" t="s">
        <v>73</v>
      </c>
      <c r="C4732" s="46">
        <v>11</v>
      </c>
      <c r="D4732" s="46">
        <v>329806.62009314145</v>
      </c>
      <c r="E4732" s="43">
        <v>36278.728210245565</v>
      </c>
      <c r="F4732" s="43" t="s">
        <v>87</v>
      </c>
      <c r="G4732" s="43" t="s">
        <v>71</v>
      </c>
      <c r="H4732" s="43" t="s">
        <v>88</v>
      </c>
    </row>
    <row r="4733" spans="1:8" x14ac:dyDescent="0.25">
      <c r="A4733" s="43" t="s">
        <v>4839</v>
      </c>
      <c r="B4733" s="43" t="s">
        <v>73</v>
      </c>
      <c r="C4733" s="46">
        <v>11</v>
      </c>
      <c r="D4733" s="46">
        <v>323338.38972998346</v>
      </c>
      <c r="E4733" s="43">
        <v>32333.838972998346</v>
      </c>
      <c r="F4733" s="43" t="s">
        <v>87</v>
      </c>
      <c r="G4733" s="43" t="s">
        <v>71</v>
      </c>
      <c r="H4733" s="43" t="s">
        <v>88</v>
      </c>
    </row>
    <row r="4734" spans="1:8" x14ac:dyDescent="0.25">
      <c r="A4734" s="43" t="s">
        <v>4701</v>
      </c>
      <c r="B4734" s="43" t="s">
        <v>93</v>
      </c>
      <c r="C4734" s="46">
        <v>11</v>
      </c>
      <c r="D4734" s="46">
        <v>335731.09778574115</v>
      </c>
      <c r="E4734" s="43">
        <v>40287.731734288936</v>
      </c>
      <c r="F4734" s="43" t="s">
        <v>87</v>
      </c>
      <c r="G4734" s="43" t="s">
        <v>71</v>
      </c>
      <c r="H4734" s="43" t="s">
        <v>88</v>
      </c>
    </row>
    <row r="4735" spans="1:8" x14ac:dyDescent="0.25">
      <c r="A4735" s="72" t="s">
        <v>4846</v>
      </c>
      <c r="B4735" s="72" t="s">
        <v>75</v>
      </c>
      <c r="C4735" s="73">
        <v>11</v>
      </c>
      <c r="D4735" s="73">
        <v>268044.61244785541</v>
      </c>
      <c r="E4735" s="72">
        <v>32165.353493742648</v>
      </c>
      <c r="F4735" s="72" t="s">
        <v>106</v>
      </c>
      <c r="G4735" s="72" t="s">
        <v>71</v>
      </c>
      <c r="H4735" s="72" t="s">
        <v>72</v>
      </c>
    </row>
    <row r="4736" spans="1:8" x14ac:dyDescent="0.25">
      <c r="A4736" s="43" t="s">
        <v>4505</v>
      </c>
      <c r="B4736" s="43" t="s">
        <v>73</v>
      </c>
      <c r="C4736" s="46">
        <v>11</v>
      </c>
      <c r="D4736" s="46">
        <v>340297.01863510668</v>
      </c>
      <c r="E4736" s="43">
        <v>47641.582608914927</v>
      </c>
      <c r="F4736" s="43" t="s">
        <v>70</v>
      </c>
      <c r="G4736" s="43" t="s">
        <v>71</v>
      </c>
      <c r="H4736" s="43" t="s">
        <v>72</v>
      </c>
    </row>
    <row r="4737" spans="1:8" x14ac:dyDescent="0.25">
      <c r="A4737" s="72" t="s">
        <v>4702</v>
      </c>
      <c r="B4737" s="72" t="s">
        <v>93</v>
      </c>
      <c r="C4737" s="73">
        <v>11</v>
      </c>
      <c r="D4737" s="73">
        <v>335731.09778574115</v>
      </c>
      <c r="E4737" s="72">
        <v>40287.731734288936</v>
      </c>
      <c r="F4737" s="72" t="s">
        <v>87</v>
      </c>
      <c r="G4737" s="72" t="s">
        <v>71</v>
      </c>
      <c r="H4737" s="72" t="s">
        <v>88</v>
      </c>
    </row>
    <row r="4738" spans="1:8" x14ac:dyDescent="0.25">
      <c r="A4738" s="43" t="s">
        <v>4899</v>
      </c>
      <c r="B4738" s="43" t="s">
        <v>93</v>
      </c>
      <c r="C4738" s="46">
        <v>11</v>
      </c>
      <c r="D4738" s="46">
        <v>316186.57270964823</v>
      </c>
      <c r="E4738" s="43">
        <v>28456.791543868341</v>
      </c>
      <c r="F4738" s="43" t="s">
        <v>87</v>
      </c>
      <c r="G4738" s="43" t="s">
        <v>71</v>
      </c>
      <c r="H4738" s="43" t="s">
        <v>88</v>
      </c>
    </row>
    <row r="4739" spans="1:8" x14ac:dyDescent="0.25">
      <c r="A4739" s="43" t="s">
        <v>4703</v>
      </c>
      <c r="B4739" s="43" t="s">
        <v>73</v>
      </c>
      <c r="C4739" s="46">
        <v>11</v>
      </c>
      <c r="D4739" s="46">
        <v>335731.09778574115</v>
      </c>
      <c r="E4739" s="43">
        <v>40287.731734288936</v>
      </c>
      <c r="F4739" s="43" t="s">
        <v>87</v>
      </c>
      <c r="G4739" s="43" t="s">
        <v>71</v>
      </c>
      <c r="H4739" s="43" t="s">
        <v>88</v>
      </c>
    </row>
    <row r="4740" spans="1:8" x14ac:dyDescent="0.25">
      <c r="A4740" s="43" t="s">
        <v>4542</v>
      </c>
      <c r="B4740" s="43" t="s">
        <v>75</v>
      </c>
      <c r="C4740" s="46">
        <v>11</v>
      </c>
      <c r="D4740" s="46">
        <v>309608.913904502</v>
      </c>
      <c r="E4740" s="43">
        <v>46441.337085675295</v>
      </c>
      <c r="F4740" s="43" t="s">
        <v>95</v>
      </c>
      <c r="G4740" s="43" t="s">
        <v>96</v>
      </c>
      <c r="H4740" s="43" t="s">
        <v>88</v>
      </c>
    </row>
    <row r="4741" spans="1:8" x14ac:dyDescent="0.25">
      <c r="A4741" s="72" t="s">
        <v>4585</v>
      </c>
      <c r="B4741" s="72" t="s">
        <v>73</v>
      </c>
      <c r="C4741" s="73">
        <v>11</v>
      </c>
      <c r="D4741" s="73">
        <v>341211.05541142554</v>
      </c>
      <c r="E4741" s="72">
        <v>44357.437203485322</v>
      </c>
      <c r="F4741" s="72" t="s">
        <v>87</v>
      </c>
      <c r="G4741" s="72" t="s">
        <v>71</v>
      </c>
      <c r="H4741" s="72" t="s">
        <v>88</v>
      </c>
    </row>
    <row r="4742" spans="1:8" x14ac:dyDescent="0.25">
      <c r="A4742" s="72" t="s">
        <v>4773</v>
      </c>
      <c r="B4742" s="72" t="s">
        <v>93</v>
      </c>
      <c r="C4742" s="73">
        <v>11</v>
      </c>
      <c r="D4742" s="73">
        <v>329806.62009314145</v>
      </c>
      <c r="E4742" s="72">
        <v>36278.728210245565</v>
      </c>
      <c r="F4742" s="72" t="s">
        <v>87</v>
      </c>
      <c r="G4742" s="72" t="s">
        <v>71</v>
      </c>
      <c r="H4742" s="72" t="s">
        <v>88</v>
      </c>
    </row>
    <row r="4743" spans="1:8" x14ac:dyDescent="0.25">
      <c r="A4743" s="43" t="s">
        <v>4612</v>
      </c>
      <c r="B4743" s="43" t="s">
        <v>97</v>
      </c>
      <c r="C4743" s="46">
        <v>11</v>
      </c>
      <c r="D4743" s="46">
        <v>332949.83764057251</v>
      </c>
      <c r="E4743" s="43">
        <v>43283.478893274427</v>
      </c>
      <c r="F4743" s="43" t="s">
        <v>70</v>
      </c>
      <c r="G4743" s="43" t="s">
        <v>71</v>
      </c>
      <c r="H4743" s="43" t="s">
        <v>72</v>
      </c>
    </row>
    <row r="4744" spans="1:8" x14ac:dyDescent="0.25">
      <c r="A4744" s="72" t="s">
        <v>4900</v>
      </c>
      <c r="B4744" s="72" t="s">
        <v>93</v>
      </c>
      <c r="C4744" s="73">
        <v>11</v>
      </c>
      <c r="D4744" s="73">
        <v>316186.57270964823</v>
      </c>
      <c r="E4744" s="72">
        <v>28456.791543868341</v>
      </c>
      <c r="F4744" s="72" t="s">
        <v>87</v>
      </c>
      <c r="G4744" s="72" t="s">
        <v>71</v>
      </c>
      <c r="H4744" s="72" t="s">
        <v>88</v>
      </c>
    </row>
    <row r="4745" spans="1:8" x14ac:dyDescent="0.25">
      <c r="A4745" s="72" t="s">
        <v>4477</v>
      </c>
      <c r="B4745" s="72" t="s">
        <v>75</v>
      </c>
      <c r="C4745" s="73">
        <v>11</v>
      </c>
      <c r="D4745" s="73">
        <v>349616.51251831593</v>
      </c>
      <c r="E4745" s="72">
        <v>48946.311752564223</v>
      </c>
      <c r="F4745" s="72" t="s">
        <v>78</v>
      </c>
      <c r="G4745" s="72" t="s">
        <v>71</v>
      </c>
      <c r="H4745" s="72" t="s">
        <v>72</v>
      </c>
    </row>
    <row r="4746" spans="1:8" x14ac:dyDescent="0.25">
      <c r="A4746" s="43" t="s">
        <v>4774</v>
      </c>
      <c r="B4746" s="43" t="s">
        <v>267</v>
      </c>
      <c r="C4746" s="46">
        <v>11</v>
      </c>
      <c r="D4746" s="46">
        <v>329806.62009314145</v>
      </c>
      <c r="E4746" s="43">
        <v>36278.728210245565</v>
      </c>
      <c r="F4746" s="43" t="s">
        <v>87</v>
      </c>
      <c r="G4746" s="43" t="s">
        <v>71</v>
      </c>
      <c r="H4746" s="43" t="s">
        <v>88</v>
      </c>
    </row>
    <row r="4747" spans="1:8" x14ac:dyDescent="0.25">
      <c r="A4747" s="72" t="s">
        <v>4775</v>
      </c>
      <c r="B4747" s="72" t="s">
        <v>93</v>
      </c>
      <c r="C4747" s="73">
        <v>11</v>
      </c>
      <c r="D4747" s="73">
        <v>329806.62009314145</v>
      </c>
      <c r="E4747" s="72">
        <v>36278.728210245565</v>
      </c>
      <c r="F4747" s="72" t="s">
        <v>87</v>
      </c>
      <c r="G4747" s="72" t="s">
        <v>71</v>
      </c>
      <c r="H4747" s="72" t="s">
        <v>88</v>
      </c>
    </row>
    <row r="4748" spans="1:8" x14ac:dyDescent="0.25">
      <c r="A4748" s="72" t="s">
        <v>4692</v>
      </c>
      <c r="B4748" s="72" t="s">
        <v>73</v>
      </c>
      <c r="C4748" s="73">
        <v>10</v>
      </c>
      <c r="D4748" s="73">
        <v>310073.24951049965</v>
      </c>
      <c r="E4748" s="72">
        <v>40309.522436364954</v>
      </c>
      <c r="F4748" s="72" t="s">
        <v>87</v>
      </c>
      <c r="G4748" s="72" t="s">
        <v>71</v>
      </c>
      <c r="H4748" s="72" t="s">
        <v>88</v>
      </c>
    </row>
    <row r="4749" spans="1:8" x14ac:dyDescent="0.25">
      <c r="A4749" s="43" t="s">
        <v>4693</v>
      </c>
      <c r="B4749" s="43" t="s">
        <v>73</v>
      </c>
      <c r="C4749" s="46">
        <v>10</v>
      </c>
      <c r="D4749" s="46">
        <v>310073.24951049965</v>
      </c>
      <c r="E4749" s="43">
        <v>40309.522436364954</v>
      </c>
      <c r="F4749" s="43" t="s">
        <v>87</v>
      </c>
      <c r="G4749" s="43" t="s">
        <v>71</v>
      </c>
      <c r="H4749" s="43" t="s">
        <v>88</v>
      </c>
    </row>
    <row r="4750" spans="1:8" x14ac:dyDescent="0.25">
      <c r="A4750" s="43" t="s">
        <v>4764</v>
      </c>
      <c r="B4750" s="43" t="s">
        <v>73</v>
      </c>
      <c r="C4750" s="46">
        <v>10</v>
      </c>
      <c r="D4750" s="46">
        <v>305091.46985078655</v>
      </c>
      <c r="E4750" s="43">
        <v>36610.976382094384</v>
      </c>
      <c r="F4750" s="43" t="s">
        <v>87</v>
      </c>
      <c r="G4750" s="43" t="s">
        <v>71</v>
      </c>
      <c r="H4750" s="43" t="s">
        <v>88</v>
      </c>
    </row>
    <row r="4751" spans="1:8" x14ac:dyDescent="0.25">
      <c r="A4751" s="72" t="s">
        <v>4694</v>
      </c>
      <c r="B4751" s="72" t="s">
        <v>93</v>
      </c>
      <c r="C4751" s="73">
        <v>10</v>
      </c>
      <c r="D4751" s="73">
        <v>310073.24951049965</v>
      </c>
      <c r="E4751" s="72">
        <v>40309.522436364954</v>
      </c>
      <c r="F4751" s="72" t="s">
        <v>87</v>
      </c>
      <c r="G4751" s="72" t="s">
        <v>71</v>
      </c>
      <c r="H4751" s="72" t="s">
        <v>88</v>
      </c>
    </row>
    <row r="4752" spans="1:8" x14ac:dyDescent="0.25">
      <c r="A4752" s="43" t="s">
        <v>4695</v>
      </c>
      <c r="B4752" s="43" t="s">
        <v>73</v>
      </c>
      <c r="C4752" s="46">
        <v>10</v>
      </c>
      <c r="D4752" s="46">
        <v>310073.24951049965</v>
      </c>
      <c r="E4752" s="43">
        <v>40309.522436364954</v>
      </c>
      <c r="F4752" s="43" t="s">
        <v>87</v>
      </c>
      <c r="G4752" s="43" t="s">
        <v>71</v>
      </c>
      <c r="H4752" s="43" t="s">
        <v>88</v>
      </c>
    </row>
    <row r="4753" spans="1:8" x14ac:dyDescent="0.25">
      <c r="A4753" s="72" t="s">
        <v>4696</v>
      </c>
      <c r="B4753" s="72" t="s">
        <v>73</v>
      </c>
      <c r="C4753" s="73">
        <v>10</v>
      </c>
      <c r="D4753" s="73">
        <v>310073.24951049965</v>
      </c>
      <c r="E4753" s="72">
        <v>40309.522436364954</v>
      </c>
      <c r="F4753" s="72" t="s">
        <v>87</v>
      </c>
      <c r="G4753" s="72" t="s">
        <v>71</v>
      </c>
      <c r="H4753" s="72" t="s">
        <v>88</v>
      </c>
    </row>
    <row r="4754" spans="1:8" x14ac:dyDescent="0.25">
      <c r="A4754" s="43" t="s">
        <v>4697</v>
      </c>
      <c r="B4754" s="43" t="s">
        <v>73</v>
      </c>
      <c r="C4754" s="46">
        <v>10</v>
      </c>
      <c r="D4754" s="46">
        <v>310073.24951049965</v>
      </c>
      <c r="E4754" s="43">
        <v>40309.522436364954</v>
      </c>
      <c r="F4754" s="43" t="s">
        <v>87</v>
      </c>
      <c r="G4754" s="43" t="s">
        <v>71</v>
      </c>
      <c r="H4754" s="43" t="s">
        <v>88</v>
      </c>
    </row>
    <row r="4755" spans="1:8" x14ac:dyDescent="0.25">
      <c r="A4755" s="72" t="s">
        <v>4816</v>
      </c>
      <c r="B4755" s="72" t="s">
        <v>73</v>
      </c>
      <c r="C4755" s="73">
        <v>10</v>
      </c>
      <c r="D4755" s="73">
        <v>299705.58103933232</v>
      </c>
      <c r="E4755" s="72">
        <v>32967.613914326561</v>
      </c>
      <c r="F4755" s="72" t="s">
        <v>87</v>
      </c>
      <c r="G4755" s="72" t="s">
        <v>71</v>
      </c>
      <c r="H4755" s="72" t="s">
        <v>88</v>
      </c>
    </row>
    <row r="4756" spans="1:8" x14ac:dyDescent="0.25">
      <c r="A4756" s="72" t="s">
        <v>4698</v>
      </c>
      <c r="B4756" s="72" t="s">
        <v>267</v>
      </c>
      <c r="C4756" s="73">
        <v>10</v>
      </c>
      <c r="D4756" s="73">
        <v>310073.24951049965</v>
      </c>
      <c r="E4756" s="72">
        <v>40309.522436364954</v>
      </c>
      <c r="F4756" s="72" t="s">
        <v>87</v>
      </c>
      <c r="G4756" s="72" t="s">
        <v>71</v>
      </c>
      <c r="H4756" s="72" t="s">
        <v>88</v>
      </c>
    </row>
    <row r="4757" spans="1:8" x14ac:dyDescent="0.25">
      <c r="A4757" s="43" t="s">
        <v>4888</v>
      </c>
      <c r="B4757" s="43" t="s">
        <v>73</v>
      </c>
      <c r="C4757" s="46">
        <v>10</v>
      </c>
      <c r="D4757" s="46">
        <v>293825.37161827961</v>
      </c>
      <c r="E4757" s="43">
        <v>29382.537161827961</v>
      </c>
      <c r="F4757" s="43" t="s">
        <v>87</v>
      </c>
      <c r="G4757" s="43" t="s">
        <v>71</v>
      </c>
      <c r="H4757" s="43" t="s">
        <v>88</v>
      </c>
    </row>
    <row r="4758" spans="1:8" x14ac:dyDescent="0.25">
      <c r="A4758" s="72" t="s">
        <v>4611</v>
      </c>
      <c r="B4758" s="72" t="s">
        <v>73</v>
      </c>
      <c r="C4758" s="73">
        <v>10</v>
      </c>
      <c r="D4758" s="73">
        <v>309224.55273250595</v>
      </c>
      <c r="E4758" s="72">
        <v>43291.43738255083</v>
      </c>
      <c r="F4758" s="72" t="s">
        <v>70</v>
      </c>
      <c r="G4758" s="72" t="s">
        <v>71</v>
      </c>
      <c r="H4758" s="72" t="s">
        <v>72</v>
      </c>
    </row>
    <row r="4759" spans="1:8" x14ac:dyDescent="0.25">
      <c r="A4759" s="43" t="s">
        <v>4817</v>
      </c>
      <c r="B4759" s="43" t="s">
        <v>73</v>
      </c>
      <c r="C4759" s="46">
        <v>10</v>
      </c>
      <c r="D4759" s="46">
        <v>299705.58103933232</v>
      </c>
      <c r="E4759" s="43">
        <v>32967.613914326561</v>
      </c>
      <c r="F4759" s="43" t="s">
        <v>87</v>
      </c>
      <c r="G4759" s="43" t="s">
        <v>71</v>
      </c>
      <c r="H4759" s="43" t="s">
        <v>88</v>
      </c>
    </row>
    <row r="4760" spans="1:8" x14ac:dyDescent="0.25">
      <c r="A4760" s="43" t="s">
        <v>4691</v>
      </c>
      <c r="B4760" s="43" t="s">
        <v>73</v>
      </c>
      <c r="C4760" s="46">
        <v>10</v>
      </c>
      <c r="D4760" s="46">
        <v>310823.17946579115</v>
      </c>
      <c r="E4760" s="43">
        <v>40407.013330552851</v>
      </c>
      <c r="F4760" s="43" t="s">
        <v>78</v>
      </c>
      <c r="G4760" s="43" t="s">
        <v>71</v>
      </c>
      <c r="H4760" s="43" t="s">
        <v>72</v>
      </c>
    </row>
    <row r="4761" spans="1:8" x14ac:dyDescent="0.25">
      <c r="A4761" s="43" t="s">
        <v>4699</v>
      </c>
      <c r="B4761" s="43" t="s">
        <v>93</v>
      </c>
      <c r="C4761" s="46">
        <v>10</v>
      </c>
      <c r="D4761" s="46">
        <v>310073.24951049965</v>
      </c>
      <c r="E4761" s="43">
        <v>40309.522436364954</v>
      </c>
      <c r="F4761" s="43" t="s">
        <v>87</v>
      </c>
      <c r="G4761" s="43" t="s">
        <v>71</v>
      </c>
      <c r="H4761" s="43" t="s">
        <v>88</v>
      </c>
    </row>
    <row r="4762" spans="1:8" x14ac:dyDescent="0.25">
      <c r="A4762" s="72" t="s">
        <v>4700</v>
      </c>
      <c r="B4762" s="72" t="s">
        <v>93</v>
      </c>
      <c r="C4762" s="73">
        <v>10</v>
      </c>
      <c r="D4762" s="73">
        <v>310073.24951049965</v>
      </c>
      <c r="E4762" s="72">
        <v>40309.522436364954</v>
      </c>
      <c r="F4762" s="72" t="s">
        <v>87</v>
      </c>
      <c r="G4762" s="72" t="s">
        <v>71</v>
      </c>
      <c r="H4762" s="72" t="s">
        <v>88</v>
      </c>
    </row>
    <row r="4763" spans="1:8" x14ac:dyDescent="0.25">
      <c r="A4763" s="72" t="s">
        <v>4765</v>
      </c>
      <c r="B4763" s="72" t="s">
        <v>73</v>
      </c>
      <c r="C4763" s="73">
        <v>10</v>
      </c>
      <c r="D4763" s="73">
        <v>305091.46985078655</v>
      </c>
      <c r="E4763" s="72">
        <v>36610.976382094384</v>
      </c>
      <c r="F4763" s="72" t="s">
        <v>87</v>
      </c>
      <c r="G4763" s="72" t="s">
        <v>71</v>
      </c>
      <c r="H4763" s="72" t="s">
        <v>88</v>
      </c>
    </row>
    <row r="4764" spans="1:8" x14ac:dyDescent="0.25">
      <c r="A4764" s="72" t="s">
        <v>4818</v>
      </c>
      <c r="B4764" s="72" t="s">
        <v>73</v>
      </c>
      <c r="C4764" s="73">
        <v>10</v>
      </c>
      <c r="D4764" s="73">
        <v>299705.58103933232</v>
      </c>
      <c r="E4764" s="72">
        <v>32967.613914326561</v>
      </c>
      <c r="F4764" s="72" t="s">
        <v>87</v>
      </c>
      <c r="G4764" s="72" t="s">
        <v>71</v>
      </c>
      <c r="H4764" s="72" t="s">
        <v>88</v>
      </c>
    </row>
    <row r="4765" spans="1:8" x14ac:dyDescent="0.25">
      <c r="A4765" s="72" t="s">
        <v>4935</v>
      </c>
      <c r="B4765" s="72" t="s">
        <v>73</v>
      </c>
      <c r="C4765" s="73">
        <v>9</v>
      </c>
      <c r="D4765" s="73">
        <v>264336.16169504222</v>
      </c>
      <c r="E4765" s="72">
        <v>26433.616169504225</v>
      </c>
      <c r="F4765" s="72" t="s">
        <v>87</v>
      </c>
      <c r="G4765" s="72" t="s">
        <v>71</v>
      </c>
      <c r="H4765" s="72" t="s">
        <v>88</v>
      </c>
    </row>
    <row r="4766" spans="1:8" x14ac:dyDescent="0.25">
      <c r="A4766" s="43" t="s">
        <v>4819</v>
      </c>
      <c r="B4766" s="43" t="s">
        <v>73</v>
      </c>
      <c r="C4766" s="46">
        <v>9</v>
      </c>
      <c r="D4766" s="46">
        <v>274475.65010429849</v>
      </c>
      <c r="E4766" s="43">
        <v>32937.07801251582</v>
      </c>
      <c r="F4766" s="43" t="s">
        <v>87</v>
      </c>
      <c r="G4766" s="43" t="s">
        <v>71</v>
      </c>
      <c r="H4766" s="43" t="s">
        <v>88</v>
      </c>
    </row>
    <row r="4767" spans="1:8" x14ac:dyDescent="0.25">
      <c r="A4767" s="43" t="s">
        <v>4940</v>
      </c>
      <c r="B4767" s="43" t="s">
        <v>73</v>
      </c>
      <c r="C4767" s="46">
        <v>9</v>
      </c>
      <c r="D4767" s="46">
        <v>219069.83839073492</v>
      </c>
      <c r="E4767" s="43">
        <v>26288.38060688819</v>
      </c>
      <c r="F4767" s="43" t="s">
        <v>106</v>
      </c>
      <c r="G4767" s="43" t="s">
        <v>71</v>
      </c>
      <c r="H4767" s="43" t="s">
        <v>72</v>
      </c>
    </row>
    <row r="4768" spans="1:8" x14ac:dyDescent="0.25">
      <c r="A4768" s="72" t="s">
        <v>4820</v>
      </c>
      <c r="B4768" s="72" t="s">
        <v>73</v>
      </c>
      <c r="C4768" s="73">
        <v>9</v>
      </c>
      <c r="D4768" s="73">
        <v>274475.65010429849</v>
      </c>
      <c r="E4768" s="72">
        <v>32937.07801251582</v>
      </c>
      <c r="F4768" s="72" t="s">
        <v>87</v>
      </c>
      <c r="G4768" s="72" t="s">
        <v>71</v>
      </c>
      <c r="H4768" s="72" t="s">
        <v>88</v>
      </c>
    </row>
    <row r="4769" spans="1:8" x14ac:dyDescent="0.25">
      <c r="A4769" s="43" t="s">
        <v>4776</v>
      </c>
      <c r="B4769" s="43" t="s">
        <v>73</v>
      </c>
      <c r="C4769" s="46">
        <v>9</v>
      </c>
      <c r="D4769" s="46">
        <v>278959.25179804029</v>
      </c>
      <c r="E4769" s="43">
        <v>36264.702733745238</v>
      </c>
      <c r="F4769" s="43" t="s">
        <v>87</v>
      </c>
      <c r="G4769" s="43" t="s">
        <v>71</v>
      </c>
      <c r="H4769" s="43" t="s">
        <v>88</v>
      </c>
    </row>
    <row r="4770" spans="1:8" x14ac:dyDescent="0.25">
      <c r="A4770" s="72" t="s">
        <v>4941</v>
      </c>
      <c r="B4770" s="72" t="s">
        <v>73</v>
      </c>
      <c r="C4770" s="73">
        <v>9</v>
      </c>
      <c r="D4770" s="73">
        <v>219069.83839073492</v>
      </c>
      <c r="E4770" s="72">
        <v>26288.38060688819</v>
      </c>
      <c r="F4770" s="72" t="s">
        <v>106</v>
      </c>
      <c r="G4770" s="72" t="s">
        <v>71</v>
      </c>
      <c r="H4770" s="72" t="s">
        <v>72</v>
      </c>
    </row>
    <row r="4771" spans="1:8" x14ac:dyDescent="0.25">
      <c r="A4771" s="43" t="s">
        <v>4821</v>
      </c>
      <c r="B4771" s="43" t="s">
        <v>93</v>
      </c>
      <c r="C4771" s="46">
        <v>9</v>
      </c>
      <c r="D4771" s="46">
        <v>274475.65010429849</v>
      </c>
      <c r="E4771" s="43">
        <v>32937.07801251582</v>
      </c>
      <c r="F4771" s="43" t="s">
        <v>87</v>
      </c>
      <c r="G4771" s="43" t="s">
        <v>71</v>
      </c>
      <c r="H4771" s="43" t="s">
        <v>88</v>
      </c>
    </row>
    <row r="4772" spans="1:8" x14ac:dyDescent="0.25">
      <c r="A4772" s="72" t="s">
        <v>4822</v>
      </c>
      <c r="B4772" s="72" t="s">
        <v>73</v>
      </c>
      <c r="C4772" s="73">
        <v>9</v>
      </c>
      <c r="D4772" s="73">
        <v>274475.65010429849</v>
      </c>
      <c r="E4772" s="72">
        <v>32937.07801251582</v>
      </c>
      <c r="F4772" s="72" t="s">
        <v>87</v>
      </c>
      <c r="G4772" s="72" t="s">
        <v>71</v>
      </c>
      <c r="H4772" s="72" t="s">
        <v>88</v>
      </c>
    </row>
    <row r="4773" spans="1:8" x14ac:dyDescent="0.25">
      <c r="A4773" s="43" t="s">
        <v>4885</v>
      </c>
      <c r="B4773" s="43" t="s">
        <v>73</v>
      </c>
      <c r="C4773" s="46">
        <v>9</v>
      </c>
      <c r="D4773" s="46">
        <v>269628.35017398966</v>
      </c>
      <c r="E4773" s="43">
        <v>29659.118519138865</v>
      </c>
      <c r="F4773" s="43" t="s">
        <v>87</v>
      </c>
      <c r="G4773" s="43" t="s">
        <v>71</v>
      </c>
      <c r="H4773" s="43" t="s">
        <v>88</v>
      </c>
    </row>
    <row r="4774" spans="1:8" x14ac:dyDescent="0.25">
      <c r="A4774" s="43" t="s">
        <v>4936</v>
      </c>
      <c r="B4774" s="43" t="s">
        <v>73</v>
      </c>
      <c r="C4774" s="46">
        <v>9</v>
      </c>
      <c r="D4774" s="46">
        <v>264336.16169504222</v>
      </c>
      <c r="E4774" s="43">
        <v>26433.616169504225</v>
      </c>
      <c r="F4774" s="43" t="s">
        <v>87</v>
      </c>
      <c r="G4774" s="43" t="s">
        <v>71</v>
      </c>
      <c r="H4774" s="43" t="s">
        <v>88</v>
      </c>
    </row>
    <row r="4775" spans="1:8" x14ac:dyDescent="0.25">
      <c r="A4775" s="72" t="s">
        <v>4886</v>
      </c>
      <c r="B4775" s="72" t="s">
        <v>93</v>
      </c>
      <c r="C4775" s="73">
        <v>9</v>
      </c>
      <c r="D4775" s="73">
        <v>269628.35017398966</v>
      </c>
      <c r="E4775" s="72">
        <v>29659.118519138865</v>
      </c>
      <c r="F4775" s="72" t="s">
        <v>87</v>
      </c>
      <c r="G4775" s="72" t="s">
        <v>71</v>
      </c>
      <c r="H4775" s="72" t="s">
        <v>88</v>
      </c>
    </row>
    <row r="4776" spans="1:8" x14ac:dyDescent="0.25">
      <c r="A4776" s="72" t="s">
        <v>4937</v>
      </c>
      <c r="B4776" s="72" t="s">
        <v>73</v>
      </c>
      <c r="C4776" s="73">
        <v>9</v>
      </c>
      <c r="D4776" s="73">
        <v>264336.16169504222</v>
      </c>
      <c r="E4776" s="72">
        <v>26433.616169504225</v>
      </c>
      <c r="F4776" s="72" t="s">
        <v>87</v>
      </c>
      <c r="G4776" s="72" t="s">
        <v>71</v>
      </c>
      <c r="H4776" s="72" t="s">
        <v>88</v>
      </c>
    </row>
    <row r="4777" spans="1:8" x14ac:dyDescent="0.25">
      <c r="A4777" s="72" t="s">
        <v>4842</v>
      </c>
      <c r="B4777" s="72" t="s">
        <v>73</v>
      </c>
      <c r="C4777" s="73">
        <v>8</v>
      </c>
      <c r="D4777" s="73">
        <v>247869.03408829929</v>
      </c>
      <c r="E4777" s="72">
        <v>32222.97443147891</v>
      </c>
      <c r="F4777" s="72" t="s">
        <v>87</v>
      </c>
      <c r="G4777" s="72" t="s">
        <v>71</v>
      </c>
      <c r="H4777" s="72" t="s">
        <v>88</v>
      </c>
    </row>
    <row r="4778" spans="1:8" x14ac:dyDescent="0.25">
      <c r="A4778" s="43" t="s">
        <v>4938</v>
      </c>
      <c r="B4778" s="43" t="s">
        <v>267</v>
      </c>
      <c r="C4778" s="46">
        <v>8</v>
      </c>
      <c r="D4778" s="46">
        <v>239574.89931136539</v>
      </c>
      <c r="E4778" s="43">
        <v>26353.238924250196</v>
      </c>
      <c r="F4778" s="43" t="s">
        <v>87</v>
      </c>
      <c r="G4778" s="43" t="s">
        <v>71</v>
      </c>
      <c r="H4778" s="43" t="s">
        <v>88</v>
      </c>
    </row>
    <row r="4779" spans="1:8" x14ac:dyDescent="0.25">
      <c r="A4779" s="43" t="s">
        <v>4843</v>
      </c>
      <c r="B4779" s="43" t="s">
        <v>73</v>
      </c>
      <c r="C4779" s="46">
        <v>8</v>
      </c>
      <c r="D4779" s="46">
        <v>247869.03408829929</v>
      </c>
      <c r="E4779" s="43">
        <v>32222.97443147891</v>
      </c>
      <c r="F4779" s="43" t="s">
        <v>87</v>
      </c>
      <c r="G4779" s="43" t="s">
        <v>71</v>
      </c>
      <c r="H4779" s="43" t="s">
        <v>88</v>
      </c>
    </row>
    <row r="4780" spans="1:8" x14ac:dyDescent="0.25">
      <c r="A4780" s="72" t="s">
        <v>4889</v>
      </c>
      <c r="B4780" s="72" t="s">
        <v>73</v>
      </c>
      <c r="C4780" s="73">
        <v>8</v>
      </c>
      <c r="D4780" s="73">
        <v>243883.61036052881</v>
      </c>
      <c r="E4780" s="72">
        <v>29266.033243263457</v>
      </c>
      <c r="F4780" s="72" t="s">
        <v>87</v>
      </c>
      <c r="G4780" s="72" t="s">
        <v>71</v>
      </c>
      <c r="H4780" s="72" t="s">
        <v>88</v>
      </c>
    </row>
    <row r="4781" spans="1:8" x14ac:dyDescent="0.25">
      <c r="A4781" s="72" t="s">
        <v>4844</v>
      </c>
      <c r="B4781" s="72" t="s">
        <v>73</v>
      </c>
      <c r="C4781" s="73">
        <v>8</v>
      </c>
      <c r="D4781" s="73">
        <v>247869.03408829929</v>
      </c>
      <c r="E4781" s="72">
        <v>32222.97443147891</v>
      </c>
      <c r="F4781" s="72" t="s">
        <v>87</v>
      </c>
      <c r="G4781" s="72" t="s">
        <v>71</v>
      </c>
      <c r="H4781" s="72" t="s">
        <v>88</v>
      </c>
    </row>
    <row r="4782" spans="1:8" x14ac:dyDescent="0.25">
      <c r="A4782" s="43" t="s">
        <v>4845</v>
      </c>
      <c r="B4782" s="43" t="s">
        <v>73</v>
      </c>
      <c r="C4782" s="46">
        <v>8</v>
      </c>
      <c r="D4782" s="46">
        <v>247869.03408829929</v>
      </c>
      <c r="E4782" s="43">
        <v>32222.97443147891</v>
      </c>
      <c r="F4782" s="43" t="s">
        <v>87</v>
      </c>
      <c r="G4782" s="43" t="s">
        <v>71</v>
      </c>
      <c r="H4782" s="43" t="s">
        <v>88</v>
      </c>
    </row>
    <row r="4783" spans="1:8" x14ac:dyDescent="0.25">
      <c r="A4783" s="72" t="s">
        <v>4939</v>
      </c>
      <c r="B4783" s="72" t="s">
        <v>73</v>
      </c>
      <c r="C4783" s="73">
        <v>8</v>
      </c>
      <c r="D4783" s="73">
        <v>239574.89931136539</v>
      </c>
      <c r="E4783" s="72">
        <v>26353.238924250196</v>
      </c>
      <c r="F4783" s="72" t="s">
        <v>87</v>
      </c>
      <c r="G4783" s="72" t="s">
        <v>71</v>
      </c>
      <c r="H4783" s="72" t="s">
        <v>88</v>
      </c>
    </row>
    <row r="4784" spans="1:8" x14ac:dyDescent="0.25">
      <c r="A4784" s="72" t="s">
        <v>4903</v>
      </c>
      <c r="B4784" s="72" t="s">
        <v>77</v>
      </c>
      <c r="C4784" s="73">
        <v>7</v>
      </c>
      <c r="D4784" s="73">
        <v>216802.56822521059</v>
      </c>
      <c r="E4784" s="72">
        <v>28184.33386927738</v>
      </c>
      <c r="F4784" s="72" t="s">
        <v>87</v>
      </c>
      <c r="G4784" s="72" t="s">
        <v>71</v>
      </c>
      <c r="H4784" s="72" t="s">
        <v>88</v>
      </c>
    </row>
    <row r="37525" spans="196:196" x14ac:dyDescent="0.25">
      <c r="GN37525" t="s">
        <v>5015</v>
      </c>
    </row>
  </sheetData>
  <pageMargins left="0.7" right="0.7" top="0.75" bottom="0.75" header="0.3" footer="0.3"/>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GN37525"/>
  <sheetViews>
    <sheetView topLeftCell="A25" zoomScale="85" zoomScaleNormal="85" zoomScalePageLayoutView="85" workbookViewId="0">
      <selection sqref="A1:C1"/>
    </sheetView>
  </sheetViews>
  <sheetFormatPr defaultColWidth="8.85546875" defaultRowHeight="15" x14ac:dyDescent="0.25"/>
  <cols>
    <col min="1" max="1" width="6.42578125" style="16" bestFit="1" customWidth="1"/>
    <col min="2" max="2" width="3.140625" style="15" customWidth="1"/>
    <col min="3" max="3" width="3" style="15" customWidth="1"/>
    <col min="4" max="4" width="136.42578125" style="13" customWidth="1"/>
    <col min="5" max="5" width="24.140625" style="15" customWidth="1"/>
    <col min="6" max="6" width="24.7109375" style="15" customWidth="1"/>
    <col min="7" max="7" width="15.5703125" style="15" customWidth="1"/>
    <col min="8" max="8" width="2.85546875" style="15" customWidth="1"/>
    <col min="9" max="9" width="14.85546875" style="15" customWidth="1"/>
    <col min="10" max="208" width="8.85546875" style="15"/>
    <col min="209" max="256" width="0" style="15" hidden="1" customWidth="1"/>
    <col min="257" max="16384" width="8.85546875" style="15"/>
  </cols>
  <sheetData>
    <row r="1" spans="1:9" ht="21" x14ac:dyDescent="0.25">
      <c r="A1" s="97" t="s">
        <v>2</v>
      </c>
      <c r="B1" s="97"/>
      <c r="C1" s="97"/>
      <c r="D1" s="31" t="s">
        <v>1</v>
      </c>
      <c r="E1" s="27"/>
      <c r="F1" s="27"/>
    </row>
    <row r="2" spans="1:9" ht="34.5" customHeight="1" x14ac:dyDescent="0.25">
      <c r="A2" s="98" t="s">
        <v>46</v>
      </c>
      <c r="B2" s="98"/>
      <c r="C2" s="98"/>
      <c r="D2" s="84" t="s">
        <v>87</v>
      </c>
      <c r="E2" s="27"/>
      <c r="F2" s="27"/>
    </row>
    <row r="3" spans="1:9" ht="43.5" customHeight="1" x14ac:dyDescent="0.25">
      <c r="A3" s="108" t="s">
        <v>4996</v>
      </c>
      <c r="B3" s="108"/>
      <c r="C3" s="108"/>
      <c r="D3" s="108"/>
      <c r="E3" s="108"/>
      <c r="F3" s="108"/>
    </row>
    <row r="4" spans="1:9" ht="18.75" customHeight="1" x14ac:dyDescent="0.25">
      <c r="A4" s="28" t="s">
        <v>0</v>
      </c>
      <c r="B4" s="99" t="s">
        <v>3</v>
      </c>
      <c r="C4" s="100"/>
      <c r="D4" s="101" t="s">
        <v>4995</v>
      </c>
      <c r="E4" s="102"/>
      <c r="F4" s="52"/>
    </row>
    <row r="5" spans="1:9" x14ac:dyDescent="0.25">
      <c r="A5" s="29">
        <v>0.5</v>
      </c>
      <c r="B5" s="54">
        <v>1</v>
      </c>
      <c r="C5" s="74" t="s">
        <v>4</v>
      </c>
      <c r="D5" s="63" t="s">
        <v>4997</v>
      </c>
      <c r="E5" s="40"/>
      <c r="F5" s="85"/>
    </row>
    <row r="6" spans="1:9" ht="18.75" customHeight="1" x14ac:dyDescent="0.25">
      <c r="A6" s="29">
        <v>0.5</v>
      </c>
      <c r="B6" s="56"/>
      <c r="C6" s="59" t="s">
        <v>5</v>
      </c>
      <c r="D6" s="64" t="s">
        <v>4998</v>
      </c>
      <c r="E6" s="41"/>
      <c r="F6" s="61"/>
    </row>
    <row r="7" spans="1:9" ht="18.75" customHeight="1" x14ac:dyDescent="0.25">
      <c r="A7" s="29">
        <v>0.5</v>
      </c>
      <c r="B7" s="56"/>
      <c r="C7" s="59" t="s">
        <v>6</v>
      </c>
      <c r="D7" s="64" t="s">
        <v>4999</v>
      </c>
      <c r="E7" s="41"/>
      <c r="F7" s="61"/>
    </row>
    <row r="8" spans="1:9" ht="32.25" customHeight="1" x14ac:dyDescent="0.25">
      <c r="A8" s="29">
        <v>0.5</v>
      </c>
      <c r="B8" s="56"/>
      <c r="C8" s="59" t="s">
        <v>7</v>
      </c>
      <c r="D8" s="75" t="s">
        <v>4970</v>
      </c>
      <c r="E8" s="41"/>
      <c r="F8" s="61"/>
    </row>
    <row r="9" spans="1:9" ht="28.5" customHeight="1" x14ac:dyDescent="0.25">
      <c r="A9" s="29">
        <v>0.5</v>
      </c>
      <c r="B9" s="56"/>
      <c r="C9" s="59" t="s">
        <v>8</v>
      </c>
      <c r="D9" s="75" t="s">
        <v>5011</v>
      </c>
      <c r="E9" s="41"/>
      <c r="F9" s="61"/>
    </row>
    <row r="10" spans="1:9" ht="19.5" customHeight="1" x14ac:dyDescent="0.25">
      <c r="A10" s="29">
        <v>0.5</v>
      </c>
      <c r="B10" s="56"/>
      <c r="C10" s="59" t="s">
        <v>36</v>
      </c>
      <c r="D10" s="64" t="s">
        <v>53</v>
      </c>
      <c r="E10" s="41"/>
      <c r="F10" s="61"/>
    </row>
    <row r="11" spans="1:9" ht="18.75" customHeight="1" x14ac:dyDescent="0.25">
      <c r="A11" s="29">
        <v>0.5</v>
      </c>
      <c r="B11" s="58"/>
      <c r="C11" s="60" t="s">
        <v>47</v>
      </c>
      <c r="D11" s="64" t="s">
        <v>40</v>
      </c>
      <c r="E11" s="41"/>
      <c r="F11" s="61"/>
    </row>
    <row r="12" spans="1:9" ht="17.25" x14ac:dyDescent="0.25">
      <c r="A12" s="29"/>
      <c r="B12" s="99" t="s">
        <v>9</v>
      </c>
      <c r="C12" s="100"/>
      <c r="D12" s="101" t="s">
        <v>5003</v>
      </c>
      <c r="E12" s="102"/>
      <c r="F12" s="103"/>
    </row>
    <row r="13" spans="1:9" ht="18.75" customHeight="1" x14ac:dyDescent="0.25">
      <c r="A13" s="29">
        <v>0.5</v>
      </c>
      <c r="B13" s="54">
        <v>2</v>
      </c>
      <c r="C13" s="55" t="s">
        <v>4</v>
      </c>
      <c r="D13" s="104" t="s">
        <v>4957</v>
      </c>
      <c r="E13" s="105"/>
      <c r="F13" s="62"/>
    </row>
    <row r="14" spans="1:9" ht="18.75" customHeight="1" x14ac:dyDescent="0.25">
      <c r="A14" s="29">
        <v>0.5</v>
      </c>
      <c r="B14" s="56"/>
      <c r="C14" s="57" t="s">
        <v>5</v>
      </c>
      <c r="D14" s="106" t="s">
        <v>4958</v>
      </c>
      <c r="E14" s="107"/>
      <c r="F14" s="62"/>
    </row>
    <row r="15" spans="1:9" ht="18.75" customHeight="1" x14ac:dyDescent="0.25">
      <c r="A15" s="29">
        <v>1</v>
      </c>
      <c r="B15" s="56"/>
      <c r="C15" s="59" t="s">
        <v>6</v>
      </c>
      <c r="D15" s="106" t="s">
        <v>5007</v>
      </c>
      <c r="E15" s="107"/>
      <c r="F15" s="62"/>
    </row>
    <row r="16" spans="1:9" s="21" customFormat="1" ht="18.75" customHeight="1" x14ac:dyDescent="0.25">
      <c r="A16" s="30">
        <v>1</v>
      </c>
      <c r="B16" s="56"/>
      <c r="C16" s="59" t="s">
        <v>7</v>
      </c>
      <c r="D16" s="106" t="s">
        <v>5005</v>
      </c>
      <c r="E16" s="107"/>
      <c r="F16" s="62"/>
      <c r="G16" s="15"/>
      <c r="H16" s="15"/>
      <c r="I16" s="15"/>
    </row>
    <row r="17" spans="1:9" s="21" customFormat="1" ht="18.75" customHeight="1" x14ac:dyDescent="0.25">
      <c r="A17" s="30">
        <v>1</v>
      </c>
      <c r="B17" s="56"/>
      <c r="C17" s="59" t="s">
        <v>8</v>
      </c>
      <c r="D17" s="106" t="s">
        <v>5006</v>
      </c>
      <c r="E17" s="107"/>
      <c r="F17" s="62"/>
      <c r="G17" s="15"/>
      <c r="H17" s="15"/>
      <c r="I17" s="15"/>
    </row>
    <row r="18" spans="1:9" s="21" customFormat="1" ht="18.75" customHeight="1" x14ac:dyDescent="0.25">
      <c r="A18" s="30">
        <v>1</v>
      </c>
      <c r="B18" s="56"/>
      <c r="C18" s="59" t="s">
        <v>36</v>
      </c>
      <c r="D18" s="64" t="s">
        <v>4969</v>
      </c>
      <c r="E18" s="65"/>
      <c r="F18" s="62"/>
      <c r="G18" s="15"/>
      <c r="H18" s="15"/>
      <c r="I18" s="15"/>
    </row>
    <row r="19" spans="1:9" s="21" customFormat="1" ht="30" x14ac:dyDescent="0.25">
      <c r="A19" s="30"/>
      <c r="B19" s="56"/>
      <c r="C19" s="57"/>
      <c r="D19" s="109" t="s">
        <v>5008</v>
      </c>
      <c r="E19" s="53" t="s">
        <v>10</v>
      </c>
      <c r="F19" s="53" t="s">
        <v>5002</v>
      </c>
      <c r="G19" s="15"/>
      <c r="H19" s="15"/>
      <c r="I19" s="15"/>
    </row>
    <row r="20" spans="1:9" s="21" customFormat="1" ht="26.25" customHeight="1" x14ac:dyDescent="0.25">
      <c r="A20" s="30">
        <v>1</v>
      </c>
      <c r="B20" s="56"/>
      <c r="C20" s="59" t="s">
        <v>47</v>
      </c>
      <c r="D20" s="109"/>
      <c r="E20" s="25">
        <v>28900</v>
      </c>
      <c r="F20" s="62"/>
      <c r="G20" s="15"/>
      <c r="H20" s="15"/>
      <c r="I20" s="15"/>
    </row>
    <row r="21" spans="1:9" ht="27.75" customHeight="1" x14ac:dyDescent="0.25">
      <c r="A21" s="30">
        <v>1</v>
      </c>
      <c r="B21" s="56"/>
      <c r="C21" s="78" t="s">
        <v>48</v>
      </c>
      <c r="D21" s="109"/>
      <c r="E21" s="25">
        <v>30300</v>
      </c>
      <c r="F21" s="62"/>
    </row>
    <row r="22" spans="1:9" ht="25.5" customHeight="1" x14ac:dyDescent="0.25">
      <c r="A22" s="30">
        <v>1</v>
      </c>
      <c r="B22" s="56"/>
      <c r="C22" s="78" t="s">
        <v>4978</v>
      </c>
      <c r="D22" s="109"/>
      <c r="E22" s="25">
        <v>35600</v>
      </c>
      <c r="F22" s="62"/>
    </row>
    <row r="23" spans="1:9" ht="37.5" customHeight="1" x14ac:dyDescent="0.25">
      <c r="A23" s="29"/>
      <c r="B23" s="90" t="s">
        <v>23</v>
      </c>
      <c r="C23" s="91"/>
      <c r="D23" s="92" t="s">
        <v>5000</v>
      </c>
      <c r="E23" s="93"/>
      <c r="F23" s="110"/>
    </row>
    <row r="24" spans="1:9" ht="30" customHeight="1" x14ac:dyDescent="0.25">
      <c r="A24" s="29"/>
      <c r="B24" s="54">
        <v>3</v>
      </c>
      <c r="C24" s="55"/>
      <c r="D24" s="104" t="s">
        <v>4959</v>
      </c>
      <c r="E24" s="111"/>
      <c r="F24" s="105"/>
    </row>
    <row r="25" spans="1:9" ht="25.5" customHeight="1" x14ac:dyDescent="0.25">
      <c r="A25" s="29">
        <v>1.5</v>
      </c>
      <c r="B25" s="56"/>
      <c r="C25" s="59" t="s">
        <v>4</v>
      </c>
      <c r="D25" s="88" t="s">
        <v>5009</v>
      </c>
      <c r="E25" s="116"/>
      <c r="F25" s="62"/>
    </row>
    <row r="26" spans="1:9" ht="24.75" customHeight="1" x14ac:dyDescent="0.25">
      <c r="A26" s="29">
        <v>2</v>
      </c>
      <c r="B26" s="58"/>
      <c r="C26" s="60" t="s">
        <v>5</v>
      </c>
      <c r="D26" s="114" t="s">
        <v>4991</v>
      </c>
      <c r="E26" s="115"/>
      <c r="F26" s="62"/>
    </row>
    <row r="27" spans="1:9" ht="30.75" customHeight="1" x14ac:dyDescent="0.45">
      <c r="A27" s="27"/>
      <c r="B27" s="27"/>
      <c r="C27" s="27"/>
      <c r="D27" s="83" t="s">
        <v>5004</v>
      </c>
      <c r="E27" s="27"/>
      <c r="F27" s="27"/>
    </row>
    <row r="28" spans="1:9" ht="60.75" customHeight="1" x14ac:dyDescent="0.25">
      <c r="A28" s="29"/>
      <c r="B28" s="90" t="s">
        <v>35</v>
      </c>
      <c r="C28" s="91"/>
      <c r="D28" s="92" t="s">
        <v>4960</v>
      </c>
      <c r="E28" s="93"/>
      <c r="F28" s="110"/>
    </row>
    <row r="29" spans="1:9" ht="15" customHeight="1" x14ac:dyDescent="0.25">
      <c r="A29" s="29"/>
      <c r="B29" s="54">
        <v>4</v>
      </c>
      <c r="C29" s="55"/>
      <c r="D29" s="104" t="s">
        <v>5010</v>
      </c>
      <c r="E29" s="111"/>
      <c r="F29" s="105"/>
    </row>
    <row r="30" spans="1:9" ht="21.75" customHeight="1" x14ac:dyDescent="0.25">
      <c r="A30" s="29">
        <v>1</v>
      </c>
      <c r="B30" s="56"/>
      <c r="C30" s="57" t="s">
        <v>4</v>
      </c>
      <c r="D30" s="106" t="s">
        <v>24</v>
      </c>
      <c r="E30" s="107"/>
      <c r="F30" s="62"/>
    </row>
    <row r="31" spans="1:9" ht="21.75" customHeight="1" x14ac:dyDescent="0.25">
      <c r="A31" s="29">
        <v>1</v>
      </c>
      <c r="B31" s="56"/>
      <c r="C31" s="57" t="s">
        <v>5</v>
      </c>
      <c r="D31" s="64" t="s">
        <v>34</v>
      </c>
      <c r="E31" s="65"/>
      <c r="F31" s="62"/>
    </row>
    <row r="32" spans="1:9" ht="21.75" customHeight="1" x14ac:dyDescent="0.25">
      <c r="A32" s="29">
        <v>1</v>
      </c>
      <c r="B32" s="56"/>
      <c r="C32" s="59" t="s">
        <v>6</v>
      </c>
      <c r="D32" s="75" t="s">
        <v>4971</v>
      </c>
      <c r="E32" s="76"/>
      <c r="F32" s="62"/>
    </row>
    <row r="33" spans="1:7" ht="24.75" customHeight="1" x14ac:dyDescent="0.25">
      <c r="A33" s="29">
        <v>1</v>
      </c>
      <c r="B33" s="56"/>
      <c r="C33" s="59" t="s">
        <v>7</v>
      </c>
      <c r="D33" s="75" t="s">
        <v>4972</v>
      </c>
      <c r="E33" s="76"/>
      <c r="F33" s="62"/>
    </row>
    <row r="34" spans="1:7" ht="30" customHeight="1" x14ac:dyDescent="0.25">
      <c r="A34" s="29">
        <v>1.5</v>
      </c>
      <c r="B34" s="56"/>
      <c r="C34" s="59" t="s">
        <v>8</v>
      </c>
      <c r="D34" s="112" t="s">
        <v>5012</v>
      </c>
      <c r="E34" s="113"/>
      <c r="F34" s="62"/>
    </row>
    <row r="35" spans="1:7" ht="23.25" customHeight="1" x14ac:dyDescent="0.25">
      <c r="A35" s="29">
        <v>2</v>
      </c>
      <c r="B35" s="56"/>
      <c r="C35" s="59" t="s">
        <v>36</v>
      </c>
      <c r="D35" s="88" t="s">
        <v>42</v>
      </c>
      <c r="E35" s="89"/>
      <c r="F35" s="95"/>
      <c r="G35" s="96"/>
    </row>
    <row r="36" spans="1:7" ht="21" customHeight="1" x14ac:dyDescent="0.25">
      <c r="A36" s="47">
        <v>2</v>
      </c>
      <c r="B36" s="56"/>
      <c r="C36" s="59" t="s">
        <v>47</v>
      </c>
      <c r="D36" s="88" t="s">
        <v>43</v>
      </c>
      <c r="E36" s="89"/>
      <c r="F36" s="95"/>
      <c r="G36" s="96"/>
    </row>
    <row r="37" spans="1:7" ht="28.5" customHeight="1" x14ac:dyDescent="0.25">
      <c r="A37" s="47">
        <v>1.5</v>
      </c>
      <c r="B37" s="58"/>
      <c r="C37" s="60" t="s">
        <v>48</v>
      </c>
      <c r="D37" s="66" t="s">
        <v>5013</v>
      </c>
      <c r="E37" s="67"/>
      <c r="F37" s="68"/>
      <c r="G37" s="82"/>
    </row>
    <row r="38" spans="1:7" ht="33" customHeight="1" x14ac:dyDescent="0.25">
      <c r="A38" s="47"/>
      <c r="B38" s="90" t="s">
        <v>4973</v>
      </c>
      <c r="C38" s="91"/>
      <c r="D38" s="92" t="s">
        <v>4988</v>
      </c>
      <c r="E38" s="93"/>
      <c r="F38" s="94"/>
    </row>
    <row r="39" spans="1:7" ht="20.25" customHeight="1" x14ac:dyDescent="0.25">
      <c r="A39" s="47"/>
      <c r="B39" s="54">
        <v>5</v>
      </c>
      <c r="C39" s="55"/>
      <c r="D39" s="88"/>
      <c r="E39" s="89"/>
      <c r="F39" s="81"/>
    </row>
    <row r="40" spans="1:7" ht="30.75" customHeight="1" x14ac:dyDescent="0.25">
      <c r="A40" s="47">
        <v>2</v>
      </c>
      <c r="B40" s="56"/>
      <c r="C40" s="59" t="s">
        <v>4</v>
      </c>
      <c r="D40" s="88" t="s">
        <v>4992</v>
      </c>
      <c r="E40" s="89"/>
      <c r="F40" s="62"/>
    </row>
    <row r="41" spans="1:7" ht="172.5" customHeight="1" x14ac:dyDescent="0.25">
      <c r="A41" s="47">
        <v>1</v>
      </c>
      <c r="B41" s="58"/>
      <c r="C41" s="60" t="s">
        <v>5</v>
      </c>
      <c r="D41" s="77" t="s">
        <v>5001</v>
      </c>
      <c r="E41" s="79"/>
      <c r="F41" s="86"/>
    </row>
    <row r="42" spans="1:7" ht="15.75" thickBot="1" x14ac:dyDescent="0.3">
      <c r="A42" s="51" t="s">
        <v>60</v>
      </c>
      <c r="D42" s="80"/>
    </row>
    <row r="43" spans="1:7" ht="15.75" thickTop="1" x14ac:dyDescent="0.25">
      <c r="A43" s="50">
        <f>SUM(A5:A41)</f>
        <v>29</v>
      </c>
      <c r="D43" s="80"/>
    </row>
    <row r="44" spans="1:7" x14ac:dyDescent="0.25">
      <c r="D44" s="80"/>
    </row>
    <row r="45" spans="1:7" x14ac:dyDescent="0.25">
      <c r="D45" s="80"/>
    </row>
    <row r="51" spans="4:4" x14ac:dyDescent="0.25">
      <c r="D51" s="48"/>
    </row>
    <row r="37525" spans="196:196" x14ac:dyDescent="0.25">
      <c r="GN37525" s="15" t="s">
        <v>5015</v>
      </c>
    </row>
  </sheetData>
  <mergeCells count="31">
    <mergeCell ref="D35:E35"/>
    <mergeCell ref="D30:E30"/>
    <mergeCell ref="D34:E34"/>
    <mergeCell ref="D24:F24"/>
    <mergeCell ref="D26:E26"/>
    <mergeCell ref="D25:E25"/>
    <mergeCell ref="F35:G35"/>
    <mergeCell ref="D17:E17"/>
    <mergeCell ref="D19:D22"/>
    <mergeCell ref="B28:C28"/>
    <mergeCell ref="D28:F28"/>
    <mergeCell ref="D29:F29"/>
    <mergeCell ref="B23:C23"/>
    <mergeCell ref="D23:F23"/>
    <mergeCell ref="D13:E13"/>
    <mergeCell ref="D14:E14"/>
    <mergeCell ref="A3:F3"/>
    <mergeCell ref="D15:E15"/>
    <mergeCell ref="D16:E16"/>
    <mergeCell ref="A1:C1"/>
    <mergeCell ref="A2:C2"/>
    <mergeCell ref="B4:C4"/>
    <mergeCell ref="D4:E4"/>
    <mergeCell ref="B12:C12"/>
    <mergeCell ref="D12:F12"/>
    <mergeCell ref="D40:E40"/>
    <mergeCell ref="B38:C38"/>
    <mergeCell ref="D38:F38"/>
    <mergeCell ref="D39:E39"/>
    <mergeCell ref="D36:E36"/>
    <mergeCell ref="F36:G36"/>
  </mergeCells>
  <phoneticPr fontId="0"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7" r:id="rId3" name="Drop Down 7">
              <controlPr defaultSize="0" autoLine="0" autoPict="0">
                <anchor moveWithCells="1">
                  <from>
                    <xdr:col>5</xdr:col>
                    <xdr:colOff>76200</xdr:colOff>
                    <xdr:row>7</xdr:row>
                    <xdr:rowOff>85725</xdr:rowOff>
                  </from>
                  <to>
                    <xdr:col>5</xdr:col>
                    <xdr:colOff>1466850</xdr:colOff>
                    <xdr:row>7</xdr:row>
                    <xdr:rowOff>314325</xdr:rowOff>
                  </to>
                </anchor>
              </controlPr>
            </control>
          </mc:Choice>
        </mc:AlternateContent>
        <mc:AlternateContent xmlns:mc="http://schemas.openxmlformats.org/markup-compatibility/2006">
          <mc:Choice Requires="x14">
            <control shapeId="5129" r:id="rId4" name="Drop Down 9">
              <controlPr defaultSize="0" autoLine="0" autoPict="0">
                <anchor moveWithCells="1">
                  <from>
                    <xdr:col>5</xdr:col>
                    <xdr:colOff>76200</xdr:colOff>
                    <xdr:row>8</xdr:row>
                    <xdr:rowOff>85725</xdr:rowOff>
                  </from>
                  <to>
                    <xdr:col>5</xdr:col>
                    <xdr:colOff>1466850</xdr:colOff>
                    <xdr:row>8</xdr:row>
                    <xdr:rowOff>333375</xdr:rowOff>
                  </to>
                </anchor>
              </controlPr>
            </control>
          </mc:Choice>
        </mc:AlternateContent>
        <mc:AlternateContent xmlns:mc="http://schemas.openxmlformats.org/markup-compatibility/2006">
          <mc:Choice Requires="x14">
            <control shapeId="5131" r:id="rId5" name="Drop Down 11">
              <controlPr defaultSize="0" autoLine="0" autoPict="0">
                <anchor moveWithCells="1">
                  <from>
                    <xdr:col>5</xdr:col>
                    <xdr:colOff>85725</xdr:colOff>
                    <xdr:row>40</xdr:row>
                    <xdr:rowOff>866775</xdr:rowOff>
                  </from>
                  <to>
                    <xdr:col>5</xdr:col>
                    <xdr:colOff>1476375</xdr:colOff>
                    <xdr:row>40</xdr:row>
                    <xdr:rowOff>1114425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2:IV101"/>
  <sheetViews>
    <sheetView topLeftCell="IW1" zoomScale="85" zoomScaleNormal="85" zoomScalePageLayoutView="85" workbookViewId="0">
      <selection activeCell="C12" sqref="C12:C23"/>
    </sheetView>
  </sheetViews>
  <sheetFormatPr defaultColWidth="8.85546875" defaultRowHeight="15" x14ac:dyDescent="0.25"/>
  <cols>
    <col min="1" max="1" width="8.85546875" hidden="1" customWidth="1"/>
    <col min="2" max="2" width="10.42578125" hidden="1" customWidth="1"/>
    <col min="3" max="3" width="15.42578125" hidden="1" customWidth="1"/>
    <col min="4" max="4" width="15.7109375" hidden="1" customWidth="1"/>
    <col min="5" max="12" width="8.85546875" hidden="1" customWidth="1"/>
    <col min="13" max="13" width="19" hidden="1" customWidth="1"/>
    <col min="14" max="14" width="12.140625" hidden="1" customWidth="1"/>
    <col min="15" max="15" width="27.42578125" hidden="1" customWidth="1"/>
    <col min="16" max="16" width="12.140625" hidden="1" customWidth="1"/>
    <col min="17" max="17" width="13.42578125" hidden="1" customWidth="1"/>
    <col min="18" max="18" width="11.140625" hidden="1" customWidth="1"/>
    <col min="19" max="19" width="9.42578125" hidden="1" customWidth="1"/>
    <col min="20" max="254" width="8.85546875" hidden="1" customWidth="1"/>
    <col min="255" max="255" width="44.7109375" hidden="1" customWidth="1"/>
    <col min="256" max="256" width="32.140625" hidden="1" customWidth="1"/>
  </cols>
  <sheetData>
    <row r="2" spans="1:19" x14ac:dyDescent="0.25">
      <c r="B2" s="2" t="s">
        <v>25</v>
      </c>
      <c r="C2" s="2"/>
      <c r="D2" s="12"/>
      <c r="E2" s="2"/>
      <c r="F2" s="2"/>
      <c r="G2" s="2"/>
      <c r="H2" s="2"/>
      <c r="I2" s="2"/>
      <c r="J2" s="2"/>
      <c r="N2" s="44"/>
      <c r="O2" s="44"/>
      <c r="P2" s="44"/>
      <c r="Q2" s="44"/>
      <c r="R2" s="44"/>
      <c r="S2" s="44"/>
    </row>
    <row r="3" spans="1:19" x14ac:dyDescent="0.25">
      <c r="B3" s="2" t="s">
        <v>39</v>
      </c>
      <c r="C3" s="2"/>
      <c r="D3" s="2"/>
      <c r="E3" s="2"/>
      <c r="F3" s="2"/>
      <c r="G3" s="2"/>
      <c r="H3" s="2"/>
      <c r="I3" s="2"/>
      <c r="J3" s="2"/>
      <c r="N3" s="43"/>
      <c r="O3" s="43"/>
      <c r="P3" s="43"/>
      <c r="Q3" s="43"/>
      <c r="R3" s="43"/>
      <c r="S3" s="43"/>
    </row>
    <row r="4" spans="1:19" x14ac:dyDescent="0.25">
      <c r="B4" s="2"/>
      <c r="C4" s="2"/>
      <c r="D4" s="2"/>
      <c r="E4" s="2"/>
      <c r="F4" s="2"/>
      <c r="G4" s="2"/>
      <c r="H4" s="2"/>
      <c r="I4" s="2"/>
      <c r="J4" s="2"/>
      <c r="N4" s="43"/>
      <c r="O4" s="43"/>
      <c r="P4" s="43"/>
      <c r="Q4" s="43"/>
      <c r="R4" s="43"/>
      <c r="S4" s="43"/>
    </row>
    <row r="5" spans="1:19" x14ac:dyDescent="0.25">
      <c r="B5" s="2" t="s">
        <v>22</v>
      </c>
      <c r="C5" s="10">
        <v>2014</v>
      </c>
      <c r="D5" s="2"/>
      <c r="E5" s="2"/>
      <c r="F5" s="2"/>
      <c r="G5" s="2"/>
      <c r="H5" s="2"/>
      <c r="I5" s="2"/>
      <c r="J5" s="2"/>
    </row>
    <row r="6" spans="1:19" x14ac:dyDescent="0.25">
      <c r="B6" s="2" t="s">
        <v>21</v>
      </c>
      <c r="C6" s="2" t="s">
        <v>5015</v>
      </c>
      <c r="D6" s="2"/>
      <c r="E6" s="10"/>
      <c r="F6" s="2"/>
      <c r="G6" s="2"/>
      <c r="H6" s="2"/>
      <c r="I6" s="2"/>
      <c r="J6" s="2"/>
      <c r="K6" s="34"/>
      <c r="L6" s="34"/>
      <c r="M6" s="34" t="s">
        <v>37</v>
      </c>
      <c r="N6" s="34">
        <v>1</v>
      </c>
      <c r="O6" s="34">
        <v>2</v>
      </c>
      <c r="P6" s="34">
        <v>3</v>
      </c>
      <c r="Q6" s="34">
        <v>4</v>
      </c>
      <c r="R6" s="34">
        <v>5</v>
      </c>
      <c r="S6" s="34"/>
    </row>
    <row r="7" spans="1:19" x14ac:dyDescent="0.25">
      <c r="B7" s="2" t="s">
        <v>20</v>
      </c>
      <c r="C7" s="11">
        <f>Instructions!$D$4</f>
        <v>0</v>
      </c>
      <c r="D7" s="2"/>
      <c r="E7" s="10"/>
      <c r="F7" s="2"/>
      <c r="G7" s="2"/>
      <c r="H7" s="2" t="s">
        <v>14</v>
      </c>
      <c r="I7" s="2" t="s">
        <v>19</v>
      </c>
      <c r="J7" s="2" t="s">
        <v>13</v>
      </c>
      <c r="K7" s="34"/>
      <c r="L7" s="34"/>
      <c r="M7" s="32" t="s">
        <v>44</v>
      </c>
      <c r="N7" s="35" t="s">
        <v>87</v>
      </c>
      <c r="O7" s="35" t="s">
        <v>70</v>
      </c>
      <c r="P7" s="35" t="s">
        <v>78</v>
      </c>
      <c r="Q7" s="35" t="s">
        <v>106</v>
      </c>
      <c r="R7" s="44" t="s">
        <v>84</v>
      </c>
      <c r="S7" s="35"/>
    </row>
    <row r="8" spans="1:19" x14ac:dyDescent="0.25">
      <c r="B8" s="2" t="s">
        <v>18</v>
      </c>
      <c r="C8" s="2"/>
      <c r="D8" s="2"/>
      <c r="E8" s="2"/>
      <c r="F8" s="2"/>
      <c r="G8" s="2" t="s">
        <v>54</v>
      </c>
      <c r="H8" s="2" t="s">
        <v>17</v>
      </c>
      <c r="I8" s="2"/>
      <c r="J8" s="2">
        <f>Answers!F5</f>
        <v>0</v>
      </c>
      <c r="K8" s="2" t="str">
        <f t="shared" ref="K8:K35" si="0">CLEAN(J8)</f>
        <v>0</v>
      </c>
      <c r="L8" s="34"/>
      <c r="M8" s="34" t="s">
        <v>4961</v>
      </c>
      <c r="N8" s="34">
        <f ca="1">RANDBETWEEN(180,220)*100</f>
        <v>19400</v>
      </c>
      <c r="O8" s="34">
        <f ca="1">RANDBETWEEN(180,220)*100</f>
        <v>20500</v>
      </c>
      <c r="P8" s="34">
        <f t="shared" ref="P8" ca="1" si="1">RANDBETWEEN(280,320)*100</f>
        <v>30300</v>
      </c>
      <c r="Q8" s="34">
        <f ca="1">RANDBETWEEN(180,220)*100</f>
        <v>20500</v>
      </c>
      <c r="R8" s="34">
        <f ca="1">RANDBETWEEN(280,320)*100</f>
        <v>31800</v>
      </c>
      <c r="S8" s="34"/>
    </row>
    <row r="9" spans="1:19" x14ac:dyDescent="0.25">
      <c r="B9" s="2" t="s">
        <v>15</v>
      </c>
      <c r="C9" s="8">
        <f>$GK$37521</f>
        <v>0</v>
      </c>
      <c r="D9" s="2"/>
      <c r="E9" s="2"/>
      <c r="F9" s="2"/>
      <c r="G9" s="2"/>
      <c r="H9" s="2" t="s">
        <v>12</v>
      </c>
      <c r="I9" s="2"/>
      <c r="J9" s="2">
        <f>Answers!F6</f>
        <v>0</v>
      </c>
      <c r="K9" s="2" t="str">
        <f t="shared" si="0"/>
        <v>0</v>
      </c>
      <c r="L9" s="34"/>
      <c r="M9" s="34" t="s">
        <v>4962</v>
      </c>
      <c r="N9" s="34">
        <f ca="1">RANDBETWEEN(280,320)*100</f>
        <v>30000</v>
      </c>
      <c r="O9" s="34">
        <f ca="1">RANDBETWEEN(280,320)*100</f>
        <v>28300</v>
      </c>
      <c r="P9" s="34">
        <f t="shared" ref="P9" ca="1" si="2">RANDBETWEEN(380,420)*100</f>
        <v>39100</v>
      </c>
      <c r="Q9" s="34">
        <f ca="1">RANDBETWEEN(280,320)*100</f>
        <v>28000</v>
      </c>
      <c r="R9" s="34">
        <f ca="1">RANDBETWEEN(380,420)*100</f>
        <v>39600</v>
      </c>
      <c r="S9" s="34"/>
    </row>
    <row r="10" spans="1:19" x14ac:dyDescent="0.25">
      <c r="B10" s="2" t="s">
        <v>38</v>
      </c>
      <c r="C10" s="8">
        <f>Answers!$GN$37518</f>
        <v>0</v>
      </c>
      <c r="D10" s="2"/>
      <c r="E10" s="2"/>
      <c r="F10" s="2"/>
      <c r="G10" s="2"/>
      <c r="H10" s="2" t="s">
        <v>11</v>
      </c>
      <c r="I10" s="2"/>
      <c r="J10" s="2">
        <f>Answers!F7</f>
        <v>0</v>
      </c>
      <c r="K10" s="2" t="str">
        <f t="shared" si="0"/>
        <v>0</v>
      </c>
      <c r="L10" s="34"/>
      <c r="M10" s="34" t="s">
        <v>51</v>
      </c>
      <c r="N10" s="34">
        <f ca="1">RANDBETWEEN(280,290)*100</f>
        <v>28600</v>
      </c>
      <c r="O10" s="34">
        <f ca="1">RANDBETWEEN(250,260)*100</f>
        <v>25700</v>
      </c>
      <c r="P10" s="34">
        <f ca="1">RANDBETWEEN(250,260)*100</f>
        <v>25500</v>
      </c>
      <c r="Q10" s="34">
        <f ca="1">RANDBETWEEN(220,230)*100</f>
        <v>22800</v>
      </c>
      <c r="R10" s="34">
        <f ca="1">RANDBETWEEN(250,260)*100</f>
        <v>26000</v>
      </c>
      <c r="S10" s="43"/>
    </row>
    <row r="11" spans="1:19" x14ac:dyDescent="0.25">
      <c r="B11" s="2"/>
      <c r="C11" s="8"/>
      <c r="D11" s="2"/>
      <c r="E11" s="2"/>
      <c r="F11" s="2"/>
      <c r="G11" s="2"/>
      <c r="H11" s="32" t="s">
        <v>41</v>
      </c>
      <c r="I11" s="34">
        <v>1</v>
      </c>
      <c r="J11" s="34" t="str">
        <f>VLOOKUP(I11,M22:O25,3,FALSE)</f>
        <v>Left Click</v>
      </c>
      <c r="K11" s="2" t="str">
        <f t="shared" si="0"/>
        <v>Left Click</v>
      </c>
      <c r="L11" s="34"/>
      <c r="M11" s="34" t="s">
        <v>4963</v>
      </c>
      <c r="N11" s="34">
        <f ca="1">RANDBETWEEN(300,310)*100</f>
        <v>30800</v>
      </c>
      <c r="O11" s="34">
        <f ca="1">RANDBETWEEN(280,290)*100</f>
        <v>28000</v>
      </c>
      <c r="P11" s="34">
        <f ca="1">RANDBETWEEN(280,290)*100</f>
        <v>28000</v>
      </c>
      <c r="Q11" s="34">
        <f ca="1">RANDBETWEEN(240,250)*100</f>
        <v>25000</v>
      </c>
      <c r="R11" s="34">
        <f ca="1">RANDBETWEEN(300,310)*100</f>
        <v>30300</v>
      </c>
      <c r="S11" s="46"/>
    </row>
    <row r="12" spans="1:19" s="43" customFormat="1" x14ac:dyDescent="0.25">
      <c r="B12" s="2"/>
      <c r="C12" s="8"/>
      <c r="D12" s="2"/>
      <c r="E12" s="2"/>
      <c r="F12" s="2"/>
      <c r="G12" s="2"/>
      <c r="H12" s="32" t="s">
        <v>45</v>
      </c>
      <c r="I12" s="34">
        <v>1</v>
      </c>
      <c r="J12" s="34" t="str">
        <f>VLOOKUP(I12,M22:S25,7,FALSE)</f>
        <v>Left Click</v>
      </c>
      <c r="K12" s="2" t="str">
        <f t="shared" si="0"/>
        <v>Left Click</v>
      </c>
      <c r="L12" s="34"/>
      <c r="M12" s="34" t="s">
        <v>4964</v>
      </c>
      <c r="N12" s="34">
        <f ca="1">RANDBETWEEN(350,360)*100</f>
        <v>35700</v>
      </c>
      <c r="O12" s="34">
        <f ca="1">RANDBETWEEN(300,310)*100</f>
        <v>30700</v>
      </c>
      <c r="P12" s="34">
        <f ca="1">RANDBETWEEN(300,310)*100</f>
        <v>30500</v>
      </c>
      <c r="Q12" s="34">
        <f ca="1">RANDBETWEEN(260,270)*100</f>
        <v>26400</v>
      </c>
      <c r="R12" s="34">
        <f ca="1">RANDBETWEEN(350,360)*100</f>
        <v>35500</v>
      </c>
      <c r="S12" s="46"/>
    </row>
    <row r="13" spans="1:19" x14ac:dyDescent="0.25">
      <c r="A13">
        <v>1</v>
      </c>
      <c r="B13" s="32" t="s">
        <v>37</v>
      </c>
      <c r="C13" s="2">
        <v>1</v>
      </c>
      <c r="D13" s="2"/>
      <c r="E13" s="2"/>
      <c r="F13" s="2"/>
      <c r="G13" s="2"/>
      <c r="H13" s="32" t="s">
        <v>4965</v>
      </c>
      <c r="J13" s="34">
        <f>Answers!F10</f>
        <v>0</v>
      </c>
      <c r="K13" s="2" t="str">
        <f t="shared" si="0"/>
        <v>0</v>
      </c>
      <c r="L13" s="34"/>
      <c r="M13" s="34" t="s">
        <v>32</v>
      </c>
      <c r="N13" s="36">
        <f ca="1">RANDBETWEEN(100,110)</f>
        <v>104</v>
      </c>
      <c r="O13" s="36">
        <f ca="1">RANDBETWEEN(110,120)</f>
        <v>120</v>
      </c>
      <c r="P13" s="36">
        <f ca="1">RANDBETWEEN(98,108)</f>
        <v>103</v>
      </c>
      <c r="Q13" s="36">
        <f ca="1">RANDBETWEEN(90,100)</f>
        <v>99</v>
      </c>
      <c r="R13" s="36">
        <f ca="1">RANDBETWEEN(130,140)</f>
        <v>132</v>
      </c>
      <c r="S13" s="46"/>
    </row>
    <row r="14" spans="1:19" x14ac:dyDescent="0.25">
      <c r="A14">
        <v>2</v>
      </c>
      <c r="B14" s="2" t="s">
        <v>44</v>
      </c>
      <c r="C14" s="2" t="s">
        <v>87</v>
      </c>
      <c r="D14" s="2"/>
      <c r="E14" s="2"/>
      <c r="F14" s="2"/>
      <c r="G14" s="2"/>
      <c r="H14" s="2" t="s">
        <v>4977</v>
      </c>
      <c r="I14" s="2"/>
      <c r="J14" s="2">
        <f>Answers!F11</f>
        <v>0</v>
      </c>
      <c r="K14" s="2" t="str">
        <f t="shared" si="0"/>
        <v>0</v>
      </c>
      <c r="L14" s="34"/>
      <c r="M14" s="34" t="s">
        <v>31</v>
      </c>
      <c r="N14" s="49">
        <f ca="1">RANDBETWEEN(380,450)*1000</f>
        <v>388000</v>
      </c>
      <c r="O14" s="49">
        <f ca="1">RANDBETWEEN(500,520)*1000</f>
        <v>500000</v>
      </c>
      <c r="P14" s="49">
        <f ca="1">RANDBETWEEN(450,470)*1000</f>
        <v>451000</v>
      </c>
      <c r="Q14" s="49">
        <f ca="1">RANDBETWEEN(240,300)*1000</f>
        <v>278000</v>
      </c>
      <c r="R14" s="49">
        <f ca="1">RANDBETWEEN(640,680)*1000</f>
        <v>640000</v>
      </c>
      <c r="S14" s="36"/>
    </row>
    <row r="15" spans="1:19" x14ac:dyDescent="0.25">
      <c r="A15">
        <v>3</v>
      </c>
      <c r="B15" s="34" t="s">
        <v>4961</v>
      </c>
      <c r="C15" s="2">
        <v>21400</v>
      </c>
      <c r="D15" s="2"/>
      <c r="E15" s="2"/>
      <c r="F15" s="2"/>
      <c r="G15" s="2"/>
      <c r="H15" s="2" t="s">
        <v>26</v>
      </c>
      <c r="I15" s="2"/>
      <c r="J15" s="2">
        <f>Answers!F13</f>
        <v>0</v>
      </c>
      <c r="K15" s="2" t="str">
        <f t="shared" si="0"/>
        <v>0</v>
      </c>
      <c r="L15" s="34"/>
      <c r="M15" s="34" t="s">
        <v>52</v>
      </c>
      <c r="N15" s="37">
        <f ca="1">RANDBETWEEN(16,24)</f>
        <v>19</v>
      </c>
      <c r="O15" s="37">
        <f t="shared" ref="O15:R15" ca="1" si="3">RANDBETWEEN(16,24)</f>
        <v>23</v>
      </c>
      <c r="P15" s="37">
        <f t="shared" ca="1" si="3"/>
        <v>21</v>
      </c>
      <c r="Q15" s="37">
        <f t="shared" ca="1" si="3"/>
        <v>17</v>
      </c>
      <c r="R15" s="37">
        <f t="shared" ca="1" si="3"/>
        <v>16</v>
      </c>
      <c r="S15" s="49"/>
    </row>
    <row r="16" spans="1:19" x14ac:dyDescent="0.25">
      <c r="A16">
        <v>4</v>
      </c>
      <c r="B16" s="34" t="s">
        <v>4962</v>
      </c>
      <c r="C16" s="2">
        <v>31900</v>
      </c>
      <c r="D16" s="2"/>
      <c r="E16" s="9"/>
      <c r="F16" s="2"/>
      <c r="G16" s="2"/>
      <c r="H16" s="2" t="s">
        <v>27</v>
      </c>
      <c r="I16" s="2"/>
      <c r="J16" s="2">
        <f>Answers!F14</f>
        <v>0</v>
      </c>
      <c r="K16" s="2" t="str">
        <f t="shared" si="0"/>
        <v>0</v>
      </c>
      <c r="L16" s="34"/>
      <c r="M16" s="34" t="s">
        <v>4981</v>
      </c>
      <c r="N16">
        <f ca="1">RANDBETWEEN(1,2)</f>
        <v>2</v>
      </c>
      <c r="S16" s="37"/>
    </row>
    <row r="17" spans="1:19" x14ac:dyDescent="0.25">
      <c r="A17">
        <v>5</v>
      </c>
      <c r="B17" s="34" t="s">
        <v>51</v>
      </c>
      <c r="C17" s="2">
        <v>28900</v>
      </c>
      <c r="D17" s="2"/>
      <c r="E17" s="2"/>
      <c r="F17" s="2"/>
      <c r="G17" s="2"/>
      <c r="H17" s="2" t="s">
        <v>28</v>
      </c>
      <c r="I17" s="2"/>
      <c r="J17" s="2">
        <f>Answers!F15</f>
        <v>0</v>
      </c>
      <c r="K17" s="2" t="str">
        <f t="shared" si="0"/>
        <v>0</v>
      </c>
      <c r="L17" s="34"/>
    </row>
    <row r="18" spans="1:19" x14ac:dyDescent="0.25">
      <c r="A18">
        <v>6</v>
      </c>
      <c r="B18" s="34" t="s">
        <v>4963</v>
      </c>
      <c r="C18" s="2">
        <v>30300</v>
      </c>
      <c r="D18" s="2"/>
      <c r="E18" s="2"/>
      <c r="F18" s="2"/>
      <c r="G18" s="2"/>
      <c r="H18" s="2" t="s">
        <v>56</v>
      </c>
      <c r="I18" s="2"/>
      <c r="J18" s="2">
        <f>Answers!F16</f>
        <v>0</v>
      </c>
      <c r="K18" s="2" t="str">
        <f t="shared" si="0"/>
        <v>0</v>
      </c>
      <c r="L18" s="34"/>
      <c r="M18" s="34"/>
      <c r="N18" s="34"/>
      <c r="O18" s="34"/>
      <c r="P18" s="34"/>
      <c r="Q18" s="34"/>
      <c r="R18" s="34"/>
      <c r="S18" s="34"/>
    </row>
    <row r="19" spans="1:19" x14ac:dyDescent="0.25">
      <c r="A19">
        <v>7</v>
      </c>
      <c r="B19" s="34" t="s">
        <v>4964</v>
      </c>
      <c r="C19" s="2">
        <v>35600</v>
      </c>
      <c r="D19" s="2"/>
      <c r="E19" s="2"/>
      <c r="F19" s="2"/>
      <c r="G19" s="2"/>
      <c r="H19" s="2" t="s">
        <v>57</v>
      </c>
      <c r="I19" s="2"/>
      <c r="J19" s="2">
        <f>Answers!F17</f>
        <v>0</v>
      </c>
      <c r="K19" s="2" t="str">
        <f t="shared" si="0"/>
        <v>0</v>
      </c>
      <c r="L19" s="34"/>
      <c r="M19" s="34"/>
      <c r="N19" s="34"/>
      <c r="O19" s="34"/>
      <c r="P19" s="34"/>
      <c r="Q19" s="34"/>
      <c r="R19" s="34"/>
      <c r="S19" s="34"/>
    </row>
    <row r="20" spans="1:19" x14ac:dyDescent="0.25">
      <c r="A20">
        <v>8</v>
      </c>
      <c r="B20" s="34" t="s">
        <v>32</v>
      </c>
      <c r="C20" s="2">
        <v>108</v>
      </c>
      <c r="D20" s="2"/>
      <c r="E20" s="2"/>
      <c r="F20" s="2"/>
      <c r="G20" s="2"/>
      <c r="H20" s="2" t="s">
        <v>49</v>
      </c>
      <c r="I20" s="2"/>
      <c r="J20" s="2">
        <f>Answers!F18</f>
        <v>0</v>
      </c>
      <c r="K20" s="2" t="str">
        <f t="shared" si="0"/>
        <v>0</v>
      </c>
      <c r="L20" s="34"/>
      <c r="M20" s="34"/>
      <c r="N20" s="34"/>
      <c r="O20" s="34"/>
      <c r="P20" s="34"/>
      <c r="Q20" s="34"/>
      <c r="R20" s="34"/>
      <c r="S20" s="34"/>
    </row>
    <row r="21" spans="1:19" x14ac:dyDescent="0.25">
      <c r="A21">
        <v>9</v>
      </c>
      <c r="B21" s="34" t="s">
        <v>31</v>
      </c>
      <c r="C21" s="38">
        <v>437000</v>
      </c>
      <c r="D21" s="2"/>
      <c r="E21" s="2"/>
      <c r="F21" s="2"/>
      <c r="G21" s="2"/>
      <c r="H21" s="2" t="s">
        <v>50</v>
      </c>
      <c r="I21" s="2"/>
      <c r="J21" s="2">
        <f>Answers!F20</f>
        <v>0</v>
      </c>
      <c r="K21" s="2" t="str">
        <f t="shared" si="0"/>
        <v>0</v>
      </c>
      <c r="L21" s="34"/>
      <c r="M21" s="34"/>
      <c r="N21" s="34"/>
      <c r="O21" s="34"/>
      <c r="P21" s="34"/>
      <c r="Q21" s="34"/>
      <c r="R21" s="34"/>
      <c r="S21" s="34"/>
    </row>
    <row r="22" spans="1:19" x14ac:dyDescent="0.25">
      <c r="A22">
        <v>10</v>
      </c>
      <c r="B22" s="34" t="s">
        <v>52</v>
      </c>
      <c r="C22" s="2">
        <v>24</v>
      </c>
      <c r="D22" s="2"/>
      <c r="E22" s="2"/>
      <c r="F22" s="2"/>
      <c r="G22" s="2"/>
      <c r="H22" s="2" t="s">
        <v>51</v>
      </c>
      <c r="I22" s="2"/>
      <c r="J22" s="2">
        <f>Answers!F21</f>
        <v>0</v>
      </c>
      <c r="K22" s="2" t="str">
        <f t="shared" si="0"/>
        <v>0</v>
      </c>
      <c r="L22" s="34"/>
      <c r="M22" s="34">
        <v>1</v>
      </c>
      <c r="N22" s="34" t="s">
        <v>55</v>
      </c>
      <c r="O22" t="s">
        <v>55</v>
      </c>
      <c r="P22" t="s">
        <v>55</v>
      </c>
      <c r="Q22" s="34">
        <v>1</v>
      </c>
      <c r="R22" s="34" t="s">
        <v>4987</v>
      </c>
      <c r="S22" s="34" t="s">
        <v>55</v>
      </c>
    </row>
    <row r="23" spans="1:19" x14ac:dyDescent="0.25">
      <c r="A23">
        <v>11</v>
      </c>
      <c r="B23" s="34" t="s">
        <v>4981</v>
      </c>
      <c r="C23" s="2" t="s">
        <v>4987</v>
      </c>
      <c r="D23" s="2"/>
      <c r="E23" s="2"/>
      <c r="F23" s="2"/>
      <c r="G23" s="2"/>
      <c r="H23" s="2" t="s">
        <v>4963</v>
      </c>
      <c r="I23" s="2"/>
      <c r="J23" s="2">
        <f>Answers!F22</f>
        <v>0</v>
      </c>
      <c r="K23" s="2" t="str">
        <f t="shared" si="0"/>
        <v>0</v>
      </c>
      <c r="L23" s="34"/>
      <c r="M23" s="34">
        <v>2</v>
      </c>
      <c r="N23" s="34" t="s">
        <v>4966</v>
      </c>
      <c r="O23" s="34" t="s">
        <v>4974</v>
      </c>
      <c r="P23" s="34" t="s">
        <v>4983</v>
      </c>
      <c r="Q23" s="34">
        <v>2</v>
      </c>
      <c r="R23" s="34" t="s">
        <v>4989</v>
      </c>
      <c r="S23" s="34" t="s">
        <v>4993</v>
      </c>
    </row>
    <row r="24" spans="1:19" x14ac:dyDescent="0.25">
      <c r="A24" s="43"/>
      <c r="B24" s="2" t="s">
        <v>5014</v>
      </c>
      <c r="C24" s="33">
        <v>43024.610047916663</v>
      </c>
      <c r="D24" s="33">
        <v>43024.609371874998</v>
      </c>
      <c r="E24" s="2"/>
      <c r="F24" s="2"/>
      <c r="G24" s="2"/>
      <c r="H24" s="2" t="s">
        <v>32</v>
      </c>
      <c r="I24" s="2"/>
      <c r="J24" s="2">
        <f>Answers!F25</f>
        <v>0</v>
      </c>
      <c r="K24" s="2" t="str">
        <f t="shared" si="0"/>
        <v>0</v>
      </c>
      <c r="L24" s="34"/>
      <c r="M24" s="34">
        <v>3</v>
      </c>
      <c r="N24" s="34" t="s">
        <v>4967</v>
      </c>
      <c r="O24" s="34" t="s">
        <v>4975</v>
      </c>
      <c r="P24" s="34" t="s">
        <v>4984</v>
      </c>
      <c r="Q24" s="42"/>
      <c r="R24" s="34"/>
      <c r="S24" s="34" t="s">
        <v>4994</v>
      </c>
    </row>
    <row r="25" spans="1:19" x14ac:dyDescent="0.25">
      <c r="A25" s="34"/>
      <c r="B25" s="2"/>
      <c r="C25" s="33"/>
      <c r="D25" s="33"/>
      <c r="E25" s="2"/>
      <c r="F25" s="2"/>
      <c r="G25" s="2"/>
      <c r="H25" s="2" t="s">
        <v>33</v>
      </c>
      <c r="I25" s="2"/>
      <c r="J25" s="2">
        <f>Answers!F26</f>
        <v>0</v>
      </c>
      <c r="K25" s="2" t="str">
        <f t="shared" si="0"/>
        <v>0</v>
      </c>
      <c r="L25" s="34"/>
      <c r="M25" s="34">
        <v>4</v>
      </c>
      <c r="N25" s="35"/>
      <c r="O25" s="34" t="s">
        <v>4976</v>
      </c>
      <c r="P25" s="34" t="s">
        <v>4985</v>
      </c>
      <c r="Q25" s="34"/>
      <c r="R25" s="34"/>
      <c r="S25" s="34" t="s">
        <v>4990</v>
      </c>
    </row>
    <row r="26" spans="1:19" x14ac:dyDescent="0.25">
      <c r="A26" s="34"/>
      <c r="B26" s="2"/>
      <c r="C26" s="33"/>
      <c r="D26" s="33"/>
      <c r="E26" s="2"/>
      <c r="F26" s="2"/>
      <c r="G26" s="2"/>
      <c r="H26" s="2" t="s">
        <v>29</v>
      </c>
      <c r="I26" s="2"/>
      <c r="J26" s="2">
        <f>Answers!F30</f>
        <v>0</v>
      </c>
      <c r="K26" s="2" t="str">
        <f t="shared" si="0"/>
        <v>0</v>
      </c>
      <c r="L26" s="34"/>
      <c r="M26" s="34">
        <v>5</v>
      </c>
      <c r="N26" s="35"/>
      <c r="O26" s="34"/>
      <c r="P26" s="34" t="s">
        <v>4986</v>
      </c>
      <c r="Q26" s="34"/>
      <c r="R26" s="34"/>
      <c r="S26" s="34"/>
    </row>
    <row r="27" spans="1:19" x14ac:dyDescent="0.25">
      <c r="A27" s="34"/>
      <c r="B27" s="2"/>
      <c r="C27" s="33"/>
      <c r="D27" s="33"/>
      <c r="E27" s="2"/>
      <c r="F27" s="2"/>
      <c r="G27" s="2"/>
      <c r="H27" s="2" t="s">
        <v>30</v>
      </c>
      <c r="I27" s="2"/>
      <c r="J27" s="2">
        <f>Answers!F31</f>
        <v>0</v>
      </c>
      <c r="K27" s="2" t="str">
        <f t="shared" si="0"/>
        <v>0</v>
      </c>
      <c r="M27" s="34"/>
      <c r="N27" s="35"/>
      <c r="O27" s="34"/>
      <c r="P27" s="34"/>
      <c r="Q27" s="34"/>
    </row>
    <row r="28" spans="1:19" x14ac:dyDescent="0.25">
      <c r="A28" s="34"/>
      <c r="B28" s="2"/>
      <c r="C28" s="33"/>
      <c r="D28" s="33"/>
      <c r="E28" s="2"/>
      <c r="F28" s="2"/>
      <c r="G28" s="2"/>
      <c r="H28" s="8" t="s">
        <v>31</v>
      </c>
      <c r="I28" s="2"/>
      <c r="J28" s="2">
        <f>Answers!F32</f>
        <v>0</v>
      </c>
      <c r="K28" s="2" t="str">
        <f t="shared" si="0"/>
        <v>0</v>
      </c>
      <c r="M28" s="34"/>
      <c r="N28" s="39"/>
      <c r="O28" s="34"/>
      <c r="P28" s="34"/>
      <c r="Q28" s="34"/>
    </row>
    <row r="29" spans="1:19" x14ac:dyDescent="0.25">
      <c r="A29" s="34"/>
      <c r="B29" s="2"/>
      <c r="C29" s="33"/>
      <c r="D29" s="33"/>
      <c r="E29" s="2"/>
      <c r="F29" s="2"/>
      <c r="G29" s="2"/>
      <c r="H29" s="2" t="s">
        <v>58</v>
      </c>
      <c r="I29" s="2"/>
      <c r="J29" s="2">
        <f>Answers!F33</f>
        <v>0</v>
      </c>
      <c r="K29" s="2" t="str">
        <f t="shared" si="0"/>
        <v>0</v>
      </c>
      <c r="L29" s="34"/>
      <c r="M29" s="34"/>
      <c r="N29" s="34"/>
      <c r="O29" s="34"/>
      <c r="P29" s="34"/>
      <c r="Q29" s="34"/>
    </row>
    <row r="30" spans="1:19" x14ac:dyDescent="0.25">
      <c r="A30" s="34"/>
      <c r="B30" s="2"/>
      <c r="C30" s="33"/>
      <c r="D30" s="33"/>
      <c r="E30" s="2"/>
      <c r="F30" s="2"/>
      <c r="G30" s="2"/>
      <c r="H30" s="2" t="s">
        <v>59</v>
      </c>
      <c r="I30" s="2"/>
      <c r="J30" s="2">
        <f>Answers!F34</f>
        <v>0</v>
      </c>
      <c r="K30" s="2" t="str">
        <f t="shared" si="0"/>
        <v>0</v>
      </c>
      <c r="L30" s="34"/>
      <c r="M30" s="34"/>
      <c r="N30" s="34"/>
      <c r="O30" s="34"/>
      <c r="P30" s="34"/>
      <c r="Q30" s="34"/>
      <c r="R30" s="34"/>
      <c r="S30" s="34"/>
    </row>
    <row r="31" spans="1:19" x14ac:dyDescent="0.25">
      <c r="A31" s="34"/>
      <c r="B31" s="2"/>
      <c r="C31" s="33"/>
      <c r="D31" s="33"/>
      <c r="E31" s="2"/>
      <c r="F31" s="2"/>
      <c r="G31" s="2"/>
      <c r="H31" s="2" t="s">
        <v>52</v>
      </c>
      <c r="I31" s="2"/>
      <c r="J31" s="2">
        <f>Answers!F35</f>
        <v>0</v>
      </c>
      <c r="K31" s="2" t="str">
        <f t="shared" si="0"/>
        <v>0</v>
      </c>
      <c r="L31" s="34"/>
      <c r="M31" s="34"/>
      <c r="N31" s="34"/>
      <c r="O31" s="34"/>
      <c r="P31" s="34"/>
      <c r="Q31" s="34"/>
      <c r="R31" s="34"/>
      <c r="S31" s="34"/>
    </row>
    <row r="32" spans="1:19" x14ac:dyDescent="0.25">
      <c r="A32" s="34"/>
      <c r="B32" s="2"/>
      <c r="C32" s="33"/>
      <c r="D32" s="33"/>
      <c r="E32" s="2"/>
      <c r="F32" s="2"/>
      <c r="G32" s="2"/>
      <c r="H32" s="32" t="s">
        <v>4979</v>
      </c>
      <c r="I32" s="32"/>
      <c r="J32" s="2">
        <f>Answers!F36</f>
        <v>0</v>
      </c>
      <c r="K32" s="2" t="str">
        <f t="shared" si="0"/>
        <v>0</v>
      </c>
      <c r="L32" s="34"/>
      <c r="M32" s="34"/>
      <c r="N32" s="34"/>
      <c r="O32" s="34"/>
      <c r="P32" s="34"/>
      <c r="Q32" s="34"/>
      <c r="R32" s="34"/>
      <c r="S32" s="34"/>
    </row>
    <row r="33" spans="1:19" x14ac:dyDescent="0.25">
      <c r="A33" s="34"/>
      <c r="B33" s="2"/>
      <c r="C33" s="33"/>
      <c r="D33" s="33"/>
      <c r="E33" s="2"/>
      <c r="F33" s="2"/>
      <c r="G33" s="2"/>
      <c r="H33" s="32" t="s">
        <v>4980</v>
      </c>
      <c r="I33" s="32"/>
      <c r="J33" s="2">
        <f>Answers!F37</f>
        <v>0</v>
      </c>
      <c r="K33" s="2" t="str">
        <f t="shared" si="0"/>
        <v>0</v>
      </c>
      <c r="L33" s="34"/>
      <c r="N33" s="34"/>
    </row>
    <row r="34" spans="1:19" x14ac:dyDescent="0.25">
      <c r="A34" s="34"/>
      <c r="B34" s="2"/>
      <c r="C34" s="33"/>
      <c r="D34" s="33"/>
      <c r="E34" s="2"/>
      <c r="F34" s="2"/>
      <c r="G34" s="2"/>
      <c r="H34" s="32" t="s">
        <v>4981</v>
      </c>
      <c r="I34" s="32"/>
      <c r="J34" s="2">
        <f>Answers!F40</f>
        <v>0</v>
      </c>
      <c r="K34" s="2" t="str">
        <f t="shared" si="0"/>
        <v>0</v>
      </c>
      <c r="L34" s="34"/>
      <c r="N34" s="34"/>
    </row>
    <row r="35" spans="1:19" x14ac:dyDescent="0.25">
      <c r="A35" s="34"/>
      <c r="B35" s="2"/>
      <c r="C35" s="33"/>
      <c r="D35" s="33"/>
      <c r="E35" s="2"/>
      <c r="F35" s="2"/>
      <c r="G35" s="2"/>
      <c r="H35" s="32" t="s">
        <v>4982</v>
      </c>
      <c r="I35" s="32">
        <v>1</v>
      </c>
      <c r="J35" s="2" t="str">
        <f>VLOOKUP(I35,M22:P26,4,FALSE)</f>
        <v>Left Click</v>
      </c>
      <c r="K35" s="2" t="str">
        <f t="shared" si="0"/>
        <v>Left Click</v>
      </c>
      <c r="L35" s="34"/>
      <c r="N35" s="34"/>
    </row>
    <row r="36" spans="1:19" x14ac:dyDescent="0.25">
      <c r="A36" s="34"/>
      <c r="B36" s="2"/>
      <c r="C36" s="33"/>
      <c r="D36" s="33"/>
      <c r="E36" s="2"/>
      <c r="F36" s="2"/>
      <c r="G36" s="2"/>
      <c r="H36" s="32"/>
      <c r="I36" s="32"/>
      <c r="J36" s="32"/>
      <c r="K36" s="32"/>
      <c r="L36" s="34"/>
      <c r="N36" s="34"/>
    </row>
    <row r="37" spans="1:19" x14ac:dyDescent="0.25">
      <c r="A37" s="34"/>
      <c r="B37" s="2"/>
      <c r="C37" s="33"/>
      <c r="D37" s="33"/>
      <c r="E37" s="2"/>
      <c r="F37" s="2"/>
      <c r="G37" s="2"/>
      <c r="H37" s="32"/>
      <c r="I37" s="32"/>
      <c r="J37" s="32"/>
      <c r="K37" s="32"/>
      <c r="L37" s="34"/>
      <c r="N37" s="34"/>
    </row>
    <row r="38" spans="1:19" x14ac:dyDescent="0.25">
      <c r="A38" s="34"/>
      <c r="B38" s="2"/>
      <c r="C38" s="33"/>
      <c r="D38" s="33"/>
      <c r="E38" s="2"/>
      <c r="F38" s="2"/>
      <c r="G38" s="2"/>
      <c r="H38" s="32"/>
      <c r="I38" s="32"/>
      <c r="J38" s="32"/>
      <c r="K38" s="32"/>
    </row>
    <row r="39" spans="1:19" x14ac:dyDescent="0.25">
      <c r="A39" s="34"/>
      <c r="B39" s="34"/>
      <c r="C39" s="87"/>
      <c r="D39" s="87"/>
      <c r="E39" s="34"/>
      <c r="F39" s="34"/>
      <c r="H39" s="32"/>
      <c r="I39" s="32"/>
      <c r="J39" s="32"/>
      <c r="K39" s="32"/>
      <c r="N39" s="35"/>
      <c r="O39" s="35"/>
      <c r="P39" s="35"/>
      <c r="Q39" s="35"/>
      <c r="R39" s="35"/>
      <c r="S39" s="35"/>
    </row>
    <row r="40" spans="1:19" x14ac:dyDescent="0.25">
      <c r="A40" s="34"/>
      <c r="B40" s="34"/>
      <c r="C40" s="87"/>
      <c r="D40" s="87"/>
      <c r="E40" s="34"/>
      <c r="F40" s="34"/>
      <c r="H40" s="32"/>
      <c r="I40" s="32"/>
      <c r="J40" s="32"/>
      <c r="K40" s="32"/>
    </row>
    <row r="41" spans="1:19" x14ac:dyDescent="0.25">
      <c r="A41" s="34"/>
      <c r="B41" s="34"/>
      <c r="C41" s="87"/>
      <c r="D41" s="87"/>
      <c r="E41" s="34"/>
      <c r="F41" s="34"/>
      <c r="H41" s="32"/>
      <c r="I41" s="32"/>
      <c r="J41" s="32"/>
      <c r="K41" s="32"/>
    </row>
    <row r="42" spans="1:19" x14ac:dyDescent="0.25">
      <c r="A42" s="34"/>
      <c r="B42" s="34"/>
      <c r="C42" s="87"/>
      <c r="D42" s="87"/>
      <c r="E42" s="34"/>
      <c r="F42" s="34"/>
      <c r="H42" s="32"/>
      <c r="I42" s="32"/>
      <c r="J42" s="32"/>
      <c r="K42" s="32"/>
    </row>
    <row r="43" spans="1:19" x14ac:dyDescent="0.25">
      <c r="A43" s="34"/>
      <c r="B43" s="34"/>
      <c r="C43" s="34"/>
      <c r="D43" s="34"/>
      <c r="E43" s="34"/>
      <c r="F43" s="34"/>
      <c r="H43" s="32"/>
      <c r="I43" s="32"/>
      <c r="J43" s="32"/>
      <c r="K43" s="32"/>
    </row>
    <row r="44" spans="1:19" x14ac:dyDescent="0.25">
      <c r="A44" s="34"/>
      <c r="B44" s="34"/>
      <c r="C44" s="34"/>
      <c r="D44" s="34"/>
      <c r="E44" s="34"/>
      <c r="F44" s="34"/>
      <c r="H44" s="32"/>
      <c r="I44" s="32"/>
      <c r="J44" s="32"/>
      <c r="K44" s="32"/>
    </row>
    <row r="45" spans="1:19" x14ac:dyDescent="0.25">
      <c r="A45" s="34"/>
      <c r="B45" s="34"/>
      <c r="C45" s="34"/>
      <c r="D45" s="34"/>
      <c r="E45" s="34"/>
      <c r="F45" s="34"/>
      <c r="H45" s="32"/>
      <c r="I45" s="32"/>
      <c r="J45" s="32"/>
      <c r="K45" s="32"/>
    </row>
    <row r="46" spans="1:19" x14ac:dyDescent="0.25">
      <c r="A46" s="34"/>
      <c r="B46" s="34"/>
      <c r="C46" s="34"/>
      <c r="D46" s="34"/>
      <c r="E46" s="34"/>
      <c r="F46" s="34"/>
      <c r="H46" s="32"/>
      <c r="I46" s="32"/>
      <c r="J46" s="32"/>
      <c r="K46" s="32"/>
    </row>
    <row r="47" spans="1:19" x14ac:dyDescent="0.25">
      <c r="A47" s="34"/>
      <c r="B47" s="34"/>
      <c r="C47" s="34"/>
      <c r="D47" s="34"/>
      <c r="E47" s="34"/>
      <c r="F47" s="34"/>
    </row>
    <row r="48" spans="1:19" x14ac:dyDescent="0.25">
      <c r="A48" s="34"/>
      <c r="B48" s="34"/>
      <c r="C48" s="34"/>
      <c r="D48" s="34"/>
      <c r="E48" s="34"/>
      <c r="F48" s="34"/>
    </row>
    <row r="49" spans="1:6" x14ac:dyDescent="0.25">
      <c r="A49" s="34"/>
      <c r="B49" s="34"/>
      <c r="C49" s="34"/>
      <c r="D49" s="34"/>
      <c r="E49" s="34"/>
      <c r="F49" s="34"/>
    </row>
    <row r="50" spans="1:6" x14ac:dyDescent="0.25">
      <c r="A50" s="34"/>
      <c r="B50" s="34"/>
      <c r="C50" s="34"/>
      <c r="D50" s="34"/>
      <c r="E50" s="34"/>
      <c r="F50" s="34"/>
    </row>
    <row r="51" spans="1:6" x14ac:dyDescent="0.25">
      <c r="A51" s="34"/>
      <c r="B51" s="34"/>
      <c r="C51" s="34"/>
      <c r="D51" s="34"/>
      <c r="E51" s="34"/>
      <c r="F51" s="34"/>
    </row>
    <row r="52" spans="1:6" x14ac:dyDescent="0.25">
      <c r="A52" s="34"/>
      <c r="B52" s="34"/>
      <c r="C52" s="34"/>
      <c r="D52" s="34"/>
      <c r="E52" s="34"/>
      <c r="F52" s="34"/>
    </row>
    <row r="53" spans="1:6" x14ac:dyDescent="0.25">
      <c r="A53" s="34"/>
      <c r="B53" s="34"/>
      <c r="C53" s="34"/>
      <c r="D53" s="34"/>
      <c r="E53" s="34"/>
      <c r="F53" s="34"/>
    </row>
    <row r="54" spans="1:6" x14ac:dyDescent="0.25">
      <c r="A54" s="34"/>
      <c r="B54" s="34"/>
      <c r="C54" s="34"/>
      <c r="D54" s="34"/>
      <c r="E54" s="34"/>
      <c r="F54" s="34"/>
    </row>
    <row r="55" spans="1:6" x14ac:dyDescent="0.25">
      <c r="A55" s="34"/>
      <c r="B55" s="34"/>
      <c r="C55" s="34"/>
      <c r="D55" s="34"/>
      <c r="E55" s="34"/>
      <c r="F55" s="34"/>
    </row>
    <row r="56" spans="1:6" x14ac:dyDescent="0.25">
      <c r="A56" s="34"/>
      <c r="B56" s="34"/>
      <c r="C56" s="34"/>
      <c r="D56" s="34"/>
      <c r="E56" s="34"/>
      <c r="F56" s="34"/>
    </row>
    <row r="57" spans="1:6" x14ac:dyDescent="0.25">
      <c r="A57" s="34"/>
      <c r="B57" s="34"/>
      <c r="C57" s="34"/>
      <c r="D57" s="34"/>
      <c r="E57" s="34"/>
      <c r="F57" s="34"/>
    </row>
    <row r="58" spans="1:6" x14ac:dyDescent="0.25">
      <c r="A58" s="34"/>
      <c r="B58" s="34"/>
      <c r="C58" s="34"/>
      <c r="D58" s="34"/>
      <c r="E58" s="34"/>
      <c r="F58" s="34"/>
    </row>
    <row r="59" spans="1:6" x14ac:dyDescent="0.25">
      <c r="A59" s="34"/>
      <c r="B59" s="34"/>
      <c r="C59" s="34"/>
      <c r="D59" s="34"/>
      <c r="E59" s="34"/>
      <c r="F59" s="34"/>
    </row>
    <row r="60" spans="1:6" x14ac:dyDescent="0.25">
      <c r="A60" s="34"/>
      <c r="B60" s="34"/>
      <c r="C60" s="34"/>
      <c r="D60" s="34"/>
      <c r="E60" s="34"/>
      <c r="F60" s="34"/>
    </row>
    <row r="61" spans="1:6" x14ac:dyDescent="0.25">
      <c r="A61" s="34"/>
      <c r="B61" s="34"/>
      <c r="C61" s="34"/>
      <c r="D61" s="34"/>
      <c r="E61" s="34"/>
      <c r="F61" s="34"/>
    </row>
    <row r="62" spans="1:6" x14ac:dyDescent="0.25">
      <c r="A62" s="34"/>
      <c r="B62" s="34"/>
      <c r="C62" s="34"/>
      <c r="D62" s="34"/>
      <c r="E62" s="34"/>
      <c r="F62" s="34"/>
    </row>
    <row r="63" spans="1:6" x14ac:dyDescent="0.25">
      <c r="A63" s="34"/>
      <c r="B63" s="34"/>
      <c r="C63" s="34"/>
      <c r="D63" s="34"/>
      <c r="E63" s="34"/>
      <c r="F63" s="34"/>
    </row>
    <row r="64" spans="1:6" x14ac:dyDescent="0.25">
      <c r="A64" s="34"/>
      <c r="B64" s="34"/>
      <c r="C64" s="34"/>
      <c r="D64" s="34"/>
      <c r="E64" s="34"/>
      <c r="F64" s="34"/>
    </row>
    <row r="65" spans="1:6" x14ac:dyDescent="0.25">
      <c r="A65" s="34"/>
      <c r="B65" s="34"/>
      <c r="C65" s="34"/>
      <c r="D65" s="34"/>
      <c r="E65" s="34"/>
      <c r="F65" s="34"/>
    </row>
    <row r="66" spans="1:6" x14ac:dyDescent="0.25">
      <c r="A66" s="34"/>
      <c r="B66" s="34"/>
      <c r="C66" s="34"/>
      <c r="D66" s="34"/>
      <c r="E66" s="34"/>
      <c r="F66" s="34"/>
    </row>
    <row r="67" spans="1:6" x14ac:dyDescent="0.25">
      <c r="A67" s="34"/>
      <c r="B67" s="34"/>
      <c r="C67" s="34"/>
      <c r="D67" s="34"/>
      <c r="E67" s="34"/>
      <c r="F67" s="34"/>
    </row>
    <row r="68" spans="1:6" x14ac:dyDescent="0.25">
      <c r="A68" s="34"/>
      <c r="B68" s="34"/>
      <c r="C68" s="34"/>
      <c r="D68" s="34"/>
      <c r="E68" s="34"/>
      <c r="F68" s="34"/>
    </row>
    <row r="69" spans="1:6" x14ac:dyDescent="0.25">
      <c r="A69" s="34"/>
      <c r="B69" s="34"/>
      <c r="C69" s="34"/>
      <c r="D69" s="34"/>
      <c r="E69" s="34"/>
      <c r="F69" s="34"/>
    </row>
    <row r="70" spans="1:6" x14ac:dyDescent="0.25">
      <c r="A70" s="34"/>
      <c r="B70" s="34"/>
      <c r="C70" s="34"/>
      <c r="D70" s="34"/>
      <c r="E70" s="34"/>
      <c r="F70" s="34"/>
    </row>
    <row r="71" spans="1:6" x14ac:dyDescent="0.25">
      <c r="A71" s="34"/>
      <c r="B71" s="34"/>
      <c r="C71" s="34"/>
      <c r="D71" s="34"/>
      <c r="E71" s="34"/>
      <c r="F71" s="34"/>
    </row>
    <row r="72" spans="1:6" x14ac:dyDescent="0.25">
      <c r="A72" s="34"/>
      <c r="B72" s="34"/>
      <c r="C72" s="34"/>
      <c r="D72" s="34"/>
      <c r="E72" s="34"/>
      <c r="F72" s="34"/>
    </row>
    <row r="73" spans="1:6" x14ac:dyDescent="0.25">
      <c r="A73" s="34"/>
      <c r="B73" s="34"/>
      <c r="C73" s="34"/>
      <c r="D73" s="34"/>
      <c r="E73" s="34"/>
      <c r="F73" s="34"/>
    </row>
    <row r="74" spans="1:6" x14ac:dyDescent="0.25">
      <c r="A74" s="34"/>
      <c r="B74" s="34"/>
      <c r="C74" s="34"/>
      <c r="D74" s="34"/>
      <c r="E74" s="34"/>
      <c r="F74" s="34"/>
    </row>
    <row r="75" spans="1:6" x14ac:dyDescent="0.25">
      <c r="A75" s="34"/>
      <c r="B75" s="34"/>
      <c r="C75" s="34"/>
      <c r="D75" s="34"/>
      <c r="E75" s="34"/>
      <c r="F75" s="34"/>
    </row>
    <row r="76" spans="1:6" x14ac:dyDescent="0.25">
      <c r="A76" s="34"/>
      <c r="B76" s="34"/>
      <c r="C76" s="34"/>
      <c r="D76" s="34"/>
      <c r="E76" s="34"/>
      <c r="F76" s="34"/>
    </row>
    <row r="77" spans="1:6" x14ac:dyDescent="0.25">
      <c r="A77" s="34"/>
      <c r="B77" s="34"/>
      <c r="C77" s="34"/>
      <c r="D77" s="34"/>
      <c r="E77" s="34"/>
      <c r="F77" s="34"/>
    </row>
    <row r="78" spans="1:6" x14ac:dyDescent="0.25">
      <c r="A78" s="34"/>
      <c r="B78" s="34"/>
      <c r="C78" s="34"/>
      <c r="D78" s="34"/>
      <c r="E78" s="34"/>
      <c r="F78" s="34"/>
    </row>
    <row r="79" spans="1:6" x14ac:dyDescent="0.25">
      <c r="A79" s="34"/>
      <c r="B79" s="34"/>
      <c r="C79" s="34"/>
      <c r="D79" s="34"/>
      <c r="E79" s="34"/>
      <c r="F79" s="34"/>
    </row>
    <row r="80" spans="1:6" x14ac:dyDescent="0.25">
      <c r="A80" s="34"/>
      <c r="B80" s="34"/>
      <c r="C80" s="34"/>
      <c r="D80" s="34"/>
      <c r="E80" s="34"/>
      <c r="F80" s="34"/>
    </row>
    <row r="81" spans="1:6" x14ac:dyDescent="0.25">
      <c r="A81" s="34"/>
      <c r="B81" s="34"/>
      <c r="C81" s="34"/>
      <c r="D81" s="34"/>
      <c r="E81" s="34"/>
      <c r="F81" s="34"/>
    </row>
    <row r="82" spans="1:6" x14ac:dyDescent="0.25">
      <c r="A82" s="34"/>
      <c r="B82" s="34"/>
      <c r="C82" s="34"/>
      <c r="D82" s="34"/>
      <c r="E82" s="34"/>
      <c r="F82" s="34"/>
    </row>
    <row r="83" spans="1:6" x14ac:dyDescent="0.25">
      <c r="A83" s="34"/>
      <c r="B83" s="34"/>
      <c r="C83" s="34"/>
      <c r="D83" s="34"/>
      <c r="E83" s="34"/>
      <c r="F83" s="34"/>
    </row>
    <row r="84" spans="1:6" x14ac:dyDescent="0.25">
      <c r="A84" s="34"/>
      <c r="B84" s="34"/>
      <c r="C84" s="34"/>
      <c r="D84" s="34"/>
      <c r="E84" s="34"/>
      <c r="F84" s="34"/>
    </row>
    <row r="85" spans="1:6" x14ac:dyDescent="0.25">
      <c r="A85" s="34"/>
      <c r="B85" s="34"/>
      <c r="C85" s="34"/>
      <c r="D85" s="34"/>
      <c r="E85" s="34"/>
      <c r="F85" s="34"/>
    </row>
    <row r="86" spans="1:6" x14ac:dyDescent="0.25">
      <c r="A86" s="34"/>
      <c r="B86" s="34"/>
      <c r="C86" s="34"/>
      <c r="D86" s="34"/>
      <c r="E86" s="34"/>
      <c r="F86" s="34"/>
    </row>
    <row r="87" spans="1:6" x14ac:dyDescent="0.25">
      <c r="A87" s="34"/>
      <c r="B87" s="34"/>
      <c r="C87" s="34"/>
      <c r="D87" s="34"/>
      <c r="E87" s="34"/>
      <c r="F87" s="34"/>
    </row>
    <row r="88" spans="1:6" x14ac:dyDescent="0.25">
      <c r="A88" s="34"/>
      <c r="B88" s="34"/>
      <c r="C88" s="34"/>
      <c r="D88" s="34"/>
      <c r="E88" s="34"/>
      <c r="F88" s="34"/>
    </row>
    <row r="89" spans="1:6" x14ac:dyDescent="0.25">
      <c r="A89" s="34"/>
      <c r="B89" s="34"/>
      <c r="C89" s="34"/>
      <c r="D89" s="34"/>
      <c r="E89" s="34"/>
      <c r="F89" s="34"/>
    </row>
    <row r="90" spans="1:6" x14ac:dyDescent="0.25">
      <c r="A90" s="34"/>
      <c r="B90" s="34"/>
      <c r="C90" s="34"/>
      <c r="D90" s="34"/>
      <c r="E90" s="34"/>
      <c r="F90" s="34"/>
    </row>
    <row r="91" spans="1:6" x14ac:dyDescent="0.25">
      <c r="A91" s="34"/>
      <c r="B91" s="34"/>
      <c r="C91" s="34"/>
      <c r="D91" s="34"/>
      <c r="E91" s="34"/>
      <c r="F91" s="34"/>
    </row>
    <row r="92" spans="1:6" x14ac:dyDescent="0.25">
      <c r="A92" s="34"/>
      <c r="B92" s="34"/>
      <c r="C92" s="34"/>
      <c r="D92" s="34"/>
      <c r="E92" s="34"/>
      <c r="F92" s="34"/>
    </row>
    <row r="93" spans="1:6" x14ac:dyDescent="0.25">
      <c r="A93" s="34"/>
      <c r="B93" s="34"/>
      <c r="C93" s="34"/>
      <c r="D93" s="34"/>
      <c r="E93" s="34"/>
      <c r="F93" s="34"/>
    </row>
    <row r="94" spans="1:6" x14ac:dyDescent="0.25">
      <c r="A94" s="34"/>
      <c r="B94" s="34"/>
      <c r="C94" s="34"/>
      <c r="D94" s="34"/>
      <c r="E94" s="34"/>
      <c r="F94" s="34"/>
    </row>
    <row r="95" spans="1:6" x14ac:dyDescent="0.25">
      <c r="A95" s="34"/>
      <c r="B95" s="34"/>
      <c r="C95" s="34"/>
      <c r="D95" s="34"/>
      <c r="E95" s="34"/>
      <c r="F95" s="34"/>
    </row>
    <row r="96" spans="1:6" x14ac:dyDescent="0.25">
      <c r="A96" s="34"/>
      <c r="B96" s="34"/>
      <c r="C96" s="34"/>
      <c r="D96" s="34"/>
      <c r="E96" s="34"/>
      <c r="F96" s="34"/>
    </row>
    <row r="97" spans="1:6" x14ac:dyDescent="0.25">
      <c r="A97" s="34"/>
      <c r="B97" s="34"/>
      <c r="C97" s="34"/>
      <c r="D97" s="34"/>
      <c r="E97" s="34"/>
      <c r="F97" s="34"/>
    </row>
    <row r="98" spans="1:6" x14ac:dyDescent="0.25">
      <c r="A98" s="34"/>
      <c r="B98" s="34"/>
      <c r="C98" s="34"/>
      <c r="D98" s="34"/>
      <c r="E98" s="34"/>
      <c r="F98" s="34"/>
    </row>
    <row r="99" spans="1:6" x14ac:dyDescent="0.25">
      <c r="A99" s="34"/>
      <c r="B99" s="34"/>
      <c r="C99" s="34"/>
      <c r="D99" s="34"/>
      <c r="E99" s="34"/>
      <c r="F99" s="34"/>
    </row>
    <row r="100" spans="1:6" x14ac:dyDescent="0.25">
      <c r="A100" s="34"/>
      <c r="B100" s="34"/>
      <c r="C100" s="34"/>
      <c r="D100" s="34"/>
      <c r="E100" s="34"/>
      <c r="F100" s="34"/>
    </row>
    <row r="101" spans="1:6" x14ac:dyDescent="0.25">
      <c r="A101" s="34"/>
      <c r="B101" s="34"/>
      <c r="C101" s="34"/>
      <c r="D101" s="34"/>
      <c r="E101" s="34"/>
      <c r="F101" s="34"/>
    </row>
  </sheetData>
  <sheetProtection algorithmName="SHA-512" hashValue="TgaS41NhTinzLh+xrqqnL/KLHhAxJEI9F56H/vVxJnXMlVNuXWG/45XfLquPudiGyIQbvzOl0CUQOYfJTTzliA==" saltValue="bBTeNu2/kWjjKbak35OJwQ==" spinCount="100000" sheet="1" objects="1" scenarios="1"/>
  <pageMargins left="0.7" right="0.7" top="0.75" bottom="0.75" header="0.3" footer="0.3"/>
  <pageSetup paperSize="9"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Instructions</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dc:creator>
  <cp:lastModifiedBy>Ercüment Ekentok</cp:lastModifiedBy>
  <dcterms:created xsi:type="dcterms:W3CDTF">2008-09-27T09:46:15Z</dcterms:created>
  <dcterms:modified xsi:type="dcterms:W3CDTF">2017-10-16T11:38:28Z</dcterms:modified>
</cp:coreProperties>
</file>